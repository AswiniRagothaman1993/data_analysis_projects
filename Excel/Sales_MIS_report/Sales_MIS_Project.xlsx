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2" activeTab="7"/>
  </bookViews>
  <sheets>
    <sheet name="00_Task1" sheetId="2" r:id="rId1"/>
    <sheet name="01_Sales_Data" sheetId="1" r:id="rId2"/>
    <sheet name="02_Employee_Master" sheetId="3" r:id="rId3"/>
    <sheet name="03_Product_Master" sheetId="4" r:id="rId4"/>
    <sheet name="04_Branch_Master" sheetId="5" r:id="rId5"/>
    <sheet name="05_Target_Master" sheetId="6" r:id="rId6"/>
    <sheet name="06_Issues_log" sheetId="7" r:id="rId7"/>
    <sheet name="03_Clean_data" sheetId="8" r:id="rId8"/>
  </sheets>
  <definedNames>
    <definedName name="_xlnm._FilterDatabase" localSheetId="1" hidden="1">'01_Sales_Data'!$A$1:$G$751</definedName>
    <definedName name="_xlnm._FilterDatabase" localSheetId="5" hidden="1">'05_Target_Master'!$A$1:$C$32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8" l="1"/>
  <c r="U2" i="8" s="1"/>
  <c r="T3" i="8"/>
  <c r="U3" i="8" s="1"/>
  <c r="T4" i="8"/>
  <c r="U4" i="8" s="1"/>
  <c r="T5" i="8"/>
  <c r="U5" i="8" s="1"/>
  <c r="T6" i="8"/>
  <c r="U6" i="8" s="1"/>
  <c r="T7" i="8"/>
  <c r="U7" i="8" s="1"/>
  <c r="T8" i="8"/>
  <c r="U8" i="8" s="1"/>
  <c r="T9" i="8"/>
  <c r="U9" i="8" s="1"/>
  <c r="T10" i="8"/>
  <c r="U10" i="8" s="1"/>
  <c r="T11" i="8"/>
  <c r="U11" i="8" s="1"/>
  <c r="T12" i="8"/>
  <c r="U12" i="8" s="1"/>
  <c r="T13" i="8"/>
  <c r="U13" i="8" s="1"/>
  <c r="T14" i="8"/>
  <c r="U14" i="8" s="1"/>
  <c r="T15" i="8"/>
  <c r="U15" i="8" s="1"/>
  <c r="T16" i="8"/>
  <c r="U16" i="8" s="1"/>
  <c r="T17" i="8"/>
  <c r="U17" i="8" s="1"/>
  <c r="T18" i="8"/>
  <c r="U18" i="8" s="1"/>
  <c r="T19" i="8"/>
  <c r="U19" i="8" s="1"/>
  <c r="T20" i="8"/>
  <c r="U20" i="8" s="1"/>
  <c r="T21" i="8"/>
  <c r="U21" i="8" s="1"/>
  <c r="T22" i="8"/>
  <c r="U22" i="8" s="1"/>
  <c r="T23" i="8"/>
  <c r="U23" i="8" s="1"/>
  <c r="T24" i="8"/>
  <c r="U24" i="8" s="1"/>
  <c r="T25" i="8"/>
  <c r="U25" i="8" s="1"/>
  <c r="T26" i="8"/>
  <c r="U26" i="8" s="1"/>
  <c r="T27" i="8"/>
  <c r="U27" i="8" s="1"/>
  <c r="T28" i="8"/>
  <c r="U28" i="8" s="1"/>
  <c r="T29" i="8"/>
  <c r="U29" i="8" s="1"/>
  <c r="T30" i="8"/>
  <c r="U30" i="8" s="1"/>
  <c r="T31" i="8"/>
  <c r="U31" i="8" s="1"/>
  <c r="T32" i="8"/>
  <c r="U32" i="8" s="1"/>
  <c r="T33" i="8"/>
  <c r="U33" i="8" s="1"/>
  <c r="T34" i="8"/>
  <c r="U34" i="8" s="1"/>
  <c r="T35" i="8"/>
  <c r="U35" i="8" s="1"/>
  <c r="T36" i="8"/>
  <c r="U36" i="8" s="1"/>
  <c r="T37" i="8"/>
  <c r="U37" i="8" s="1"/>
  <c r="T38" i="8"/>
  <c r="U38" i="8" s="1"/>
  <c r="T39" i="8"/>
  <c r="U39" i="8" s="1"/>
  <c r="T40" i="8"/>
  <c r="U40" i="8" s="1"/>
  <c r="T41" i="8"/>
  <c r="U41" i="8" s="1"/>
  <c r="T42" i="8"/>
  <c r="U42" i="8" s="1"/>
  <c r="T43" i="8"/>
  <c r="U43" i="8" s="1"/>
  <c r="T44" i="8"/>
  <c r="U44" i="8" s="1"/>
  <c r="T45" i="8"/>
  <c r="U45" i="8" s="1"/>
  <c r="T46" i="8"/>
  <c r="U46" i="8" s="1"/>
  <c r="T47" i="8"/>
  <c r="U47" i="8" s="1"/>
  <c r="T48" i="8"/>
  <c r="U48" i="8" s="1"/>
  <c r="T49" i="8"/>
  <c r="U49" i="8" s="1"/>
  <c r="T50" i="8"/>
  <c r="U50" i="8" s="1"/>
  <c r="T51" i="8"/>
  <c r="U51" i="8" s="1"/>
  <c r="T52" i="8"/>
  <c r="U52" i="8" s="1"/>
  <c r="T53" i="8"/>
  <c r="U53" i="8" s="1"/>
  <c r="T54" i="8"/>
  <c r="U54" i="8" s="1"/>
  <c r="T55" i="8"/>
  <c r="U55" i="8" s="1"/>
  <c r="T56" i="8"/>
  <c r="U56" i="8" s="1"/>
  <c r="T57" i="8"/>
  <c r="U57" i="8" s="1"/>
  <c r="T58" i="8"/>
  <c r="U58" i="8" s="1"/>
  <c r="T59" i="8"/>
  <c r="U59" i="8" s="1"/>
  <c r="T60" i="8"/>
  <c r="U60" i="8" s="1"/>
  <c r="T61" i="8"/>
  <c r="U61" i="8" s="1"/>
  <c r="T62" i="8"/>
  <c r="U62" i="8" s="1"/>
  <c r="T63" i="8"/>
  <c r="U63" i="8" s="1"/>
  <c r="T64" i="8"/>
  <c r="U64" i="8" s="1"/>
  <c r="T65" i="8"/>
  <c r="U65" i="8" s="1"/>
  <c r="T66" i="8"/>
  <c r="U66" i="8" s="1"/>
  <c r="T67" i="8"/>
  <c r="U67" i="8" s="1"/>
  <c r="T68" i="8"/>
  <c r="U68" i="8" s="1"/>
  <c r="T69" i="8"/>
  <c r="U69" i="8" s="1"/>
  <c r="T70" i="8"/>
  <c r="U70" i="8" s="1"/>
  <c r="T71" i="8"/>
  <c r="U71" i="8" s="1"/>
  <c r="T72" i="8"/>
  <c r="U72" i="8" s="1"/>
  <c r="T73" i="8"/>
  <c r="U73" i="8" s="1"/>
  <c r="T74" i="8"/>
  <c r="U74" i="8" s="1"/>
  <c r="T75" i="8"/>
  <c r="U75" i="8" s="1"/>
  <c r="T76" i="8"/>
  <c r="U76" i="8" s="1"/>
  <c r="T77" i="8"/>
  <c r="U77" i="8" s="1"/>
  <c r="T78" i="8"/>
  <c r="U78" i="8" s="1"/>
  <c r="T79" i="8"/>
  <c r="U79" i="8" s="1"/>
  <c r="T80" i="8"/>
  <c r="U80" i="8" s="1"/>
  <c r="T81" i="8"/>
  <c r="U81" i="8" s="1"/>
  <c r="T82" i="8"/>
  <c r="U82" i="8" s="1"/>
  <c r="T83" i="8"/>
  <c r="U83" i="8" s="1"/>
  <c r="T84" i="8"/>
  <c r="U84" i="8" s="1"/>
  <c r="T85" i="8"/>
  <c r="U85" i="8" s="1"/>
  <c r="T86" i="8"/>
  <c r="U86" i="8" s="1"/>
  <c r="T87" i="8"/>
  <c r="U87" i="8" s="1"/>
  <c r="T88" i="8"/>
  <c r="U88" i="8" s="1"/>
  <c r="T89" i="8"/>
  <c r="U89" i="8" s="1"/>
  <c r="T90" i="8"/>
  <c r="U90" i="8" s="1"/>
  <c r="T91" i="8"/>
  <c r="U91" i="8" s="1"/>
  <c r="T92" i="8"/>
  <c r="U92" i="8" s="1"/>
  <c r="T93" i="8"/>
  <c r="U93" i="8" s="1"/>
  <c r="T94" i="8"/>
  <c r="U94" i="8" s="1"/>
  <c r="T95" i="8"/>
  <c r="U95" i="8" s="1"/>
  <c r="T96" i="8"/>
  <c r="U96" i="8" s="1"/>
  <c r="T97" i="8"/>
  <c r="U97" i="8" s="1"/>
  <c r="T98" i="8"/>
  <c r="U98" i="8" s="1"/>
  <c r="T99" i="8"/>
  <c r="U99" i="8" s="1"/>
  <c r="T100" i="8"/>
  <c r="U100" i="8" s="1"/>
  <c r="T101" i="8"/>
  <c r="U101" i="8" s="1"/>
  <c r="T102" i="8"/>
  <c r="U102" i="8" s="1"/>
  <c r="T103" i="8"/>
  <c r="U103" i="8" s="1"/>
  <c r="T104" i="8"/>
  <c r="U104" i="8" s="1"/>
  <c r="T105" i="8"/>
  <c r="U105" i="8" s="1"/>
  <c r="T106" i="8"/>
  <c r="U106" i="8" s="1"/>
  <c r="T107" i="8"/>
  <c r="U107" i="8" s="1"/>
  <c r="T108" i="8"/>
  <c r="U108" i="8" s="1"/>
  <c r="T109" i="8"/>
  <c r="U109" i="8" s="1"/>
  <c r="T110" i="8"/>
  <c r="U110" i="8" s="1"/>
  <c r="T111" i="8"/>
  <c r="U111" i="8" s="1"/>
  <c r="T112" i="8"/>
  <c r="U112" i="8" s="1"/>
  <c r="T113" i="8"/>
  <c r="U113" i="8" s="1"/>
  <c r="T114" i="8"/>
  <c r="U114" i="8" s="1"/>
  <c r="T115" i="8"/>
  <c r="U115" i="8" s="1"/>
  <c r="T116" i="8"/>
  <c r="U116" i="8" s="1"/>
  <c r="T117" i="8"/>
  <c r="U117" i="8" s="1"/>
  <c r="T118" i="8"/>
  <c r="U118" i="8" s="1"/>
  <c r="T119" i="8"/>
  <c r="U119" i="8" s="1"/>
  <c r="T120" i="8"/>
  <c r="U120" i="8" s="1"/>
  <c r="T121" i="8"/>
  <c r="U121" i="8" s="1"/>
  <c r="T122" i="8"/>
  <c r="U122" i="8" s="1"/>
  <c r="T123" i="8"/>
  <c r="U123" i="8" s="1"/>
  <c r="T124" i="8"/>
  <c r="U124" i="8" s="1"/>
  <c r="T125" i="8"/>
  <c r="U125" i="8" s="1"/>
  <c r="T126" i="8"/>
  <c r="U126" i="8" s="1"/>
  <c r="T127" i="8"/>
  <c r="U127" i="8" s="1"/>
  <c r="T128" i="8"/>
  <c r="U128" i="8" s="1"/>
  <c r="T129" i="8"/>
  <c r="U129" i="8" s="1"/>
  <c r="T130" i="8"/>
  <c r="U130" i="8" s="1"/>
  <c r="T131" i="8"/>
  <c r="U131" i="8" s="1"/>
  <c r="T132" i="8"/>
  <c r="U132" i="8" s="1"/>
  <c r="T133" i="8"/>
  <c r="U133" i="8" s="1"/>
  <c r="T134" i="8"/>
  <c r="U134" i="8" s="1"/>
  <c r="T135" i="8"/>
  <c r="U135" i="8" s="1"/>
  <c r="T136" i="8"/>
  <c r="U136" i="8" s="1"/>
  <c r="T137" i="8"/>
  <c r="U137" i="8" s="1"/>
  <c r="T138" i="8"/>
  <c r="U138" i="8" s="1"/>
  <c r="T139" i="8"/>
  <c r="U139" i="8" s="1"/>
  <c r="T140" i="8"/>
  <c r="U140" i="8" s="1"/>
  <c r="T141" i="8"/>
  <c r="U141" i="8" s="1"/>
  <c r="T142" i="8"/>
  <c r="U142" i="8" s="1"/>
  <c r="T143" i="8"/>
  <c r="U143" i="8" s="1"/>
  <c r="T144" i="8"/>
  <c r="U144" i="8" s="1"/>
  <c r="T145" i="8"/>
  <c r="U145" i="8" s="1"/>
  <c r="T146" i="8"/>
  <c r="U146" i="8" s="1"/>
  <c r="T147" i="8"/>
  <c r="U147" i="8" s="1"/>
  <c r="T148" i="8"/>
  <c r="U148" i="8" s="1"/>
  <c r="T149" i="8"/>
  <c r="U149" i="8" s="1"/>
  <c r="T150" i="8"/>
  <c r="U150" i="8" s="1"/>
  <c r="T151" i="8"/>
  <c r="U151" i="8" s="1"/>
  <c r="T152" i="8"/>
  <c r="U152" i="8" s="1"/>
  <c r="T153" i="8"/>
  <c r="U153" i="8" s="1"/>
  <c r="T154" i="8"/>
  <c r="U154" i="8" s="1"/>
  <c r="T155" i="8"/>
  <c r="U155" i="8" s="1"/>
  <c r="T156" i="8"/>
  <c r="U156" i="8" s="1"/>
  <c r="T157" i="8"/>
  <c r="U157" i="8" s="1"/>
  <c r="T158" i="8"/>
  <c r="U158" i="8" s="1"/>
  <c r="T159" i="8"/>
  <c r="U159" i="8" s="1"/>
  <c r="T160" i="8"/>
  <c r="U160" i="8" s="1"/>
  <c r="T161" i="8"/>
  <c r="U161" i="8" s="1"/>
  <c r="T162" i="8"/>
  <c r="U162" i="8" s="1"/>
  <c r="T163" i="8"/>
  <c r="U163" i="8" s="1"/>
  <c r="T164" i="8"/>
  <c r="U164" i="8" s="1"/>
  <c r="T165" i="8"/>
  <c r="U165" i="8" s="1"/>
  <c r="T166" i="8"/>
  <c r="U166" i="8" s="1"/>
  <c r="T167" i="8"/>
  <c r="U167" i="8" s="1"/>
  <c r="T168" i="8"/>
  <c r="U168" i="8" s="1"/>
  <c r="T169" i="8"/>
  <c r="U169" i="8" s="1"/>
  <c r="T170" i="8"/>
  <c r="U170" i="8" s="1"/>
  <c r="T171" i="8"/>
  <c r="U171" i="8" s="1"/>
  <c r="T172" i="8"/>
  <c r="U172" i="8" s="1"/>
  <c r="T173" i="8"/>
  <c r="U173" i="8" s="1"/>
  <c r="T174" i="8"/>
  <c r="U174" i="8" s="1"/>
  <c r="T175" i="8"/>
  <c r="U175" i="8" s="1"/>
  <c r="T176" i="8"/>
  <c r="U176" i="8" s="1"/>
  <c r="T177" i="8"/>
  <c r="U177" i="8" s="1"/>
  <c r="T178" i="8"/>
  <c r="U178" i="8" s="1"/>
  <c r="T179" i="8"/>
  <c r="U179" i="8" s="1"/>
  <c r="T180" i="8"/>
  <c r="U180" i="8" s="1"/>
  <c r="T181" i="8"/>
  <c r="U181" i="8" s="1"/>
  <c r="T182" i="8"/>
  <c r="U182" i="8" s="1"/>
  <c r="T183" i="8"/>
  <c r="U183" i="8" s="1"/>
  <c r="T184" i="8"/>
  <c r="U184" i="8" s="1"/>
  <c r="T185" i="8"/>
  <c r="U185" i="8" s="1"/>
  <c r="T186" i="8"/>
  <c r="U186" i="8" s="1"/>
  <c r="T187" i="8"/>
  <c r="U187" i="8" s="1"/>
  <c r="T188" i="8"/>
  <c r="U188" i="8" s="1"/>
  <c r="T189" i="8"/>
  <c r="U189" i="8" s="1"/>
  <c r="T190" i="8"/>
  <c r="U190" i="8" s="1"/>
  <c r="T191" i="8"/>
  <c r="U191" i="8" s="1"/>
  <c r="T192" i="8"/>
  <c r="U192" i="8" s="1"/>
  <c r="T193" i="8"/>
  <c r="U193" i="8" s="1"/>
  <c r="T194" i="8"/>
  <c r="U194" i="8" s="1"/>
  <c r="T195" i="8"/>
  <c r="U195" i="8" s="1"/>
  <c r="T196" i="8"/>
  <c r="U196" i="8" s="1"/>
  <c r="T197" i="8"/>
  <c r="U197" i="8" s="1"/>
  <c r="T198" i="8"/>
  <c r="U198" i="8" s="1"/>
  <c r="T199" i="8"/>
  <c r="U199" i="8" s="1"/>
  <c r="T200" i="8"/>
  <c r="U200" i="8" s="1"/>
  <c r="T201" i="8"/>
  <c r="U201" i="8" s="1"/>
  <c r="T202" i="8"/>
  <c r="U202" i="8" s="1"/>
  <c r="T203" i="8"/>
  <c r="U203" i="8" s="1"/>
  <c r="T204" i="8"/>
  <c r="U204" i="8" s="1"/>
  <c r="T205" i="8"/>
  <c r="U205" i="8" s="1"/>
  <c r="T206" i="8"/>
  <c r="U206" i="8" s="1"/>
  <c r="T207" i="8"/>
  <c r="U207" i="8" s="1"/>
  <c r="T208" i="8"/>
  <c r="U208" i="8" s="1"/>
  <c r="T209" i="8"/>
  <c r="U209" i="8" s="1"/>
  <c r="T210" i="8"/>
  <c r="U210" i="8" s="1"/>
  <c r="T211" i="8"/>
  <c r="U211" i="8" s="1"/>
  <c r="T212" i="8"/>
  <c r="U212" i="8" s="1"/>
  <c r="T213" i="8"/>
  <c r="U213" i="8" s="1"/>
  <c r="T214" i="8"/>
  <c r="U214" i="8" s="1"/>
  <c r="T215" i="8"/>
  <c r="U215" i="8" s="1"/>
  <c r="T216" i="8"/>
  <c r="U216" i="8" s="1"/>
  <c r="T217" i="8"/>
  <c r="U217" i="8" s="1"/>
  <c r="T218" i="8"/>
  <c r="U218" i="8" s="1"/>
  <c r="T219" i="8"/>
  <c r="U219" i="8" s="1"/>
  <c r="T220" i="8"/>
  <c r="U220" i="8" s="1"/>
  <c r="T221" i="8"/>
  <c r="U221" i="8" s="1"/>
  <c r="T222" i="8"/>
  <c r="U222" i="8" s="1"/>
  <c r="T223" i="8"/>
  <c r="U223" i="8" s="1"/>
  <c r="T224" i="8"/>
  <c r="U224" i="8" s="1"/>
  <c r="T225" i="8"/>
  <c r="U225" i="8" s="1"/>
  <c r="T226" i="8"/>
  <c r="U226" i="8" s="1"/>
  <c r="T227" i="8"/>
  <c r="U227" i="8" s="1"/>
  <c r="T228" i="8"/>
  <c r="U228" i="8" s="1"/>
  <c r="T229" i="8"/>
  <c r="U229" i="8" s="1"/>
  <c r="T230" i="8"/>
  <c r="U230" i="8" s="1"/>
  <c r="T231" i="8"/>
  <c r="U231" i="8" s="1"/>
  <c r="T232" i="8"/>
  <c r="U232" i="8" s="1"/>
  <c r="T233" i="8"/>
  <c r="U233" i="8" s="1"/>
  <c r="T234" i="8"/>
  <c r="U234" i="8" s="1"/>
  <c r="T235" i="8"/>
  <c r="U235" i="8" s="1"/>
  <c r="T236" i="8"/>
  <c r="U236" i="8" s="1"/>
  <c r="T237" i="8"/>
  <c r="U237" i="8" s="1"/>
  <c r="T238" i="8"/>
  <c r="U238" i="8" s="1"/>
  <c r="T239" i="8"/>
  <c r="U239" i="8" s="1"/>
  <c r="T240" i="8"/>
  <c r="U240" i="8" s="1"/>
  <c r="T241" i="8"/>
  <c r="U241" i="8" s="1"/>
  <c r="T242" i="8"/>
  <c r="U242" i="8" s="1"/>
  <c r="T243" i="8"/>
  <c r="U243" i="8" s="1"/>
  <c r="T244" i="8"/>
  <c r="U244" i="8" s="1"/>
  <c r="T245" i="8"/>
  <c r="U245" i="8" s="1"/>
  <c r="T246" i="8"/>
  <c r="U246" i="8" s="1"/>
  <c r="T247" i="8"/>
  <c r="U247" i="8" s="1"/>
  <c r="T248" i="8"/>
  <c r="U248" i="8" s="1"/>
  <c r="T249" i="8"/>
  <c r="U249" i="8" s="1"/>
  <c r="T250" i="8"/>
  <c r="U250" i="8" s="1"/>
  <c r="T251" i="8"/>
  <c r="U251" i="8" s="1"/>
  <c r="T252" i="8"/>
  <c r="U252" i="8" s="1"/>
  <c r="T253" i="8"/>
  <c r="U253" i="8" s="1"/>
  <c r="T254" i="8"/>
  <c r="U254" i="8" s="1"/>
  <c r="T255" i="8"/>
  <c r="U255" i="8" s="1"/>
  <c r="T256" i="8"/>
  <c r="U256" i="8" s="1"/>
  <c r="T257" i="8"/>
  <c r="U257" i="8" s="1"/>
  <c r="T258" i="8"/>
  <c r="U258" i="8" s="1"/>
  <c r="T259" i="8"/>
  <c r="U259" i="8" s="1"/>
  <c r="T260" i="8"/>
  <c r="U260" i="8" s="1"/>
  <c r="T261" i="8"/>
  <c r="U261" i="8" s="1"/>
  <c r="T262" i="8"/>
  <c r="U262" i="8" s="1"/>
  <c r="T263" i="8"/>
  <c r="U263" i="8" s="1"/>
  <c r="T264" i="8"/>
  <c r="U264" i="8" s="1"/>
  <c r="T265" i="8"/>
  <c r="U265" i="8" s="1"/>
  <c r="T266" i="8"/>
  <c r="U266" i="8" s="1"/>
  <c r="T267" i="8"/>
  <c r="U267" i="8" s="1"/>
  <c r="T268" i="8"/>
  <c r="U268" i="8" s="1"/>
  <c r="T269" i="8"/>
  <c r="U269" i="8" s="1"/>
  <c r="T270" i="8"/>
  <c r="U270" i="8" s="1"/>
  <c r="T271" i="8"/>
  <c r="U271" i="8" s="1"/>
  <c r="T272" i="8"/>
  <c r="U272" i="8" s="1"/>
  <c r="T273" i="8"/>
  <c r="U273" i="8" s="1"/>
  <c r="T274" i="8"/>
  <c r="U274" i="8" s="1"/>
  <c r="T275" i="8"/>
  <c r="U275" i="8" s="1"/>
  <c r="T276" i="8"/>
  <c r="U276" i="8" s="1"/>
  <c r="T277" i="8"/>
  <c r="U277" i="8" s="1"/>
  <c r="T278" i="8"/>
  <c r="U278" i="8" s="1"/>
  <c r="T279" i="8"/>
  <c r="U279" i="8" s="1"/>
  <c r="T280" i="8"/>
  <c r="U280" i="8" s="1"/>
  <c r="T281" i="8"/>
  <c r="U281" i="8" s="1"/>
  <c r="T282" i="8"/>
  <c r="U282" i="8" s="1"/>
  <c r="T283" i="8"/>
  <c r="U283" i="8" s="1"/>
  <c r="T284" i="8"/>
  <c r="U284" i="8" s="1"/>
  <c r="T285" i="8"/>
  <c r="U285" i="8" s="1"/>
  <c r="T286" i="8"/>
  <c r="U286" i="8" s="1"/>
  <c r="T287" i="8"/>
  <c r="U287" i="8" s="1"/>
  <c r="T288" i="8"/>
  <c r="U288" i="8" s="1"/>
  <c r="T289" i="8"/>
  <c r="U289" i="8" s="1"/>
  <c r="T290" i="8"/>
  <c r="U290" i="8" s="1"/>
  <c r="T291" i="8"/>
  <c r="U291" i="8" s="1"/>
  <c r="T292" i="8"/>
  <c r="U292" i="8" s="1"/>
  <c r="T293" i="8"/>
  <c r="U293" i="8" s="1"/>
  <c r="T294" i="8"/>
  <c r="U294" i="8" s="1"/>
  <c r="T295" i="8"/>
  <c r="U295" i="8" s="1"/>
  <c r="T296" i="8"/>
  <c r="U296" i="8" s="1"/>
  <c r="T297" i="8"/>
  <c r="U297" i="8" s="1"/>
  <c r="T298" i="8"/>
  <c r="U298" i="8" s="1"/>
  <c r="T299" i="8"/>
  <c r="U299" i="8" s="1"/>
  <c r="T300" i="8"/>
  <c r="U300" i="8" s="1"/>
  <c r="T301" i="8"/>
  <c r="U301" i="8" s="1"/>
  <c r="T302" i="8"/>
  <c r="U302" i="8" s="1"/>
  <c r="T303" i="8"/>
  <c r="U303" i="8" s="1"/>
  <c r="T304" i="8"/>
  <c r="U304" i="8" s="1"/>
  <c r="T305" i="8"/>
  <c r="U305" i="8" s="1"/>
  <c r="T306" i="8"/>
  <c r="U306" i="8" s="1"/>
  <c r="T307" i="8"/>
  <c r="U307" i="8" s="1"/>
  <c r="T308" i="8"/>
  <c r="U308" i="8" s="1"/>
  <c r="T309" i="8"/>
  <c r="U309" i="8" s="1"/>
  <c r="T310" i="8"/>
  <c r="U310" i="8" s="1"/>
  <c r="T311" i="8"/>
  <c r="U311" i="8" s="1"/>
  <c r="T312" i="8"/>
  <c r="U312" i="8" s="1"/>
  <c r="T313" i="8"/>
  <c r="U313" i="8" s="1"/>
  <c r="T314" i="8"/>
  <c r="U314" i="8" s="1"/>
  <c r="T315" i="8"/>
  <c r="U315" i="8" s="1"/>
  <c r="T316" i="8"/>
  <c r="U316" i="8" s="1"/>
  <c r="T317" i="8"/>
  <c r="U317" i="8" s="1"/>
  <c r="T318" i="8"/>
  <c r="U318" i="8" s="1"/>
  <c r="T319" i="8"/>
  <c r="U319" i="8" s="1"/>
  <c r="T320" i="8"/>
  <c r="U320" i="8" s="1"/>
  <c r="T321" i="8"/>
  <c r="U321" i="8" s="1"/>
  <c r="T322" i="8"/>
  <c r="U322" i="8" s="1"/>
  <c r="T323" i="8"/>
  <c r="U323" i="8" s="1"/>
  <c r="T324" i="8"/>
  <c r="U324" i="8" s="1"/>
  <c r="T325" i="8"/>
  <c r="U325" i="8" s="1"/>
  <c r="T326" i="8"/>
  <c r="U326" i="8" s="1"/>
  <c r="T327" i="8"/>
  <c r="U327" i="8" s="1"/>
  <c r="T328" i="8"/>
  <c r="U328" i="8" s="1"/>
  <c r="T329" i="8"/>
  <c r="U329" i="8" s="1"/>
  <c r="T330" i="8"/>
  <c r="U330" i="8" s="1"/>
  <c r="T331" i="8"/>
  <c r="U331" i="8" s="1"/>
  <c r="T332" i="8"/>
  <c r="U332" i="8" s="1"/>
  <c r="T333" i="8"/>
  <c r="U333" i="8" s="1"/>
  <c r="T334" i="8"/>
  <c r="U334" i="8" s="1"/>
  <c r="T335" i="8"/>
  <c r="U335" i="8" s="1"/>
  <c r="T336" i="8"/>
  <c r="U336" i="8" s="1"/>
  <c r="T337" i="8"/>
  <c r="U337" i="8" s="1"/>
  <c r="T338" i="8"/>
  <c r="U338" i="8" s="1"/>
  <c r="T339" i="8"/>
  <c r="U339" i="8" s="1"/>
  <c r="T340" i="8"/>
  <c r="U340" i="8" s="1"/>
  <c r="T341" i="8"/>
  <c r="U341" i="8" s="1"/>
  <c r="T342" i="8"/>
  <c r="U342" i="8" s="1"/>
  <c r="T343" i="8"/>
  <c r="U343" i="8" s="1"/>
  <c r="T344" i="8"/>
  <c r="U344" i="8" s="1"/>
  <c r="T345" i="8"/>
  <c r="U345" i="8" s="1"/>
  <c r="T346" i="8"/>
  <c r="U346" i="8" s="1"/>
  <c r="T347" i="8"/>
  <c r="U347" i="8" s="1"/>
  <c r="T348" i="8"/>
  <c r="U348" i="8" s="1"/>
  <c r="T349" i="8"/>
  <c r="U349" i="8" s="1"/>
  <c r="T350" i="8"/>
  <c r="U350" i="8" s="1"/>
  <c r="T351" i="8"/>
  <c r="U351" i="8" s="1"/>
  <c r="T352" i="8"/>
  <c r="U352" i="8" s="1"/>
  <c r="T353" i="8"/>
  <c r="U353" i="8" s="1"/>
  <c r="T354" i="8"/>
  <c r="U354" i="8" s="1"/>
  <c r="T355" i="8"/>
  <c r="U355" i="8" s="1"/>
  <c r="T356" i="8"/>
  <c r="U356" i="8" s="1"/>
  <c r="T357" i="8"/>
  <c r="U357" i="8" s="1"/>
  <c r="T358" i="8"/>
  <c r="U358" i="8" s="1"/>
  <c r="T359" i="8"/>
  <c r="U359" i="8" s="1"/>
  <c r="T360" i="8"/>
  <c r="U360" i="8" s="1"/>
  <c r="T361" i="8"/>
  <c r="U361" i="8" s="1"/>
  <c r="T362" i="8"/>
  <c r="U362" i="8" s="1"/>
  <c r="T363" i="8"/>
  <c r="U363" i="8" s="1"/>
  <c r="T364" i="8"/>
  <c r="U364" i="8" s="1"/>
  <c r="T365" i="8"/>
  <c r="U365" i="8" s="1"/>
  <c r="T366" i="8"/>
  <c r="U366" i="8" s="1"/>
  <c r="T367" i="8"/>
  <c r="U367" i="8" s="1"/>
  <c r="T368" i="8"/>
  <c r="U368" i="8" s="1"/>
  <c r="T369" i="8"/>
  <c r="U369" i="8" s="1"/>
  <c r="T370" i="8"/>
  <c r="U370" i="8" s="1"/>
  <c r="T371" i="8"/>
  <c r="U371" i="8" s="1"/>
  <c r="T372" i="8"/>
  <c r="U372" i="8" s="1"/>
  <c r="T373" i="8"/>
  <c r="U373" i="8" s="1"/>
  <c r="T374" i="8"/>
  <c r="U374" i="8" s="1"/>
  <c r="T375" i="8"/>
  <c r="U375" i="8" s="1"/>
  <c r="T376" i="8"/>
  <c r="U376" i="8" s="1"/>
  <c r="T377" i="8"/>
  <c r="U377" i="8" s="1"/>
  <c r="T378" i="8"/>
  <c r="U378" i="8" s="1"/>
  <c r="T379" i="8"/>
  <c r="U379" i="8" s="1"/>
  <c r="T380" i="8"/>
  <c r="U380" i="8" s="1"/>
  <c r="T381" i="8"/>
  <c r="U381" i="8" s="1"/>
  <c r="T382" i="8"/>
  <c r="U382" i="8" s="1"/>
  <c r="T383" i="8"/>
  <c r="U383" i="8" s="1"/>
  <c r="T384" i="8"/>
  <c r="U384" i="8" s="1"/>
  <c r="T385" i="8"/>
  <c r="U385" i="8" s="1"/>
  <c r="T386" i="8"/>
  <c r="U386" i="8" s="1"/>
  <c r="T387" i="8"/>
  <c r="U387" i="8" s="1"/>
  <c r="T388" i="8"/>
  <c r="U388" i="8" s="1"/>
  <c r="T389" i="8"/>
  <c r="U389" i="8" s="1"/>
  <c r="T390" i="8"/>
  <c r="U390" i="8" s="1"/>
  <c r="T391" i="8"/>
  <c r="U391" i="8" s="1"/>
  <c r="T392" i="8"/>
  <c r="U392" i="8" s="1"/>
  <c r="T393" i="8"/>
  <c r="U393" i="8" s="1"/>
  <c r="T394" i="8"/>
  <c r="U394" i="8" s="1"/>
  <c r="T395" i="8"/>
  <c r="U395" i="8" s="1"/>
  <c r="T396" i="8"/>
  <c r="U396" i="8" s="1"/>
  <c r="T397" i="8"/>
  <c r="U397" i="8" s="1"/>
  <c r="T398" i="8"/>
  <c r="U398" i="8" s="1"/>
  <c r="T399" i="8"/>
  <c r="U399" i="8" s="1"/>
  <c r="T400" i="8"/>
  <c r="U400" i="8" s="1"/>
  <c r="T401" i="8"/>
  <c r="U401" i="8" s="1"/>
  <c r="T402" i="8"/>
  <c r="U402" i="8" s="1"/>
  <c r="T403" i="8"/>
  <c r="U403" i="8" s="1"/>
  <c r="T404" i="8"/>
  <c r="U404" i="8" s="1"/>
  <c r="T405" i="8"/>
  <c r="U405" i="8" s="1"/>
  <c r="T406" i="8"/>
  <c r="U406" i="8" s="1"/>
  <c r="T407" i="8"/>
  <c r="U407" i="8" s="1"/>
  <c r="T408" i="8"/>
  <c r="U408" i="8" s="1"/>
  <c r="T409" i="8"/>
  <c r="U409" i="8" s="1"/>
  <c r="T410" i="8"/>
  <c r="U410" i="8" s="1"/>
  <c r="T411" i="8"/>
  <c r="U411" i="8" s="1"/>
  <c r="T412" i="8"/>
  <c r="U412" i="8" s="1"/>
  <c r="T413" i="8"/>
  <c r="U413" i="8" s="1"/>
  <c r="T414" i="8"/>
  <c r="U414" i="8" s="1"/>
  <c r="T415" i="8"/>
  <c r="U415" i="8" s="1"/>
  <c r="T416" i="8"/>
  <c r="U416" i="8" s="1"/>
  <c r="T417" i="8"/>
  <c r="U417" i="8" s="1"/>
  <c r="T418" i="8"/>
  <c r="U418" i="8" s="1"/>
  <c r="T419" i="8"/>
  <c r="U419" i="8" s="1"/>
  <c r="T420" i="8"/>
  <c r="U420" i="8" s="1"/>
  <c r="T421" i="8"/>
  <c r="U421" i="8" s="1"/>
  <c r="T422" i="8"/>
  <c r="U422" i="8" s="1"/>
  <c r="T423" i="8"/>
  <c r="U423" i="8" s="1"/>
  <c r="T424" i="8"/>
  <c r="U424" i="8" s="1"/>
  <c r="T425" i="8"/>
  <c r="U425" i="8" s="1"/>
  <c r="T426" i="8"/>
  <c r="U426" i="8" s="1"/>
  <c r="T427" i="8"/>
  <c r="U427" i="8" s="1"/>
  <c r="T428" i="8"/>
  <c r="U428" i="8" s="1"/>
  <c r="T429" i="8"/>
  <c r="U429" i="8" s="1"/>
  <c r="T430" i="8"/>
  <c r="U430" i="8" s="1"/>
  <c r="T431" i="8"/>
  <c r="U431" i="8" s="1"/>
  <c r="T432" i="8"/>
  <c r="U432" i="8" s="1"/>
  <c r="T433" i="8"/>
  <c r="U433" i="8" s="1"/>
  <c r="T434" i="8"/>
  <c r="U434" i="8" s="1"/>
  <c r="T435" i="8"/>
  <c r="U435" i="8" s="1"/>
  <c r="T436" i="8"/>
  <c r="U436" i="8" s="1"/>
  <c r="T437" i="8"/>
  <c r="U437" i="8" s="1"/>
  <c r="T438" i="8"/>
  <c r="U438" i="8" s="1"/>
  <c r="T439" i="8"/>
  <c r="U439" i="8" s="1"/>
  <c r="T440" i="8"/>
  <c r="U440" i="8" s="1"/>
  <c r="T441" i="8"/>
  <c r="U441" i="8" s="1"/>
  <c r="T442" i="8"/>
  <c r="U442" i="8" s="1"/>
  <c r="T443" i="8"/>
  <c r="U443" i="8" s="1"/>
  <c r="T444" i="8"/>
  <c r="U444" i="8" s="1"/>
  <c r="T445" i="8"/>
  <c r="U445" i="8" s="1"/>
  <c r="T446" i="8"/>
  <c r="U446" i="8" s="1"/>
  <c r="T447" i="8"/>
  <c r="U447" i="8" s="1"/>
  <c r="T448" i="8"/>
  <c r="U448" i="8" s="1"/>
  <c r="T449" i="8"/>
  <c r="U449" i="8" s="1"/>
  <c r="T450" i="8"/>
  <c r="U450" i="8" s="1"/>
  <c r="T451" i="8"/>
  <c r="U451" i="8" s="1"/>
  <c r="T452" i="8"/>
  <c r="U452" i="8" s="1"/>
  <c r="T453" i="8"/>
  <c r="U453" i="8" s="1"/>
  <c r="T454" i="8"/>
  <c r="U454" i="8" s="1"/>
  <c r="T455" i="8"/>
  <c r="U455" i="8" s="1"/>
  <c r="T456" i="8"/>
  <c r="U456" i="8" s="1"/>
  <c r="T457" i="8"/>
  <c r="U457" i="8" s="1"/>
  <c r="T458" i="8"/>
  <c r="U458" i="8" s="1"/>
  <c r="T459" i="8"/>
  <c r="U459" i="8" s="1"/>
  <c r="T460" i="8"/>
  <c r="U460" i="8" s="1"/>
  <c r="T461" i="8"/>
  <c r="U461" i="8" s="1"/>
  <c r="T462" i="8"/>
  <c r="U462" i="8" s="1"/>
  <c r="T463" i="8"/>
  <c r="U463" i="8" s="1"/>
  <c r="T464" i="8"/>
  <c r="U464" i="8" s="1"/>
  <c r="T465" i="8"/>
  <c r="U465" i="8" s="1"/>
  <c r="T466" i="8"/>
  <c r="U466" i="8" s="1"/>
  <c r="T467" i="8"/>
  <c r="U467" i="8" s="1"/>
  <c r="T468" i="8"/>
  <c r="U468" i="8" s="1"/>
  <c r="T469" i="8"/>
  <c r="U469" i="8" s="1"/>
  <c r="T470" i="8"/>
  <c r="U470" i="8" s="1"/>
  <c r="T471" i="8"/>
  <c r="U471" i="8" s="1"/>
  <c r="T472" i="8"/>
  <c r="U472" i="8" s="1"/>
  <c r="T473" i="8"/>
  <c r="U473" i="8" s="1"/>
  <c r="T474" i="8"/>
  <c r="U474" i="8" s="1"/>
  <c r="T475" i="8"/>
  <c r="U475" i="8" s="1"/>
  <c r="T476" i="8"/>
  <c r="U476" i="8" s="1"/>
  <c r="T477" i="8"/>
  <c r="U477" i="8" s="1"/>
  <c r="T478" i="8"/>
  <c r="U478" i="8" s="1"/>
  <c r="T479" i="8"/>
  <c r="U479" i="8" s="1"/>
  <c r="T480" i="8"/>
  <c r="U480" i="8" s="1"/>
  <c r="T481" i="8"/>
  <c r="U481" i="8" s="1"/>
  <c r="T482" i="8"/>
  <c r="U482" i="8" s="1"/>
  <c r="T483" i="8"/>
  <c r="U483" i="8" s="1"/>
  <c r="T484" i="8"/>
  <c r="U484" i="8" s="1"/>
  <c r="T485" i="8"/>
  <c r="U485" i="8" s="1"/>
  <c r="T486" i="8"/>
  <c r="U486" i="8" s="1"/>
  <c r="T487" i="8"/>
  <c r="U487" i="8" s="1"/>
  <c r="T488" i="8"/>
  <c r="U488" i="8" s="1"/>
  <c r="T489" i="8"/>
  <c r="U489" i="8" s="1"/>
  <c r="T490" i="8"/>
  <c r="U490" i="8" s="1"/>
  <c r="T491" i="8"/>
  <c r="U491" i="8" s="1"/>
  <c r="T492" i="8"/>
  <c r="U492" i="8" s="1"/>
  <c r="T493" i="8"/>
  <c r="U493" i="8" s="1"/>
  <c r="T494" i="8"/>
  <c r="U494" i="8" s="1"/>
  <c r="T495" i="8"/>
  <c r="U495" i="8" s="1"/>
  <c r="T496" i="8"/>
  <c r="U496" i="8" s="1"/>
  <c r="T497" i="8"/>
  <c r="U497" i="8" s="1"/>
  <c r="T498" i="8"/>
  <c r="U498" i="8" s="1"/>
  <c r="T499" i="8"/>
  <c r="U499" i="8" s="1"/>
  <c r="T500" i="8"/>
  <c r="U500" i="8" s="1"/>
  <c r="T501" i="8"/>
  <c r="U501" i="8" s="1"/>
  <c r="T502" i="8"/>
  <c r="U502" i="8" s="1"/>
  <c r="T503" i="8"/>
  <c r="U503" i="8" s="1"/>
  <c r="T504" i="8"/>
  <c r="U504" i="8" s="1"/>
  <c r="T505" i="8"/>
  <c r="U505" i="8" s="1"/>
  <c r="T506" i="8"/>
  <c r="U506" i="8" s="1"/>
  <c r="T507" i="8"/>
  <c r="U507" i="8" s="1"/>
  <c r="T508" i="8"/>
  <c r="U508" i="8" s="1"/>
  <c r="T509" i="8"/>
  <c r="U509" i="8" s="1"/>
  <c r="T510" i="8"/>
  <c r="U510" i="8" s="1"/>
  <c r="T511" i="8"/>
  <c r="U511" i="8" s="1"/>
  <c r="T512" i="8"/>
  <c r="U512" i="8" s="1"/>
  <c r="T513" i="8"/>
  <c r="U513" i="8" s="1"/>
  <c r="T514" i="8"/>
  <c r="U514" i="8" s="1"/>
  <c r="T515" i="8"/>
  <c r="U515" i="8" s="1"/>
  <c r="T516" i="8"/>
  <c r="U516" i="8" s="1"/>
  <c r="T517" i="8"/>
  <c r="U517" i="8" s="1"/>
  <c r="T518" i="8"/>
  <c r="U518" i="8" s="1"/>
  <c r="T519" i="8"/>
  <c r="U519" i="8" s="1"/>
  <c r="T520" i="8"/>
  <c r="U520" i="8" s="1"/>
  <c r="T521" i="8"/>
  <c r="U521" i="8" s="1"/>
  <c r="T522" i="8"/>
  <c r="U522" i="8" s="1"/>
  <c r="T523" i="8"/>
  <c r="U523" i="8" s="1"/>
  <c r="T524" i="8"/>
  <c r="U524" i="8" s="1"/>
  <c r="T525" i="8"/>
  <c r="U525" i="8" s="1"/>
  <c r="T526" i="8"/>
  <c r="U526" i="8" s="1"/>
  <c r="T527" i="8"/>
  <c r="U527" i="8" s="1"/>
  <c r="T528" i="8"/>
  <c r="U528" i="8" s="1"/>
  <c r="T529" i="8"/>
  <c r="U529" i="8" s="1"/>
  <c r="T530" i="8"/>
  <c r="U530" i="8" s="1"/>
  <c r="T531" i="8"/>
  <c r="U531" i="8" s="1"/>
  <c r="T532" i="8"/>
  <c r="U532" i="8" s="1"/>
  <c r="T533" i="8"/>
  <c r="U533" i="8" s="1"/>
  <c r="T534" i="8"/>
  <c r="U534" i="8" s="1"/>
  <c r="T535" i="8"/>
  <c r="U535" i="8" s="1"/>
  <c r="T536" i="8"/>
  <c r="U536" i="8" s="1"/>
  <c r="T537" i="8"/>
  <c r="U537" i="8" s="1"/>
  <c r="T538" i="8"/>
  <c r="U538" i="8" s="1"/>
  <c r="T539" i="8"/>
  <c r="U539" i="8" s="1"/>
  <c r="T540" i="8"/>
  <c r="U540" i="8" s="1"/>
  <c r="T541" i="8"/>
  <c r="U541" i="8" s="1"/>
  <c r="T542" i="8"/>
  <c r="U542" i="8" s="1"/>
  <c r="T543" i="8"/>
  <c r="U543" i="8" s="1"/>
  <c r="T544" i="8"/>
  <c r="U544" i="8" s="1"/>
  <c r="T545" i="8"/>
  <c r="U545" i="8" s="1"/>
  <c r="T546" i="8"/>
  <c r="U546" i="8" s="1"/>
  <c r="T547" i="8"/>
  <c r="U547" i="8" s="1"/>
  <c r="T548" i="8"/>
  <c r="U548" i="8" s="1"/>
  <c r="T549" i="8"/>
  <c r="U549" i="8" s="1"/>
  <c r="T550" i="8"/>
  <c r="U550" i="8" s="1"/>
  <c r="T551" i="8"/>
  <c r="U551" i="8" s="1"/>
  <c r="T552" i="8"/>
  <c r="U552" i="8" s="1"/>
  <c r="T553" i="8"/>
  <c r="U553" i="8" s="1"/>
  <c r="T554" i="8"/>
  <c r="U554" i="8" s="1"/>
  <c r="T555" i="8"/>
  <c r="U555" i="8" s="1"/>
  <c r="T556" i="8"/>
  <c r="U556" i="8" s="1"/>
  <c r="T557" i="8"/>
  <c r="U557" i="8" s="1"/>
  <c r="T558" i="8"/>
  <c r="U558" i="8" s="1"/>
  <c r="T559" i="8"/>
  <c r="U559" i="8" s="1"/>
  <c r="T560" i="8"/>
  <c r="U560" i="8" s="1"/>
  <c r="T561" i="8"/>
  <c r="U561" i="8" s="1"/>
  <c r="T562" i="8"/>
  <c r="U562" i="8" s="1"/>
  <c r="T563" i="8"/>
  <c r="U563" i="8" s="1"/>
  <c r="T564" i="8"/>
  <c r="U564" i="8" s="1"/>
  <c r="T565" i="8"/>
  <c r="U565" i="8" s="1"/>
  <c r="T566" i="8"/>
  <c r="U566" i="8" s="1"/>
  <c r="T567" i="8"/>
  <c r="U567" i="8" s="1"/>
  <c r="T568" i="8"/>
  <c r="U568" i="8" s="1"/>
  <c r="T569" i="8"/>
  <c r="U569" i="8" s="1"/>
  <c r="T570" i="8"/>
  <c r="U570" i="8" s="1"/>
  <c r="T571" i="8"/>
  <c r="U571" i="8" s="1"/>
  <c r="T572" i="8"/>
  <c r="U572" i="8" s="1"/>
  <c r="T573" i="8"/>
  <c r="U573" i="8" s="1"/>
  <c r="T574" i="8"/>
  <c r="U574" i="8" s="1"/>
  <c r="T575" i="8"/>
  <c r="U575" i="8" s="1"/>
  <c r="T576" i="8"/>
  <c r="U576" i="8" s="1"/>
  <c r="T577" i="8"/>
  <c r="U577" i="8" s="1"/>
  <c r="T578" i="8"/>
  <c r="U578" i="8" s="1"/>
  <c r="T579" i="8"/>
  <c r="U579" i="8" s="1"/>
  <c r="T580" i="8"/>
  <c r="U580" i="8" s="1"/>
  <c r="T581" i="8"/>
  <c r="U581" i="8" s="1"/>
  <c r="T582" i="8"/>
  <c r="U582" i="8" s="1"/>
  <c r="T583" i="8"/>
  <c r="U583" i="8" s="1"/>
  <c r="T584" i="8"/>
  <c r="U584" i="8" s="1"/>
  <c r="T585" i="8"/>
  <c r="U585" i="8" s="1"/>
  <c r="T586" i="8"/>
  <c r="U586" i="8" s="1"/>
  <c r="T587" i="8"/>
  <c r="U587" i="8" s="1"/>
  <c r="T588" i="8"/>
  <c r="U588" i="8" s="1"/>
  <c r="T589" i="8"/>
  <c r="U589" i="8" s="1"/>
  <c r="T590" i="8"/>
  <c r="U590" i="8" s="1"/>
  <c r="T591" i="8"/>
  <c r="U591" i="8" s="1"/>
  <c r="T592" i="8"/>
  <c r="U592" i="8" s="1"/>
  <c r="T593" i="8"/>
  <c r="U593" i="8" s="1"/>
  <c r="T594" i="8"/>
  <c r="U594" i="8" s="1"/>
  <c r="T595" i="8"/>
  <c r="U595" i="8" s="1"/>
  <c r="T596" i="8"/>
  <c r="U596" i="8" s="1"/>
  <c r="T597" i="8"/>
  <c r="U597" i="8" s="1"/>
  <c r="T598" i="8"/>
  <c r="U598" i="8" s="1"/>
  <c r="T599" i="8"/>
  <c r="U599" i="8" s="1"/>
  <c r="T600" i="8"/>
  <c r="U600" i="8" s="1"/>
  <c r="T601" i="8"/>
  <c r="U601" i="8" s="1"/>
  <c r="T602" i="8"/>
  <c r="U602" i="8" s="1"/>
  <c r="T603" i="8"/>
  <c r="U603" i="8" s="1"/>
  <c r="T604" i="8"/>
  <c r="U604" i="8" s="1"/>
  <c r="T605" i="8"/>
  <c r="U605" i="8" s="1"/>
  <c r="T606" i="8"/>
  <c r="U606" i="8" s="1"/>
  <c r="T607" i="8"/>
  <c r="U607" i="8" s="1"/>
  <c r="T608" i="8"/>
  <c r="U608" i="8" s="1"/>
  <c r="T609" i="8"/>
  <c r="U609" i="8" s="1"/>
  <c r="T610" i="8"/>
  <c r="U610" i="8" s="1"/>
  <c r="T611" i="8"/>
  <c r="U611" i="8" s="1"/>
  <c r="T612" i="8"/>
  <c r="U612" i="8" s="1"/>
  <c r="T613" i="8"/>
  <c r="U613" i="8" s="1"/>
  <c r="T614" i="8"/>
  <c r="U614" i="8" s="1"/>
  <c r="T615" i="8"/>
  <c r="U615" i="8" s="1"/>
  <c r="T616" i="8"/>
  <c r="U616" i="8" s="1"/>
  <c r="T617" i="8"/>
  <c r="U617" i="8" s="1"/>
  <c r="T618" i="8"/>
  <c r="U618" i="8" s="1"/>
  <c r="T619" i="8"/>
  <c r="U619" i="8" s="1"/>
  <c r="T620" i="8"/>
  <c r="U620" i="8" s="1"/>
  <c r="T621" i="8"/>
  <c r="U621" i="8" s="1"/>
  <c r="T622" i="8"/>
  <c r="U622" i="8" s="1"/>
  <c r="T623" i="8"/>
  <c r="U623" i="8" s="1"/>
  <c r="T624" i="8"/>
  <c r="U624" i="8" s="1"/>
  <c r="T625" i="8"/>
  <c r="U625" i="8" s="1"/>
  <c r="T626" i="8"/>
  <c r="U626" i="8" s="1"/>
  <c r="T627" i="8"/>
  <c r="U627" i="8" s="1"/>
  <c r="T628" i="8"/>
  <c r="U628" i="8" s="1"/>
  <c r="T629" i="8"/>
  <c r="U629" i="8" s="1"/>
  <c r="T630" i="8"/>
  <c r="U630" i="8" s="1"/>
  <c r="T631" i="8"/>
  <c r="U631" i="8" s="1"/>
  <c r="T632" i="8"/>
  <c r="U632" i="8" s="1"/>
  <c r="T633" i="8"/>
  <c r="U633" i="8" s="1"/>
  <c r="T634" i="8"/>
  <c r="U634" i="8" s="1"/>
  <c r="T635" i="8"/>
  <c r="U635" i="8" s="1"/>
  <c r="T636" i="8"/>
  <c r="U636" i="8" s="1"/>
  <c r="T637" i="8"/>
  <c r="U637" i="8" s="1"/>
  <c r="T638" i="8"/>
  <c r="U638" i="8" s="1"/>
  <c r="T639" i="8"/>
  <c r="U639" i="8" s="1"/>
  <c r="T640" i="8"/>
  <c r="U640" i="8" s="1"/>
  <c r="T641" i="8"/>
  <c r="U641" i="8" s="1"/>
  <c r="T642" i="8"/>
  <c r="U642" i="8" s="1"/>
  <c r="T643" i="8"/>
  <c r="U643" i="8" s="1"/>
  <c r="T644" i="8"/>
  <c r="U644" i="8" s="1"/>
  <c r="T645" i="8"/>
  <c r="U645" i="8" s="1"/>
  <c r="T646" i="8"/>
  <c r="U646" i="8" s="1"/>
  <c r="T647" i="8"/>
  <c r="U647" i="8" s="1"/>
  <c r="T648" i="8"/>
  <c r="U648" i="8" s="1"/>
  <c r="T649" i="8"/>
  <c r="U649" i="8" s="1"/>
  <c r="T650" i="8"/>
  <c r="U650" i="8" s="1"/>
  <c r="T651" i="8"/>
  <c r="U651" i="8" s="1"/>
  <c r="T652" i="8"/>
  <c r="U652" i="8" s="1"/>
  <c r="T653" i="8"/>
  <c r="U653" i="8" s="1"/>
  <c r="T654" i="8"/>
  <c r="U654" i="8" s="1"/>
  <c r="T655" i="8"/>
  <c r="U655" i="8" s="1"/>
  <c r="T656" i="8"/>
  <c r="U656" i="8" s="1"/>
  <c r="T657" i="8"/>
  <c r="U657" i="8" s="1"/>
  <c r="T658" i="8"/>
  <c r="U658" i="8" s="1"/>
  <c r="T659" i="8"/>
  <c r="U659" i="8" s="1"/>
  <c r="T660" i="8"/>
  <c r="U660" i="8" s="1"/>
  <c r="T661" i="8"/>
  <c r="U661" i="8" s="1"/>
  <c r="T662" i="8"/>
  <c r="U662" i="8" s="1"/>
  <c r="T663" i="8"/>
  <c r="U663" i="8" s="1"/>
  <c r="T664" i="8"/>
  <c r="U664" i="8" s="1"/>
  <c r="T665" i="8"/>
  <c r="U665" i="8" s="1"/>
  <c r="T666" i="8"/>
  <c r="U666" i="8" s="1"/>
  <c r="T667" i="8"/>
  <c r="U667" i="8" s="1"/>
  <c r="T668" i="8"/>
  <c r="U668" i="8" s="1"/>
  <c r="T669" i="8"/>
  <c r="U669" i="8" s="1"/>
  <c r="T670" i="8"/>
  <c r="U670" i="8" s="1"/>
  <c r="T671" i="8"/>
  <c r="U671" i="8" s="1"/>
  <c r="T672" i="8"/>
  <c r="U672" i="8" s="1"/>
  <c r="T673" i="8"/>
  <c r="U673" i="8" s="1"/>
  <c r="T674" i="8"/>
  <c r="U674" i="8" s="1"/>
  <c r="T675" i="8"/>
  <c r="U675" i="8" s="1"/>
  <c r="T676" i="8"/>
  <c r="U676" i="8" s="1"/>
  <c r="T677" i="8"/>
  <c r="U677" i="8" s="1"/>
  <c r="T678" i="8"/>
  <c r="U678" i="8" s="1"/>
  <c r="T679" i="8"/>
  <c r="U679" i="8" s="1"/>
  <c r="T680" i="8"/>
  <c r="U680" i="8" s="1"/>
  <c r="T681" i="8"/>
  <c r="U681" i="8" s="1"/>
  <c r="T682" i="8"/>
  <c r="U682" i="8" s="1"/>
  <c r="T683" i="8"/>
  <c r="U683" i="8" s="1"/>
  <c r="T684" i="8"/>
  <c r="U684" i="8" s="1"/>
  <c r="T685" i="8"/>
  <c r="U685" i="8" s="1"/>
  <c r="T686" i="8"/>
  <c r="U686" i="8" s="1"/>
  <c r="T687" i="8"/>
  <c r="U687" i="8" s="1"/>
  <c r="T688" i="8"/>
  <c r="U688" i="8" s="1"/>
  <c r="T689" i="8"/>
  <c r="U689" i="8" s="1"/>
  <c r="T690" i="8"/>
  <c r="U690" i="8" s="1"/>
  <c r="T691" i="8"/>
  <c r="U691" i="8" s="1"/>
  <c r="T692" i="8"/>
  <c r="U692" i="8" s="1"/>
  <c r="T693" i="8"/>
  <c r="U693" i="8" s="1"/>
  <c r="T694" i="8"/>
  <c r="U694" i="8" s="1"/>
  <c r="T695" i="8"/>
  <c r="U695" i="8" s="1"/>
  <c r="T696" i="8"/>
  <c r="U696" i="8" s="1"/>
  <c r="T697" i="8"/>
  <c r="U697" i="8" s="1"/>
  <c r="T698" i="8"/>
  <c r="U698" i="8" s="1"/>
  <c r="T699" i="8"/>
  <c r="U699" i="8" s="1"/>
  <c r="T700" i="8"/>
  <c r="U700" i="8" s="1"/>
  <c r="T701" i="8"/>
  <c r="U701" i="8" s="1"/>
  <c r="T702" i="8"/>
  <c r="U702" i="8" s="1"/>
  <c r="T703" i="8"/>
  <c r="U703" i="8" s="1"/>
  <c r="T704" i="8"/>
  <c r="U704" i="8" s="1"/>
  <c r="T705" i="8"/>
  <c r="U705" i="8" s="1"/>
  <c r="T706" i="8"/>
  <c r="U706" i="8" s="1"/>
  <c r="T707" i="8"/>
  <c r="U707" i="8" s="1"/>
  <c r="T708" i="8"/>
  <c r="U708" i="8" s="1"/>
  <c r="T709" i="8"/>
  <c r="U709" i="8" s="1"/>
  <c r="T710" i="8"/>
  <c r="U710" i="8" s="1"/>
  <c r="T711" i="8"/>
  <c r="U711" i="8" s="1"/>
  <c r="T712" i="8"/>
  <c r="U712" i="8" s="1"/>
  <c r="T713" i="8"/>
  <c r="U713" i="8" s="1"/>
  <c r="T714" i="8"/>
  <c r="U714" i="8" s="1"/>
  <c r="T715" i="8"/>
  <c r="U715" i="8" s="1"/>
  <c r="T716" i="8"/>
  <c r="U716" i="8" s="1"/>
  <c r="T717" i="8"/>
  <c r="U717" i="8" s="1"/>
  <c r="T718" i="8"/>
  <c r="U718" i="8" s="1"/>
  <c r="T719" i="8"/>
  <c r="U719" i="8" s="1"/>
  <c r="T720" i="8"/>
  <c r="U720" i="8" s="1"/>
  <c r="T721" i="8"/>
  <c r="U721" i="8" s="1"/>
  <c r="T722" i="8"/>
  <c r="U722" i="8" s="1"/>
  <c r="T723" i="8"/>
  <c r="U723" i="8" s="1"/>
  <c r="T724" i="8"/>
  <c r="U724" i="8" s="1"/>
  <c r="T725" i="8"/>
  <c r="U725" i="8" s="1"/>
  <c r="T726" i="8"/>
  <c r="U726" i="8" s="1"/>
  <c r="T727" i="8"/>
  <c r="U727" i="8" s="1"/>
  <c r="T728" i="8"/>
  <c r="U728" i="8" s="1"/>
  <c r="T729" i="8"/>
  <c r="U729" i="8" s="1"/>
  <c r="T730" i="8"/>
  <c r="U730" i="8" s="1"/>
  <c r="T731" i="8"/>
  <c r="U731" i="8" s="1"/>
  <c r="T732" i="8"/>
  <c r="U732" i="8" s="1"/>
  <c r="T733" i="8"/>
  <c r="U733" i="8" s="1"/>
  <c r="T734" i="8"/>
  <c r="U734" i="8" s="1"/>
  <c r="T735" i="8"/>
  <c r="U735" i="8" s="1"/>
  <c r="T736" i="8"/>
  <c r="U736" i="8" s="1"/>
  <c r="T737" i="8"/>
  <c r="U737" i="8" s="1"/>
  <c r="T738" i="8"/>
  <c r="U738" i="8" s="1"/>
  <c r="T739" i="8"/>
  <c r="U739" i="8" s="1"/>
  <c r="T740" i="8"/>
  <c r="U740" i="8" s="1"/>
  <c r="T741" i="8"/>
  <c r="U741" i="8" s="1"/>
  <c r="T742" i="8"/>
  <c r="U742" i="8" s="1"/>
  <c r="T743" i="8"/>
  <c r="U743" i="8" s="1"/>
  <c r="T744" i="8"/>
  <c r="U744" i="8" s="1"/>
  <c r="T745" i="8"/>
  <c r="U745" i="8" s="1"/>
  <c r="T746" i="8"/>
  <c r="U746" i="8" s="1"/>
  <c r="T747" i="8"/>
  <c r="U747" i="8" s="1"/>
  <c r="T748" i="8"/>
  <c r="U748" i="8" s="1"/>
  <c r="T749" i="8"/>
  <c r="U749" i="8" s="1"/>
  <c r="T750" i="8"/>
  <c r="U750" i="8" s="1"/>
  <c r="T751" i="8"/>
  <c r="U751" i="8" s="1"/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L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H501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E14" i="6" l="1"/>
  <c r="E2" i="6"/>
</calcChain>
</file>

<file path=xl/sharedStrings.xml><?xml version="1.0" encoding="utf-8"?>
<sst xmlns="http://schemas.openxmlformats.org/spreadsheetml/2006/main" count="6279" uniqueCount="945">
  <si>
    <t>Date</t>
  </si>
  <si>
    <t>Invoice_ID</t>
  </si>
  <si>
    <t>Employee_ID</t>
  </si>
  <si>
    <t>Product_ID</t>
  </si>
  <si>
    <t>Branch_ID</t>
  </si>
  <si>
    <t>Quantity</t>
  </si>
  <si>
    <t>Sales_Amount</t>
  </si>
  <si>
    <t>INV100001</t>
  </si>
  <si>
    <t>E009</t>
  </si>
  <si>
    <t>P002</t>
  </si>
  <si>
    <t>B005</t>
  </si>
  <si>
    <t>INV100002</t>
  </si>
  <si>
    <t>E004</t>
  </si>
  <si>
    <t>P009</t>
  </si>
  <si>
    <t>B002</t>
  </si>
  <si>
    <t>INV100003</t>
  </si>
  <si>
    <t>P007</t>
  </si>
  <si>
    <t>INV100004</t>
  </si>
  <si>
    <t>E003</t>
  </si>
  <si>
    <t>P012</t>
  </si>
  <si>
    <t>INV100005</t>
  </si>
  <si>
    <t>E002</t>
  </si>
  <si>
    <t>B001</t>
  </si>
  <si>
    <t>INV100006</t>
  </si>
  <si>
    <t>E005</t>
  </si>
  <si>
    <t>P001</t>
  </si>
  <si>
    <t>B003</t>
  </si>
  <si>
    <t>INV100007</t>
  </si>
  <si>
    <t>INV100008</t>
  </si>
  <si>
    <t>E010</t>
  </si>
  <si>
    <t>P004</t>
  </si>
  <si>
    <t>INV100009</t>
  </si>
  <si>
    <t>B004</t>
  </si>
  <si>
    <t>INV100010</t>
  </si>
  <si>
    <t>P006</t>
  </si>
  <si>
    <t>INV100011</t>
  </si>
  <si>
    <t>P010</t>
  </si>
  <si>
    <t>INV100012</t>
  </si>
  <si>
    <t>E008</t>
  </si>
  <si>
    <t>INV100013</t>
  </si>
  <si>
    <t>E006</t>
  </si>
  <si>
    <t>INV100014</t>
  </si>
  <si>
    <t>INV100015</t>
  </si>
  <si>
    <t>P011</t>
  </si>
  <si>
    <t>INV100016</t>
  </si>
  <si>
    <t>INV100017</t>
  </si>
  <si>
    <t>E007</t>
  </si>
  <si>
    <t>INV100018</t>
  </si>
  <si>
    <t>P008</t>
  </si>
  <si>
    <t>INV100019</t>
  </si>
  <si>
    <t>INV100020</t>
  </si>
  <si>
    <t>INV100021</t>
  </si>
  <si>
    <t>INV100022</t>
  </si>
  <si>
    <t>P003</t>
  </si>
  <si>
    <t>INV100023</t>
  </si>
  <si>
    <t>INV100024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</si>
  <si>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</si>
  <si>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</si>
  <si>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</si>
  <si>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</si>
  <si>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</si>
  <si>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</si>
  <si>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</si>
  <si>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</si>
  <si>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</si>
  <si>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</si>
  <si>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</si>
  <si>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</si>
  <si>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</si>
  <si>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</si>
  <si>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</si>
  <si>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</si>
  <si>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</si>
  <si>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</si>
  <si>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E001</t>
  </si>
  <si>
    <t>INV100043</t>
  </si>
  <si>
    <t>INV100044</t>
  </si>
  <si>
    <t>INV100045</t>
  </si>
  <si>
    <t>INV100046</t>
  </si>
  <si>
    <t>INV100047</t>
  </si>
  <si>
    <t>INV100048</t>
  </si>
  <si>
    <t>INV100049</t>
  </si>
  <si>
    <t>P005</t>
  </si>
  <si>
    <t>INV100051</t>
  </si>
  <si>
    <t>INV100052</t>
  </si>
  <si>
    <t>INV100053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</si>
  <si>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</si>
  <si>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</si>
  <si>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</si>
  <si>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</si>
  <si>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</si>
  <si>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</si>
  <si>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</si>
  <si>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</si>
  <si>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</si>
  <si>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</si>
  <si>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</si>
  <si>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</si>
  <si>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</si>
  <si>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</si>
  <si>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</si>
  <si>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</si>
  <si>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</si>
  <si>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</si>
  <si>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</si>
  <si>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</si>
  <si>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</si>
  <si>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</si>
  <si>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</si>
  <si>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</si>
  <si>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</si>
  <si>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</si>
  <si>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</si>
  <si>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INV100081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</si>
  <si>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</si>
  <si>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</si>
  <si>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</si>
  <si>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</si>
  <si>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</si>
  <si>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</si>
  <si>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</si>
  <si>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</si>
  <si>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</si>
  <si>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</si>
  <si>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</si>
  <si>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INV100093</t>
  </si>
  <si>
    <t>INV100094</t>
  </si>
  <si>
    <t>INV100095</t>
  </si>
  <si>
    <t>INV100096</t>
  </si>
  <si>
    <t>INV100097</t>
  </si>
  <si>
    <t>INV100098</t>
  </si>
  <si>
    <t>INV100099</t>
  </si>
  <si>
    <t>INV100100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</si>
  <si>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</si>
  <si>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</si>
  <si>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</si>
  <si>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</si>
  <si>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</si>
  <si>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</si>
  <si>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</si>
  <si>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</si>
  <si>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</si>
  <si>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</si>
  <si>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</si>
  <si>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31-Feb-2026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</si>
  <si>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</si>
  <si>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</si>
  <si>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</si>
  <si>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</si>
  <si>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</si>
  <si>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</si>
  <si>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</si>
  <si>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</si>
  <si>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</si>
  <si>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</si>
  <si>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</si>
  <si>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</si>
  <si>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</si>
  <si>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</si>
  <si>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</si>
  <si>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</si>
  <si>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INV100128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</si>
  <si>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</si>
  <si>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</si>
  <si>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</si>
  <si>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</si>
  <si>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</si>
  <si>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</si>
  <si>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</si>
  <si>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</si>
  <si>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</si>
  <si>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</si>
  <si>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</si>
  <si>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</si>
  <si>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</si>
  <si>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</si>
  <si>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INV100143</t>
  </si>
  <si>
    <t>INV100144</t>
  </si>
  <si>
    <t>INV100145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</si>
  <si>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</si>
  <si>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</si>
  <si>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</si>
  <si>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</si>
  <si>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</si>
  <si>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</si>
  <si>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</si>
  <si>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</si>
  <si>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</si>
  <si>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</si>
  <si>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</si>
  <si>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</si>
  <si>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</si>
  <si>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</si>
  <si>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</si>
  <si>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</si>
  <si>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</si>
  <si>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</si>
  <si>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</si>
  <si>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</si>
  <si>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</si>
  <si>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</si>
  <si>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</si>
  <si>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</si>
  <si>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</si>
  <si>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</si>
  <si>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</si>
  <si>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</si>
  <si>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</si>
  <si>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</si>
  <si>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</si>
  <si>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</si>
  <si>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</si>
  <si>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</si>
  <si>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</si>
  <si>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</si>
  <si>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</si>
  <si>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</si>
  <si>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</si>
  <si>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</si>
  <si>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</si>
  <si>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</si>
  <si>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</si>
  <si>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</si>
  <si>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</si>
  <si>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</si>
  <si>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</si>
  <si>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</si>
  <si>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</si>
  <si>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</si>
  <si>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</si>
  <si>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</si>
  <si>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</si>
  <si>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</si>
  <si>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</si>
  <si>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</si>
  <si>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</si>
  <si>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</si>
  <si>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</si>
  <si>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</si>
  <si>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</si>
  <si>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</si>
  <si>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</si>
  <si>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</si>
  <si>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</si>
  <si>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</si>
  <si>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</si>
  <si>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</si>
  <si>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</si>
  <si>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</si>
  <si>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</si>
  <si>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</si>
  <si>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</si>
  <si>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</si>
  <si>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</si>
  <si>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</si>
  <si>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</si>
  <si>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</si>
  <si>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</si>
  <si>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</si>
  <si>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</si>
  <si>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</si>
  <si>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</si>
  <si>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</si>
  <si>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</si>
  <si>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</si>
  <si>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</si>
  <si>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</si>
  <si>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</si>
  <si>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</si>
  <si>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</si>
  <si>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</si>
  <si>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</si>
  <si>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</si>
  <si>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</si>
  <si>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</si>
  <si>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</si>
  <si>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</si>
  <si>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</si>
  <si>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</si>
  <si>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</si>
  <si>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</si>
  <si>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</si>
  <si>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</si>
  <si>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</si>
  <si>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</si>
  <si>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</si>
  <si>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</si>
  <si>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</si>
  <si>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</si>
  <si>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</si>
  <si>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</si>
  <si>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</si>
  <si>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</si>
  <si>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</si>
  <si>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</si>
  <si>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</si>
  <si>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</si>
  <si>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</si>
  <si>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</si>
  <si>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</si>
  <si>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</si>
  <si>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</si>
  <si>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</si>
  <si>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</si>
  <si>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</si>
  <si>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</si>
  <si>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</si>
  <si>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</si>
  <si>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</si>
  <si>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</si>
  <si>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</si>
  <si>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</si>
  <si>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</si>
  <si>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</si>
  <si>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</si>
  <si>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</si>
  <si>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</si>
  <si>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</si>
  <si>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</si>
  <si>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</si>
  <si>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</si>
  <si>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</si>
  <si>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B999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</si>
  <si>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</si>
  <si>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</si>
  <si>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</si>
  <si>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</si>
  <si>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</si>
  <si>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</si>
  <si>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</si>
  <si>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</si>
  <si>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</si>
  <si>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</si>
  <si>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</si>
  <si>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</si>
  <si>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</si>
  <si>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</si>
  <si>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</si>
  <si>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</si>
  <si>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</si>
  <si>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</si>
  <si>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</si>
  <si>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</si>
  <si>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</si>
  <si>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</si>
  <si>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</si>
  <si>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</si>
  <si>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</si>
  <si>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</si>
  <si>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</si>
  <si>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</si>
  <si>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</si>
  <si>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</si>
  <si>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</si>
  <si>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</si>
  <si>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</si>
  <si>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</si>
  <si>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</si>
  <si>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</si>
  <si>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</si>
  <si>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</si>
  <si>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</si>
  <si>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</si>
  <si>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</si>
  <si>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</si>
  <si>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</si>
  <si>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</si>
  <si>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</si>
  <si>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</si>
  <si>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</si>
  <si>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</si>
  <si>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</si>
  <si>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</si>
  <si>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</si>
  <si>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</si>
  <si>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</si>
  <si>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</si>
  <si>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</si>
  <si>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</si>
  <si>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</si>
  <si>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</si>
  <si>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</si>
  <si>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</si>
  <si>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</si>
  <si>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</si>
  <si>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</si>
  <si>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</si>
  <si>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</si>
  <si>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</si>
  <si>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</si>
  <si>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</si>
  <si>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</si>
  <si>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</si>
  <si>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</si>
  <si>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</si>
  <si>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</si>
  <si>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</si>
  <si>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</si>
  <si>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</si>
  <si>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</si>
  <si>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</si>
  <si>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2026/13/05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</si>
  <si>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</si>
  <si>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</si>
  <si>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</si>
  <si>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</si>
  <si>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</si>
  <si>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</si>
  <si>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</si>
  <si>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</si>
  <si>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</si>
  <si>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</si>
  <si>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</si>
  <si>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</si>
  <si>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</si>
  <si>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</si>
  <si>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</si>
  <si>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</si>
  <si>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</si>
  <si>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</si>
  <si>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</si>
  <si>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</si>
  <si>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</si>
  <si>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</si>
  <si>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</si>
  <si>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</si>
  <si>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</si>
  <si>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</si>
  <si>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</si>
  <si>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</si>
  <si>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</si>
  <si>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</si>
  <si>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</si>
  <si>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</si>
  <si>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</si>
  <si>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</si>
  <si>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</si>
  <si>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</si>
  <si>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</si>
  <si>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</si>
  <si>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</si>
  <si>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</si>
  <si>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</si>
  <si>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</si>
  <si>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</si>
  <si>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</si>
  <si>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</si>
  <si>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</si>
  <si>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</si>
  <si>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</si>
  <si>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</si>
  <si>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</si>
  <si>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</si>
  <si>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</si>
  <si>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</si>
  <si>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</si>
  <si>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</si>
  <si>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E999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</si>
  <si>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</si>
  <si>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</si>
  <si>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</si>
  <si>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</si>
  <si>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</si>
  <si>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</si>
  <si>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</si>
  <si>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</si>
  <si>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</si>
  <si>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</si>
  <si>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</si>
  <si>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</si>
  <si>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</si>
  <si>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</si>
  <si>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</si>
  <si>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</si>
  <si>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</si>
  <si>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</si>
  <si>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</si>
  <si>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</si>
  <si>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</si>
  <si>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</si>
  <si>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</si>
  <si>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</si>
  <si>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</si>
  <si>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</si>
  <si>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</si>
  <si>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</si>
  <si>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</si>
  <si>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</si>
  <si>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</si>
  <si>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</si>
  <si>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</si>
  <si>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</si>
  <si>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P999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</si>
  <si>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</si>
  <si>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</si>
  <si>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</si>
  <si>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</si>
  <si>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</si>
  <si>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</si>
  <si>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</si>
  <si>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</si>
  <si>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</si>
  <si>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</si>
  <si>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</si>
  <si>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</si>
  <si>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</si>
  <si>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</si>
  <si>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</si>
  <si>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</si>
  <si>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</si>
  <si>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</si>
  <si>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</si>
  <si>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</si>
  <si>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</si>
  <si>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</si>
  <si>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</si>
  <si>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</si>
  <si>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</si>
  <si>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</si>
  <si>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</si>
  <si>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</si>
  <si>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</si>
  <si>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</si>
  <si>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</si>
  <si>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</si>
  <si>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</si>
  <si>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</si>
  <si>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</si>
  <si>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</si>
  <si>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</si>
  <si>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</si>
  <si>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</si>
  <si>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</si>
  <si>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</si>
  <si>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</si>
  <si>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</si>
  <si>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</si>
  <si>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</si>
  <si>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</si>
  <si>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</si>
  <si>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</si>
  <si>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</si>
  <si>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</si>
  <si>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</si>
  <si>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</si>
  <si>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</si>
  <si>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</si>
  <si>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</si>
  <si>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</si>
  <si>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</si>
  <si>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</si>
  <si>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</si>
  <si>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</si>
  <si>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</si>
  <si>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</si>
  <si>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</si>
  <si>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</si>
  <si>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</si>
  <si>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</si>
  <si>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</si>
  <si>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</si>
  <si>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</si>
  <si>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</si>
  <si>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</si>
  <si>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</si>
  <si>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</si>
  <si>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</si>
  <si>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</si>
  <si>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</si>
  <si>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</si>
  <si>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</si>
  <si>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</si>
  <si>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</si>
  <si>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</si>
  <si>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</si>
  <si>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</si>
  <si>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</si>
  <si>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</si>
  <si>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</si>
  <si>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</si>
  <si>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</si>
  <si>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</si>
  <si>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</si>
  <si>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</si>
  <si>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</si>
  <si>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</si>
  <si>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</si>
  <si>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</si>
  <si>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</si>
  <si>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</si>
  <si>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</si>
  <si>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</si>
  <si>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</si>
  <si>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</si>
  <si>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</si>
  <si>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</si>
  <si>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</si>
  <si>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</si>
  <si>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</si>
  <si>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</si>
  <si>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</si>
  <si>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</si>
  <si>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</si>
  <si>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</si>
  <si>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</si>
  <si>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</si>
  <si>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</si>
  <si>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</si>
  <si>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</si>
  <si>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</si>
  <si>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</si>
  <si>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</si>
  <si>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</si>
  <si>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</si>
  <si>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</si>
  <si>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</si>
  <si>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</si>
  <si>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</si>
  <si>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</si>
  <si>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</si>
  <si>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</si>
  <si>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</si>
  <si>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</si>
  <si>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</si>
  <si>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</si>
  <si>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</si>
  <si>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</si>
  <si>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</si>
  <si>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</si>
  <si>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</si>
  <si>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</si>
  <si>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</si>
  <si>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</si>
  <si>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</si>
  <si>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</si>
  <si>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</si>
  <si>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</si>
  <si>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</si>
  <si>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</si>
  <si>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</si>
  <si>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</si>
  <si>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</si>
  <si>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</si>
  <si>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</si>
  <si>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</si>
  <si>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</si>
  <si>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</si>
  <si>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</si>
  <si>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</si>
  <si>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E000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</si>
  <si>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</si>
  <si>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</si>
  <si>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</si>
  <si>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</si>
  <si>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</si>
  <si>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</si>
  <si>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</si>
  <si>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</si>
  <si>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</si>
  <si>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</si>
  <si>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</si>
  <si>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</si>
  <si>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</si>
  <si>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</si>
  <si>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</si>
  <si>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</si>
  <si>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</si>
  <si>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</si>
  <si>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</si>
  <si>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</si>
  <si>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</si>
  <si>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</si>
  <si>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</si>
  <si>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</si>
  <si>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</si>
  <si>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</si>
  <si>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B000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</si>
  <si>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</si>
  <si>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</si>
  <si>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</si>
  <si>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</si>
  <si>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</si>
  <si>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</si>
  <si>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</si>
  <si>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</si>
  <si>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</si>
  <si>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</si>
  <si>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</si>
  <si>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</si>
  <si>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</si>
  <si>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</si>
  <si>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</si>
  <si>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</si>
  <si>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</si>
  <si>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</si>
  <si>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</si>
  <si>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</si>
  <si>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</si>
  <si>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</si>
  <si>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</si>
  <si>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</si>
  <si>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</si>
  <si>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</si>
  <si>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</si>
  <si>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</si>
  <si>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</si>
  <si>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</si>
  <si>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</si>
  <si>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</si>
  <si>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</si>
  <si>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</si>
  <si>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</si>
  <si>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</si>
  <si>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</si>
  <si>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</si>
  <si>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</si>
  <si>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</si>
  <si>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</si>
  <si>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</si>
  <si>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</si>
  <si>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</si>
  <si>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</si>
  <si>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</si>
  <si>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</si>
  <si>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</si>
  <si>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</si>
  <si>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</si>
  <si>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</si>
  <si>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</si>
  <si>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</si>
  <si>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</si>
  <si>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</si>
  <si>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</si>
  <si>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</si>
  <si>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</si>
  <si>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</si>
  <si>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</si>
  <si>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</si>
  <si>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</si>
  <si>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</si>
  <si>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P000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</si>
  <si>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</si>
  <si>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</si>
  <si>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</si>
  <si>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</si>
  <si>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</si>
  <si>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</si>
  <si>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</si>
  <si>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</si>
  <si>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</si>
  <si>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</si>
  <si>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</si>
  <si>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</si>
  <si>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</si>
  <si>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</si>
  <si>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</si>
  <si>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</si>
  <si>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</si>
  <si>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</si>
  <si>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</si>
  <si>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</si>
  <si>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</si>
  <si>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</si>
  <si>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</si>
  <si>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</si>
  <si>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</si>
  <si>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</si>
  <si>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</si>
  <si>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</si>
  <si>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</si>
  <si>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</si>
  <si>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</si>
  <si>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</si>
  <si>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</si>
  <si>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</si>
  <si>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</si>
  <si>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</si>
  <si>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</si>
  <si>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</si>
  <si>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</si>
  <si>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</si>
  <si>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</si>
  <si>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</si>
  <si>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Not a Date</t>
  </si>
  <si>
    <t>INV100745</t>
  </si>
  <si>
    <t>INV100746</t>
  </si>
  <si>
    <t>INV100747</t>
  </si>
  <si>
    <t>INV100748</t>
  </si>
  <si>
    <t>INV100749</t>
  </si>
  <si>
    <t>INV100750</t>
  </si>
  <si>
    <t>PROJECT 1 — MONTHLY SALES MIS REPORT</t>
  </si>
  <si>
    <t>Role</t>
  </si>
  <si>
    <t>You are the MIS Analyst for a retail company.</t>
  </si>
  <si>
    <t>Objective</t>
  </si>
  <si>
    <t>Prepare a reliable monthly sales MIS from raw transaction and master data.</t>
  </si>
  <si>
    <t>Current task</t>
  </si>
  <si>
    <t>TASK 1 — Raw Data Inspection &amp; Data Quality Check</t>
  </si>
  <si>
    <t>Important</t>
  </si>
  <si>
    <t>Do NOT clean or correct the data yet. First identify and document the issues.</t>
  </si>
  <si>
    <t>Check</t>
  </si>
  <si>
    <t>What to look for</t>
  </si>
  <si>
    <t>1. Duplicate Invoice IDs</t>
  </si>
  <si>
    <t>Invoice_ID appearing more than once</t>
  </si>
  <si>
    <t>2. Missing Employee IDs</t>
  </si>
  <si>
    <t>Blank Employee_ID cells</t>
  </si>
  <si>
    <t>3. Invalid Employee IDs</t>
  </si>
  <si>
    <t>Employee_ID not present in Employee_Master</t>
  </si>
  <si>
    <t>4. Missing Product IDs</t>
  </si>
  <si>
    <t>Blank Product_ID cells</t>
  </si>
  <si>
    <t>5. Invalid Product IDs</t>
  </si>
  <si>
    <t>Product_ID not present in Product_Master</t>
  </si>
  <si>
    <t>6. Missing Branch IDs</t>
  </si>
  <si>
    <t>Blank Branch_ID cells</t>
  </si>
  <si>
    <t>7. Invalid Branch IDs</t>
  </si>
  <si>
    <t>Branch_ID not present in Branch_Master</t>
  </si>
  <si>
    <t>8. Invalid dates</t>
  </si>
  <si>
    <t>Blank, text, impossible, or non-date values</t>
  </si>
  <si>
    <t>9. Sales amount issues</t>
  </si>
  <si>
    <t>Blank, zero, or otherwise suspicious Sales_Amount</t>
  </si>
  <si>
    <t>10. Quantity issues</t>
  </si>
  <si>
    <t>Zero or negative Quantity</t>
  </si>
  <si>
    <t>11. Duplicate master records</t>
  </si>
  <si>
    <t>Repeated IDs in Employee/Product/Branch masters</t>
  </si>
  <si>
    <t>12. Target master issues</t>
  </si>
  <si>
    <t>Repeated Employee_ID + Month combinations</t>
  </si>
  <si>
    <t>MIS habit</t>
  </si>
  <si>
    <t>Detect → Document → Investigate → Correct → Validate</t>
  </si>
  <si>
    <t>Next step</t>
  </si>
  <si>
    <t>After you finish Task 1, tell me what issues you found. I will review your findings before we move to cleaning.</t>
  </si>
  <si>
    <t>Employee_Name</t>
  </si>
  <si>
    <t>Department</t>
  </si>
  <si>
    <t>Arun Kumar</t>
  </si>
  <si>
    <t>Sales</t>
  </si>
  <si>
    <t>Priya S</t>
  </si>
  <si>
    <t>Rahul M</t>
  </si>
  <si>
    <t>Divya R</t>
  </si>
  <si>
    <t>Karthik P</t>
  </si>
  <si>
    <t>Meena V</t>
  </si>
  <si>
    <t>Suresh B</t>
  </si>
  <si>
    <t>Nandhini K</t>
  </si>
  <si>
    <t>Vignesh R</t>
  </si>
  <si>
    <t>Swetha L</t>
  </si>
  <si>
    <t>Operations</t>
  </si>
  <si>
    <t>Product_Name</t>
  </si>
  <si>
    <t>Category</t>
  </si>
  <si>
    <t>Standard_Price</t>
  </si>
  <si>
    <t>Premium Coffee</t>
  </si>
  <si>
    <t>Beverages</t>
  </si>
  <si>
    <t>Green Tea</t>
  </si>
  <si>
    <t>Instant Coffee</t>
  </si>
  <si>
    <t>Cookies Pack</t>
  </si>
  <si>
    <t>Snacks</t>
  </si>
  <si>
    <t>Chocolate Bar</t>
  </si>
  <si>
    <t>Potato Chips</t>
  </si>
  <si>
    <t>Shampoo</t>
  </si>
  <si>
    <t>Personal Care</t>
  </si>
  <si>
    <t>Face Wash</t>
  </si>
  <si>
    <t>Body Lotion</t>
  </si>
  <si>
    <t>Dish Wash</t>
  </si>
  <si>
    <t>Home Care</t>
  </si>
  <si>
    <t>Laundry Liquid</t>
  </si>
  <si>
    <t>Floor Cleaner</t>
  </si>
  <si>
    <t>Beauty</t>
  </si>
  <si>
    <t>Branch_Name</t>
  </si>
  <si>
    <t>Region</t>
  </si>
  <si>
    <t>Tirupur Central</t>
  </si>
  <si>
    <t>North</t>
  </si>
  <si>
    <t>Avinashi Road</t>
  </si>
  <si>
    <t>Palladam</t>
  </si>
  <si>
    <t>South</t>
  </si>
  <si>
    <t>Kangeyam</t>
  </si>
  <si>
    <t>East</t>
  </si>
  <si>
    <t>Dharapuram</t>
  </si>
  <si>
    <t>West</t>
  </si>
  <si>
    <t>Month</t>
  </si>
  <si>
    <t>Monthly_Target</t>
  </si>
  <si>
    <t>Issue Type</t>
  </si>
  <si>
    <t>Sheet</t>
  </si>
  <si>
    <t>Row / ID</t>
  </si>
  <si>
    <t>Count</t>
  </si>
  <si>
    <t>What I Found</t>
  </si>
  <si>
    <t>Proposed Action</t>
  </si>
  <si>
    <t>01_Sales_Data</t>
  </si>
  <si>
    <t>Invalid Date</t>
  </si>
  <si>
    <t>Date format</t>
  </si>
  <si>
    <t>Invalid date - 31-Feb</t>
  </si>
  <si>
    <t xml:space="preserve">Check for original transaction data </t>
  </si>
  <si>
    <t xml:space="preserve">Date format is different </t>
  </si>
  <si>
    <t>Date format could be changed</t>
  </si>
  <si>
    <t>Has text Not a date</t>
  </si>
  <si>
    <t>Duplicate Invoice id</t>
  </si>
  <si>
    <t xml:space="preserve">INV100049, INV100199,  INV100499 are repeated </t>
  </si>
  <si>
    <t>50,51, 200,201, 500,501</t>
  </si>
  <si>
    <t>Check for original transaction data</t>
  </si>
  <si>
    <t>Missing Employee id</t>
  </si>
  <si>
    <t>87, 218</t>
  </si>
  <si>
    <t>Invalid_Employee_id</t>
  </si>
  <si>
    <t>423, 614</t>
  </si>
  <si>
    <t xml:space="preserve">Employee_id is blank </t>
  </si>
  <si>
    <t>E000, E999 are invlaid Employee_id</t>
  </si>
  <si>
    <t>Missing Product_id</t>
  </si>
  <si>
    <t>Invalid Product_id</t>
  </si>
  <si>
    <t>135, 346</t>
  </si>
  <si>
    <t>457, 703</t>
  </si>
  <si>
    <t>Product_id is blank</t>
  </si>
  <si>
    <t>P000, P999 are invalid product_id</t>
  </si>
  <si>
    <t>Missing Branch id</t>
  </si>
  <si>
    <t>164, 574</t>
  </si>
  <si>
    <t>Invalid Branch id</t>
  </si>
  <si>
    <t>290, 640</t>
  </si>
  <si>
    <t>Branch id is blank</t>
  </si>
  <si>
    <t>B000, B999 are invlaid branch id</t>
  </si>
  <si>
    <t>532, 691</t>
  </si>
  <si>
    <t>Invalid Quantity</t>
  </si>
  <si>
    <t>the values are 0 and negative</t>
  </si>
  <si>
    <t>Missing Sales Amount</t>
  </si>
  <si>
    <t>Sales amounts are missing</t>
  </si>
  <si>
    <t>02_Employee_Master</t>
  </si>
  <si>
    <t>Duplicate Master record</t>
  </si>
  <si>
    <t>E007 is ties with 2 departments (sales and operations)</t>
  </si>
  <si>
    <t>Need to check with businees operations</t>
  </si>
  <si>
    <t>03_Product_Master</t>
  </si>
  <si>
    <t>P009 has 2 different category</t>
  </si>
  <si>
    <t>04_Branch_Master</t>
  </si>
  <si>
    <t>B003 is tied with Palladam South and West</t>
  </si>
  <si>
    <t>Target Master issues</t>
  </si>
  <si>
    <t>05_Target_Master</t>
  </si>
  <si>
    <t xml:space="preserve">sort </t>
  </si>
  <si>
    <t>12, 14</t>
  </si>
  <si>
    <t>E004 - May month has two targets</t>
  </si>
  <si>
    <t xml:space="preserve">Need to check with businees operations - Get correct target and remove other one </t>
  </si>
  <si>
    <t>Invoice_dup_check</t>
  </si>
  <si>
    <t>Data quality check</t>
  </si>
  <si>
    <t>Requires Source validation</t>
  </si>
  <si>
    <t>employee id check</t>
  </si>
  <si>
    <t>Employee name</t>
  </si>
  <si>
    <t>Department name</t>
  </si>
  <si>
    <t>Product_id_check</t>
  </si>
  <si>
    <t>Product name</t>
  </si>
  <si>
    <t>standard price</t>
  </si>
  <si>
    <t>Branch id check</t>
  </si>
  <si>
    <t>Branch name</t>
  </si>
  <si>
    <t>key</t>
  </si>
  <si>
    <t>target key</t>
  </si>
  <si>
    <t>target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</si>
</sst>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yy"/>
    <numFmt numFmtId="165" formatCode="mmm\-yyyy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2" fillId="4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/>
    <xf numFmtId="0" fontId="2" fillId="4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  <xf numFmtId="4" fontId="0" fillId="0" borderId="0" xfId="0" applyNumberFormat="1"/>
    <xf numFmtId="0" fontId="0" fillId="0" borderId="0" xfId="0"/>
    <xf numFmtId="0" fontId="2" fillId="4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  <xf numFmtId="165" fontId="0" fillId="0" borderId="0" xfId="0" applyNumberFormat="1"/>
    <xf numFmtId="3" fontId="0" fillId="0" borderId="0" xfId="0" applyNumberFormat="1"/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4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4" fillId="6" borderId="0" xfId="0" applyFont="1" applyFill="1"/>
    <xf numFmtId="0" fontId="5" fillId="0" borderId="0" xfId="0" applyFont="1"/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rgb="FF000000"/>
          <bgColor rgb="FFD9EAD3"/>
        </patternFill>
      </fill>
      <alignment horizontal="center" vertical="bottom" textRotation="0" wrapText="0" indent="0" justifyLastLine="0" shrinkToFit="0" readingOrder="0"/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bl_clean_sales" displayName="tbl_clean_sales" ref="A1:U751" totalsRowShown="0" headerRowDxfId="22" dataDxfId="21">
  <autoFilter ref="A1:U751"/>
  <tableColumns count="21">
    <tableColumn id="1" name="Date" dataDxfId="20"/>
    <tableColumn id="2" name="Invoice_ID" dataDxfId="19"/>
    <tableColumn id="3" name="Employee_ID" dataDxfId="18"/>
    <tableColumn id="4" name="Product_ID" dataDxfId="17"/>
    <tableColumn id="5" name="Branch_ID" dataDxfId="16"/>
    <tableColumn id="6" name="Quantity" dataDxfId="15"/>
    <tableColumn id="7" name="Sales_Amount" dataDxfId="14"/>
    <tableColumn id="8" name="Invoice_dup_check" dataDxfId="13"/>
    <tableColumn id="9" name="Data quality check" dataDxfId="12"/>
    <tableColumn id="10" name="employee id check" dataDxfId="11">
      <calculatedColumnFormula>IF(tbl_clean_sales[[#This Row],[Employee_ID]]="","Missing",IFERROR(IF(VLOOKUP(tbl_clean_sales[[#This Row],[Employee_ID]],'02_Employee_Master'!$A$1:$C$12,1,FALSE)=tbl_clean_sales[[#This Row],[Employee_ID]],"Valid","Invalid"),"Invalid"))</calculatedColumnFormula>
    </tableColumn>
    <tableColumn id="11" name="Employee name" dataDxfId="10">
      <calculatedColumnFormula>IFERROR(VLOOKUP(tbl_clean_sales[[#This Row],[Employee_ID]],'02_Employee_Master'!$A$1:$C$12,2,FALSE),"Employee Name Missing")</calculatedColumnFormula>
    </tableColumn>
    <tableColumn id="12" name="Department name" dataDxfId="9">
      <calculatedColumnFormula>IFERROR(VLOOKUP(tbl_clean_sales[[#This Row],[Employee_ID]],'02_Employee_Master'!$A$1:$C$12,3,FALSE),"Department Name Missing")</calculatedColumnFormula>
    </tableColumn>
    <tableColumn id="13" name="Product_id_check" dataDxfId="8">
      <calculatedColumnFormula>IF('03_Clean_data'!D2="","Missing",IFERROR(IF(VLOOKUP(D2,'03_Product_Master'!$A$1:$D$14,1,FALSE)='03_Clean_data'!D2,"Valid","Invalid"),"Invalid"))</calculatedColumnFormula>
    </tableColumn>
    <tableColumn id="14" name="Product name" dataDxfId="7">
      <calculatedColumnFormula>IFERROR(VLOOKUP(tbl_clean_sales[[#This Row],[Product_ID]],'03_Product_Master'!$A$1:$D$14,2,FALSE),"Missing")</calculatedColumnFormula>
    </tableColumn>
    <tableColumn id="15" name="Category" dataDxfId="6">
      <calculatedColumnFormula>IFERROR(VLOOKUP(tbl_clean_sales[[#This Row],[Product_ID]],'03_Product_Master'!$A$1:$D$14,3,FALSE),"Missing")</calculatedColumnFormula>
    </tableColumn>
    <tableColumn id="16" name="standard price" dataDxfId="5">
      <calculatedColumnFormula>IFERROR(VLOOKUP(tbl_clean_sales[[#This Row],[Product_ID]],'03_Product_Master'!$A$1:$D$14,4,FALSE),"Missing")</calculatedColumnFormula>
    </tableColumn>
    <tableColumn id="17" name="Branch id check" dataDxfId="4">
      <calculatedColumnFormula>IF('03_Clean_data'!E2="","Missing",IFERROR(IF(VLOOKUP(E2,'04_Branch_Master'!$A$1:$C$7,1,FALSE)='03_Clean_data'!E2,"Valid","Invalid"),"Invalid"))</calculatedColumnFormula>
    </tableColumn>
    <tableColumn id="18" name="Branch name" dataDxfId="3">
      <calculatedColumnFormula>IFERROR(VLOOKUP(tbl_clean_sales[[#This Row],[Branch_ID]],'04_Branch_Master'!$A$1:$C$7,2,FALSE),"Missing")</calculatedColumnFormula>
    </tableColumn>
    <tableColumn id="19" name="Region" dataDxfId="2">
      <calculatedColumnFormula>IFERROR(VLOOKUP(tbl_clean_sales[[#This Row],[Branch_ID]],'04_Branch_Master'!$A$1:$C$7,3,FALSE),"Missing")</calculatedColumnFormula>
    </tableColumn>
    <tableColumn id="20" name="target key" dataDxfId="1">
      <calculatedColumnFormula>C2&amp;"|"&amp;TEXT(tbl_clean_sales[[#This Row],[Date]],"yyyymm")</calculatedColumnFormula>
    </tableColumn>
    <tableColumn id="21" name="target amount" dataDxfId="0">
      <calculatedColumnFormula>IFERROR(INDEX('05_Target_Master'!$A$1:$F$32,MATCH(tbl_clean_sales[[#This Row],[target key]],'05_Target_Master'!$F$1:$F$32,0),3),"Missing")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14" sqref="A14"/>
    </sheetView>
  </sheetViews>
  <sheetFormatPr defaultRowHeight="14.4" x14ac:dyDescent="0.3"/>
  <cols>
    <col min="1" max="1" width="48.109375" bestFit="1" customWidth="1"/>
    <col min="2" max="2" width="91" bestFit="1" customWidth="1"/>
  </cols>
  <sheetData>
    <row r="1" spans="1:2" ht="18" x14ac:dyDescent="0.35">
      <c r="A1" s="6" t="s">
        <v>790</v>
      </c>
      <c r="B1" s="5"/>
    </row>
    <row r="2" spans="1:2" x14ac:dyDescent="0.3">
      <c r="A2" s="5" t="s">
        <v>791</v>
      </c>
      <c r="B2" s="5" t="s">
        <v>792</v>
      </c>
    </row>
    <row r="3" spans="1:2" x14ac:dyDescent="0.3">
      <c r="A3" s="5" t="s">
        <v>793</v>
      </c>
      <c r="B3" s="5" t="s">
        <v>794</v>
      </c>
    </row>
    <row r="4" spans="1:2" x14ac:dyDescent="0.3">
      <c r="A4" s="5" t="s">
        <v>795</v>
      </c>
      <c r="B4" s="5" t="s">
        <v>796</v>
      </c>
    </row>
    <row r="5" spans="1:2" x14ac:dyDescent="0.3">
      <c r="A5" s="5" t="s">
        <v>797</v>
      </c>
      <c r="B5" s="5" t="s">
        <v>798</v>
      </c>
    </row>
    <row r="7" spans="1:2" x14ac:dyDescent="0.3">
      <c r="A7" s="7" t="s">
        <v>799</v>
      </c>
      <c r="B7" s="7" t="s">
        <v>800</v>
      </c>
    </row>
    <row r="8" spans="1:2" x14ac:dyDescent="0.3">
      <c r="A8" s="5" t="s">
        <v>801</v>
      </c>
      <c r="B8" s="5" t="s">
        <v>802</v>
      </c>
    </row>
    <row r="9" spans="1:2" x14ac:dyDescent="0.3">
      <c r="A9" s="5" t="s">
        <v>803</v>
      </c>
      <c r="B9" s="5" t="s">
        <v>804</v>
      </c>
    </row>
    <row r="10" spans="1:2" x14ac:dyDescent="0.3">
      <c r="A10" s="5" t="s">
        <v>805</v>
      </c>
      <c r="B10" s="5" t="s">
        <v>806</v>
      </c>
    </row>
    <row r="11" spans="1:2" x14ac:dyDescent="0.3">
      <c r="A11" s="5" t="s">
        <v>807</v>
      </c>
      <c r="B11" s="5" t="s">
        <v>808</v>
      </c>
    </row>
    <row r="12" spans="1:2" x14ac:dyDescent="0.3">
      <c r="A12" s="5" t="s">
        <v>809</v>
      </c>
      <c r="B12" s="5" t="s">
        <v>810</v>
      </c>
    </row>
    <row r="13" spans="1:2" x14ac:dyDescent="0.3">
      <c r="A13" s="5" t="s">
        <v>811</v>
      </c>
      <c r="B13" s="5" t="s">
        <v>812</v>
      </c>
    </row>
    <row r="14" spans="1:2" x14ac:dyDescent="0.3">
      <c r="A14" s="5" t="s">
        <v>813</v>
      </c>
      <c r="B14" s="5" t="s">
        <v>814</v>
      </c>
    </row>
    <row r="15" spans="1:2" x14ac:dyDescent="0.3">
      <c r="A15" s="5" t="s">
        <v>815</v>
      </c>
      <c r="B15" s="5" t="s">
        <v>816</v>
      </c>
    </row>
    <row r="16" spans="1:2" x14ac:dyDescent="0.3">
      <c r="A16" s="5" t="s">
        <v>817</v>
      </c>
      <c r="B16" s="5" t="s">
        <v>818</v>
      </c>
    </row>
    <row r="17" spans="1:2" x14ac:dyDescent="0.3">
      <c r="A17" s="5" t="s">
        <v>819</v>
      </c>
      <c r="B17" s="5" t="s">
        <v>820</v>
      </c>
    </row>
    <row r="18" spans="1:2" x14ac:dyDescent="0.3">
      <c r="A18" s="5" t="s">
        <v>821</v>
      </c>
      <c r="B18" s="5" t="s">
        <v>822</v>
      </c>
    </row>
    <row r="19" spans="1:2" x14ac:dyDescent="0.3">
      <c r="A19" s="5" t="s">
        <v>823</v>
      </c>
      <c r="B19" s="5" t="s">
        <v>824</v>
      </c>
    </row>
    <row r="21" spans="1:2" x14ac:dyDescent="0.3">
      <c r="A21" s="5" t="s">
        <v>825</v>
      </c>
      <c r="B21" s="5" t="s">
        <v>826</v>
      </c>
    </row>
    <row r="22" spans="1:2" x14ac:dyDescent="0.3">
      <c r="A22" s="5" t="s">
        <v>827</v>
      </c>
      <c r="B22" s="5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1"/>
  <sheetViews>
    <sheetView workbookViewId="0">
      <selection activeCell="D11" sqref="D11"/>
    </sheetView>
  </sheetViews>
  <sheetFormatPr defaultRowHeight="14.4" x14ac:dyDescent="0.3"/>
  <cols>
    <col min="1" max="1" width="11.88671875" bestFit="1" customWidth="1"/>
    <col min="2" max="2" width="10" bestFit="1" customWidth="1"/>
    <col min="3" max="3" width="16.5546875" bestFit="1" customWidth="1"/>
    <col min="4" max="4" width="10.44140625" bestFit="1" customWidth="1"/>
    <col min="5" max="5" width="9.6640625" bestFit="1" customWidth="1"/>
    <col min="6" max="6" width="8.33203125" bestFit="1" customWidth="1"/>
    <col min="7" max="7" width="13.2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9"/>
    </row>
    <row r="2" spans="1:8" x14ac:dyDescent="0.3">
      <c r="A2" s="3">
        <v>46199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  <c r="G2" s="4">
        <v>279</v>
      </c>
    </row>
    <row r="3" spans="1:8" x14ac:dyDescent="0.3">
      <c r="A3" s="3">
        <v>46140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9</v>
      </c>
      <c r="G3" s="4">
        <v>3426.25</v>
      </c>
    </row>
    <row r="4" spans="1:8" x14ac:dyDescent="0.3">
      <c r="A4" s="3">
        <v>46196</v>
      </c>
      <c r="B4" s="1" t="s">
        <v>15</v>
      </c>
      <c r="C4" s="1" t="s">
        <v>8</v>
      </c>
      <c r="D4" s="1" t="s">
        <v>16</v>
      </c>
      <c r="E4" s="1" t="s">
        <v>10</v>
      </c>
      <c r="F4" s="1">
        <v>10</v>
      </c>
      <c r="G4" s="4">
        <v>2996.51</v>
      </c>
    </row>
    <row r="5" spans="1:8" x14ac:dyDescent="0.3">
      <c r="A5" s="3">
        <v>46113</v>
      </c>
      <c r="B5" s="1" t="s">
        <v>17</v>
      </c>
      <c r="C5" s="1" t="s">
        <v>18</v>
      </c>
      <c r="D5" s="1" t="s">
        <v>19</v>
      </c>
      <c r="E5" s="1" t="s">
        <v>14</v>
      </c>
      <c r="F5" s="1">
        <v>5</v>
      </c>
      <c r="G5" s="4">
        <v>1128.54</v>
      </c>
    </row>
    <row r="6" spans="1:8" x14ac:dyDescent="0.3">
      <c r="A6" s="3">
        <v>46156</v>
      </c>
      <c r="B6" s="1" t="s">
        <v>20</v>
      </c>
      <c r="C6" s="1" t="s">
        <v>21</v>
      </c>
      <c r="D6" s="1" t="s">
        <v>9</v>
      </c>
      <c r="E6" s="1" t="s">
        <v>22</v>
      </c>
      <c r="F6" s="1">
        <v>6</v>
      </c>
      <c r="G6" s="4">
        <v>1509.15</v>
      </c>
    </row>
    <row r="7" spans="1:8" x14ac:dyDescent="0.3">
      <c r="A7" s="3">
        <v>46190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9</v>
      </c>
      <c r="G7" s="4">
        <v>3723.38</v>
      </c>
    </row>
    <row r="8" spans="1:8" x14ac:dyDescent="0.3">
      <c r="A8" s="3">
        <v>46161</v>
      </c>
      <c r="B8" s="1" t="s">
        <v>27</v>
      </c>
      <c r="C8" s="1" t="s">
        <v>21</v>
      </c>
      <c r="D8" s="1" t="s">
        <v>13</v>
      </c>
      <c r="E8" s="1" t="s">
        <v>22</v>
      </c>
      <c r="F8" s="1">
        <v>11</v>
      </c>
      <c r="G8" s="4">
        <v>3971.59</v>
      </c>
    </row>
    <row r="9" spans="1:8" x14ac:dyDescent="0.3">
      <c r="A9" s="3">
        <v>46159</v>
      </c>
      <c r="B9" s="1" t="s">
        <v>28</v>
      </c>
      <c r="C9" s="1" t="s">
        <v>29</v>
      </c>
      <c r="D9" s="1" t="s">
        <v>30</v>
      </c>
      <c r="E9" s="1" t="s">
        <v>10</v>
      </c>
      <c r="F9" s="1">
        <v>1</v>
      </c>
      <c r="G9" s="4">
        <v>147.30000000000001</v>
      </c>
    </row>
    <row r="10" spans="1:8" x14ac:dyDescent="0.3">
      <c r="A10" s="3">
        <v>46150</v>
      </c>
      <c r="B10" s="1" t="s">
        <v>31</v>
      </c>
      <c r="C10" s="1" t="s">
        <v>21</v>
      </c>
      <c r="D10" s="1" t="s">
        <v>30</v>
      </c>
      <c r="E10" s="1" t="s">
        <v>32</v>
      </c>
      <c r="F10" s="1">
        <v>5</v>
      </c>
      <c r="G10" s="4">
        <v>756.47</v>
      </c>
    </row>
    <row r="11" spans="1:8" x14ac:dyDescent="0.3">
      <c r="A11" s="3">
        <v>46159</v>
      </c>
      <c r="B11" s="1" t="s">
        <v>33</v>
      </c>
      <c r="C11" s="1" t="s">
        <v>18</v>
      </c>
      <c r="D11" s="1" t="s">
        <v>34</v>
      </c>
      <c r="E11" s="1" t="s">
        <v>14</v>
      </c>
      <c r="F11" s="1">
        <v>11</v>
      </c>
      <c r="G11" s="4">
        <v>1171.23</v>
      </c>
    </row>
    <row r="12" spans="1:8" x14ac:dyDescent="0.3">
      <c r="A12" s="3">
        <v>46200</v>
      </c>
      <c r="B12" s="1" t="s">
        <v>35</v>
      </c>
      <c r="C12" s="1" t="s">
        <v>21</v>
      </c>
      <c r="D12" s="1" t="s">
        <v>36</v>
      </c>
      <c r="E12" s="1" t="s">
        <v>22</v>
      </c>
      <c r="F12" s="1">
        <v>9</v>
      </c>
      <c r="G12" s="4">
        <v>1560.38</v>
      </c>
    </row>
    <row r="13" spans="1:8" x14ac:dyDescent="0.3">
      <c r="A13" s="3">
        <v>46133</v>
      </c>
      <c r="B13" s="1" t="s">
        <v>37</v>
      </c>
      <c r="C13" s="1" t="s">
        <v>38</v>
      </c>
      <c r="D13" s="1" t="s">
        <v>16</v>
      </c>
      <c r="E13" s="1" t="s">
        <v>32</v>
      </c>
      <c r="F13" s="1">
        <v>11</v>
      </c>
      <c r="G13" s="4">
        <v>3128.4</v>
      </c>
    </row>
    <row r="14" spans="1:8" x14ac:dyDescent="0.3">
      <c r="A14" s="3">
        <v>46141</v>
      </c>
      <c r="B14" s="1" t="s">
        <v>39</v>
      </c>
      <c r="C14" s="1" t="s">
        <v>40</v>
      </c>
      <c r="D14" s="1" t="s">
        <v>25</v>
      </c>
      <c r="E14" s="1" t="s">
        <v>26</v>
      </c>
      <c r="F14" s="1">
        <v>1</v>
      </c>
      <c r="G14" s="4">
        <v>379.43</v>
      </c>
    </row>
    <row r="15" spans="1:8" x14ac:dyDescent="0.3">
      <c r="A15" s="3">
        <v>46164</v>
      </c>
      <c r="B15" s="1" t="s">
        <v>41</v>
      </c>
      <c r="C15" s="1" t="s">
        <v>24</v>
      </c>
      <c r="D15" s="1" t="s">
        <v>9</v>
      </c>
      <c r="E15" s="1" t="s">
        <v>26</v>
      </c>
      <c r="F15" s="1">
        <v>10</v>
      </c>
      <c r="G15" s="4">
        <v>2505.54</v>
      </c>
    </row>
    <row r="16" spans="1:8" x14ac:dyDescent="0.3">
      <c r="A16" s="3">
        <v>46153</v>
      </c>
      <c r="B16" s="1" t="s">
        <v>42</v>
      </c>
      <c r="C16" s="1" t="s">
        <v>12</v>
      </c>
      <c r="D16" s="1" t="s">
        <v>43</v>
      </c>
      <c r="E16" s="1" t="s">
        <v>14</v>
      </c>
      <c r="F16" s="1">
        <v>11</v>
      </c>
      <c r="G16" s="4">
        <v>3534.07</v>
      </c>
    </row>
    <row r="17" spans="1:7" x14ac:dyDescent="0.3">
      <c r="A17" s="3">
        <v>46146</v>
      </c>
      <c r="B17" s="1" t="s">
        <v>44</v>
      </c>
      <c r="C17" s="1" t="s">
        <v>18</v>
      </c>
      <c r="D17" s="1" t="s">
        <v>30</v>
      </c>
      <c r="E17" s="1" t="s">
        <v>14</v>
      </c>
      <c r="F17" s="1">
        <v>9</v>
      </c>
      <c r="G17" s="4">
        <v>1394.6</v>
      </c>
    </row>
    <row r="18" spans="1:7" x14ac:dyDescent="0.3">
      <c r="A18" s="3">
        <v>46187</v>
      </c>
      <c r="B18" s="1" t="s">
        <v>45</v>
      </c>
      <c r="C18" s="1" t="s">
        <v>46</v>
      </c>
      <c r="D18" s="1" t="s">
        <v>36</v>
      </c>
      <c r="E18" s="1" t="s">
        <v>32</v>
      </c>
      <c r="F18" s="1">
        <v>4</v>
      </c>
      <c r="G18" s="4">
        <v>669.04</v>
      </c>
    </row>
    <row r="19" spans="1:7" x14ac:dyDescent="0.3">
      <c r="A19" s="3">
        <v>46130</v>
      </c>
      <c r="B19" s="1" t="s">
        <v>47</v>
      </c>
      <c r="C19" s="1" t="s">
        <v>8</v>
      </c>
      <c r="D19" s="1" t="s">
        <v>48</v>
      </c>
      <c r="E19" s="1" t="s">
        <v>10</v>
      </c>
      <c r="F19" s="1">
        <v>1</v>
      </c>
      <c r="G19" s="4">
        <v>233.13</v>
      </c>
    </row>
    <row r="20" spans="1:7" x14ac:dyDescent="0.3">
      <c r="A20" s="3">
        <v>46132</v>
      </c>
      <c r="B20" s="1" t="s">
        <v>49</v>
      </c>
      <c r="C20" s="1" t="s">
        <v>18</v>
      </c>
      <c r="D20" s="1" t="s">
        <v>43</v>
      </c>
      <c r="E20" s="1" t="s">
        <v>14</v>
      </c>
      <c r="F20" s="1">
        <v>2</v>
      </c>
      <c r="G20" s="4">
        <v>648.6</v>
      </c>
    </row>
    <row r="21" spans="1:7" x14ac:dyDescent="0.3">
      <c r="A21" s="3">
        <v>46189</v>
      </c>
      <c r="B21" s="1" t="s">
        <v>50</v>
      </c>
      <c r="C21" s="1" t="s">
        <v>38</v>
      </c>
      <c r="D21" s="1" t="s">
        <v>13</v>
      </c>
      <c r="E21" s="1" t="s">
        <v>32</v>
      </c>
      <c r="F21" s="1">
        <v>9</v>
      </c>
      <c r="G21" s="4">
        <v>3147.44</v>
      </c>
    </row>
    <row r="22" spans="1:7" x14ac:dyDescent="0.3">
      <c r="A22" s="3">
        <v>46114</v>
      </c>
      <c r="B22" s="1" t="s">
        <v>51</v>
      </c>
      <c r="C22" s="1" t="s">
        <v>21</v>
      </c>
      <c r="D22" s="1" t="s">
        <v>43</v>
      </c>
      <c r="E22" s="1" t="s">
        <v>26</v>
      </c>
      <c r="F22" s="1">
        <v>11</v>
      </c>
      <c r="G22" s="4">
        <v>3587.33</v>
      </c>
    </row>
    <row r="23" spans="1:7" x14ac:dyDescent="0.3">
      <c r="A23" s="3">
        <v>46150</v>
      </c>
      <c r="B23" s="1" t="s">
        <v>52</v>
      </c>
      <c r="C23" s="1" t="s">
        <v>46</v>
      </c>
      <c r="D23" s="1" t="s">
        <v>53</v>
      </c>
      <c r="E23" s="1" t="s">
        <v>32</v>
      </c>
      <c r="F23" s="1">
        <v>12</v>
      </c>
      <c r="G23" s="4">
        <v>3758.57</v>
      </c>
    </row>
    <row r="24" spans="1:7" x14ac:dyDescent="0.3">
      <c r="A24" s="3">
        <v>46146</v>
      </c>
      <c r="B24" s="1" t="s">
        <v>54</v>
      </c>
      <c r="C24" s="1" t="s">
        <v>8</v>
      </c>
      <c r="D24" s="1" t="s">
        <v>53</v>
      </c>
      <c r="E24" s="1" t="s">
        <v>10</v>
      </c>
      <c r="F24" s="1">
        <v>2</v>
      </c>
      <c r="G24" s="4">
        <v>626.88</v>
      </c>
    </row>
    <row r="25" spans="1:7" x14ac:dyDescent="0.3">
      <c r="A25" s="3">
        <v>46151</v>
      </c>
      <c r="B25" s="1" t="s">
        <v>55</v>
      </c>
      <c r="C25" s="1" t="s">
        <v>8</v>
      </c>
      <c r="D25" s="1" t="s">
        <v>36</v>
      </c>
      <c r="E25" s="1" t="s">
        <v>10</v>
      </c>
      <c r="F25" s="1">
        <v>6</v>
      </c>
      <c r="G25" s="4">
        <v>1035.69</v>
      </c>
    </row>
    <row r="26" spans="1:7" x14ac:dyDescent="0.3">
      <c r="A26" s="3">
        <v>46182</v>
      </c>
      <c r="B26" s="1" t="s">
        <v>56</v>
      </c>
      <c r="C26" s="1" t="s">
        <v>8</v>
      </c>
      <c r="D26" s="1" t="s">
        <v>25</v>
      </c>
      <c r="E26" s="1" t="s">
        <v>10</v>
      </c>
      <c r="F26" s="1">
        <v>8</v>
      </c>
      <c r="G26" s="4">
        <v>3352.15</v>
      </c>
    </row>
    <row r="27" spans="1:7" x14ac:dyDescent="0.3">
      <c r="A27" s="3">
        <v>46159</v>
      </c>
      <c r="B27" s="1" t="s">
        <v>57</v>
      </c>
      <c r="C27" s="1" t="s">
        <v>24</v>
      </c>
      <c r="D27" s="1" t="s">
        <v>30</v>
      </c>
      <c r="E27" s="1" t="s">
        <v>26</v>
      </c>
      <c r="F27" s="1">
        <v>10</v>
      </c>
      <c r="G27" s="4">
        <v>1418.19</v>
      </c>
    </row>
    <row r="28" spans="1:7" x14ac:dyDescent="0.3">
      <c r="A28" s="3">
        <v>46123</v>
      </c>
      <c r="B28" s="1" t="s">
        <v>58</v>
      </c>
      <c r="C28" s="1" t="s">
        <v>38</v>
      </c>
      <c r="D28" s="1" t="s">
        <v>9</v>
      </c>
      <c r="E28" s="1" t="s">
        <v>10</v>
      </c>
      <c r="F28" s="1">
        <v>3</v>
      </c>
      <c r="G28" s="4">
        <v>827.06</v>
      </c>
    </row>
    <row r="29" spans="1:7" x14ac:dyDescent="0.3">
      <c r="A29" s="3">
        <v>46173</v>
      </c>
      <c r="B29" s="1" t="s">
        <v>59</v>
      </c>
      <c r="C29" s="1" t="s">
        <v>8</v>
      </c>
      <c r="D29" s="1" t="s">
        <v>53</v>
      </c>
      <c r="E29" s="1" t="s">
        <v>10</v>
      </c>
      <c r="F29" s="1">
        <v>10</v>
      </c>
      <c r="G29" s="4">
        <v>3322.28</v>
      </c>
    </row>
    <row r="30" spans="1:7" x14ac:dyDescent="0.3">
      <c r="A30" s="3">
        <v>46140</v>
      </c>
      <c r="B30" s="1" t="s">
        <v>60</v>
      </c>
      <c r="C30" s="1" t="s">
        <v>8</v>
      </c>
      <c r="D30" s="1" t="s">
        <v>19</v>
      </c>
      <c r="E30" s="1" t="s">
        <v>10</v>
      </c>
      <c r="F30" s="1">
        <v>12</v>
      </c>
      <c r="G30" s="4">
        <v>2656.76</v>
      </c>
    </row>
    <row r="31" spans="1:7" x14ac:dyDescent="0.3">
      <c r="A31" s="3">
        <v>46198</v>
      </c>
      <c r="B31" s="1" t="s">
        <v>61</v>
      </c>
      <c r="C31" s="1" t="s">
        <v>40</v>
      </c>
      <c r="D31" s="1" t="s">
        <v>48</v>
      </c>
      <c r="E31" s="1" t="s">
        <v>32</v>
      </c>
      <c r="F31" s="1">
        <v>2</v>
      </c>
      <c r="G31" s="4">
        <v>504.53</v>
      </c>
    </row>
    <row r="32" spans="1:7" x14ac:dyDescent="0.3">
      <c r="A32" s="3">
        <v>46121</v>
      </c>
      <c r="B32" s="1" t="s">
        <v>62</v>
      </c>
      <c r="C32" s="1" t="s">
        <v>40</v>
      </c>
      <c r="D32" s="1" t="s">
        <v>25</v>
      </c>
      <c r="E32" s="1" t="s">
        <v>26</v>
      </c>
      <c r="F32" s="1">
        <v>4</v>
      </c>
      <c r="G32" s="4">
        <v>1561.37</v>
      </c>
    </row>
    <row r="33" spans="1:7" x14ac:dyDescent="0.3">
      <c r="A33" s="3">
        <v>46113</v>
      </c>
      <c r="B33" s="1" t="s">
        <v>63</v>
      </c>
      <c r="C33" s="1" t="s">
        <v>21</v>
      </c>
      <c r="D33" s="1" t="s">
        <v>19</v>
      </c>
      <c r="E33" s="1" t="s">
        <v>22</v>
      </c>
      <c r="F33" s="1">
        <v>4</v>
      </c>
      <c r="G33" s="4">
        <v>912.56</v>
      </c>
    </row>
    <row r="34" spans="1:7" x14ac:dyDescent="0.3">
      <c r="A34" s="3">
        <v>46117</v>
      </c>
      <c r="B34" s="1" t="s">
        <v>64</v>
      </c>
      <c r="C34" s="1" t="s">
        <v>40</v>
      </c>
      <c r="D34" s="1" t="s">
        <v>9</v>
      </c>
      <c r="E34" s="1" t="s">
        <v>26</v>
      </c>
      <c r="F34" s="1">
        <v>5</v>
      </c>
      <c r="G34" s="4">
        <v>1287.6099999999999</v>
      </c>
    </row>
    <row r="35" spans="1:7" x14ac:dyDescent="0.3">
      <c r="A35" s="3">
        <v>46140</v>
      </c>
      <c r="B35" s="1" t="s">
        <v>65</v>
      </c>
      <c r="C35" s="1" t="s">
        <v>8</v>
      </c>
      <c r="D35" s="1" t="s">
        <v>53</v>
      </c>
      <c r="E35" s="1" t="s">
        <v>10</v>
      </c>
      <c r="F35" s="1">
        <v>10</v>
      </c>
      <c r="G35" s="4">
        <v>3257.99</v>
      </c>
    </row>
    <row r="36" spans="1:7" x14ac:dyDescent="0.3">
      <c r="A36" s="3">
        <v>46144</v>
      </c>
      <c r="B36" s="1" t="s">
        <v>66</v>
      </c>
      <c r="C36" s="1" t="s">
        <v>38</v>
      </c>
      <c r="D36" s="1" t="s">
        <v>16</v>
      </c>
      <c r="E36" s="1" t="s">
        <v>32</v>
      </c>
      <c r="F36" s="1">
        <v>2</v>
      </c>
      <c r="G36" s="4">
        <v>570.97</v>
      </c>
    </row>
    <row r="37" spans="1:7" x14ac:dyDescent="0.3">
      <c r="A37" s="3">
        <v>46158</v>
      </c>
      <c r="B37" s="1" t="s">
        <v>67</v>
      </c>
      <c r="C37" s="1" t="s">
        <v>46</v>
      </c>
      <c r="D37" s="1" t="s">
        <v>16</v>
      </c>
      <c r="E37" s="1" t="s">
        <v>32</v>
      </c>
      <c r="F37" s="1">
        <v>12</v>
      </c>
      <c r="G37" s="4">
        <v>3695.82</v>
      </c>
    </row>
    <row r="38" spans="1:7" x14ac:dyDescent="0.3">
      <c r="A38" s="3">
        <v>46196</v>
      </c>
      <c r="B38" s="1" t="s">
        <v>68</v>
      </c>
      <c r="C38" s="1" t="s">
        <v>21</v>
      </c>
      <c r="D38" s="1" t="s">
        <v>25</v>
      </c>
      <c r="E38" s="1" t="s">
        <v>22</v>
      </c>
      <c r="F38" s="1">
        <v>6</v>
      </c>
      <c r="G38" s="4">
        <v>2277.9</v>
      </c>
    </row>
    <row r="39" spans="1:7" x14ac:dyDescent="0.3">
      <c r="A39" s="3">
        <v>46126</v>
      </c>
      <c r="B39" s="1" t="s">
        <v>69</v>
      </c>
      <c r="C39" s="1" t="s">
        <v>12</v>
      </c>
      <c r="D39" s="1" t="s">
        <v>30</v>
      </c>
      <c r="E39" s="1" t="s">
        <v>14</v>
      </c>
      <c r="F39" s="1">
        <v>8</v>
      </c>
      <c r="G39" s="4">
        <v>1258.47</v>
      </c>
    </row>
    <row r="40" spans="1:7" x14ac:dyDescent="0.3">
      <c r="A40" s="3">
        <v>46136</v>
      </c>
      <c r="B40" s="1" t="s">
        <v>70</v>
      </c>
      <c r="C40" s="1" t="s">
        <v>24</v>
      </c>
      <c r="D40" s="1" t="s">
        <v>48</v>
      </c>
      <c r="E40" s="1" t="s">
        <v>26</v>
      </c>
      <c r="F40" s="1">
        <v>2</v>
      </c>
      <c r="G40" s="4">
        <v>492.35</v>
      </c>
    </row>
    <row r="41" spans="1:7" x14ac:dyDescent="0.3">
      <c r="A41" s="3">
        <v>46183</v>
      </c>
      <c r="B41" s="1" t="s">
        <v>71</v>
      </c>
      <c r="C41" s="1" t="s">
        <v>21</v>
      </c>
      <c r="D41" s="1" t="s">
        <v>25</v>
      </c>
      <c r="E41" s="1" t="s">
        <v>22</v>
      </c>
      <c r="F41" s="1">
        <v>9</v>
      </c>
      <c r="G41" s="4">
        <v>3400.78</v>
      </c>
    </row>
    <row r="42" spans="1:7" x14ac:dyDescent="0.3">
      <c r="A42" s="3">
        <v>46124</v>
      </c>
      <c r="B42" s="1" t="s">
        <v>72</v>
      </c>
      <c r="C42" s="1" t="s">
        <v>12</v>
      </c>
      <c r="D42" s="1" t="s">
        <v>53</v>
      </c>
      <c r="E42" s="1" t="s">
        <v>14</v>
      </c>
      <c r="F42" s="1">
        <v>8</v>
      </c>
      <c r="G42" s="4">
        <v>2728.18</v>
      </c>
    </row>
    <row r="43" spans="1:7" x14ac:dyDescent="0.3">
      <c r="A43" s="3">
        <v>46164</v>
      </c>
      <c r="B43" s="1" t="s">
        <v>73</v>
      </c>
      <c r="C43" s="1" t="s">
        <v>74</v>
      </c>
      <c r="D43" s="1" t="s">
        <v>53</v>
      </c>
      <c r="E43" s="1" t="s">
        <v>22</v>
      </c>
      <c r="F43" s="1">
        <v>7</v>
      </c>
      <c r="G43" s="4">
        <v>2372.0300000000002</v>
      </c>
    </row>
    <row r="44" spans="1:7" x14ac:dyDescent="0.3">
      <c r="A44" s="3">
        <v>46171</v>
      </c>
      <c r="B44" s="1" t="s">
        <v>75</v>
      </c>
      <c r="C44" s="1" t="s">
        <v>24</v>
      </c>
      <c r="D44" s="1" t="s">
        <v>16</v>
      </c>
      <c r="E44" s="1" t="s">
        <v>26</v>
      </c>
      <c r="F44" s="1">
        <v>12</v>
      </c>
      <c r="G44" s="4">
        <v>3275.64</v>
      </c>
    </row>
    <row r="45" spans="1:7" x14ac:dyDescent="0.3">
      <c r="A45" s="3">
        <v>46184</v>
      </c>
      <c r="B45" s="1" t="s">
        <v>76</v>
      </c>
      <c r="C45" s="1" t="s">
        <v>38</v>
      </c>
      <c r="D45" s="1" t="s">
        <v>53</v>
      </c>
      <c r="E45" s="1" t="s">
        <v>32</v>
      </c>
      <c r="F45" s="1">
        <v>4</v>
      </c>
      <c r="G45" s="4">
        <v>1237.26</v>
      </c>
    </row>
    <row r="46" spans="1:7" x14ac:dyDescent="0.3">
      <c r="A46" s="3">
        <v>46187</v>
      </c>
      <c r="B46" s="1" t="s">
        <v>77</v>
      </c>
      <c r="C46" s="1" t="s">
        <v>8</v>
      </c>
      <c r="D46" s="1" t="s">
        <v>25</v>
      </c>
      <c r="E46" s="1" t="s">
        <v>10</v>
      </c>
      <c r="F46" s="1">
        <v>1</v>
      </c>
      <c r="G46" s="4">
        <v>417.47</v>
      </c>
    </row>
    <row r="47" spans="1:7" x14ac:dyDescent="0.3">
      <c r="A47" s="3">
        <v>46174</v>
      </c>
      <c r="B47" s="1" t="s">
        <v>78</v>
      </c>
      <c r="C47" s="1" t="s">
        <v>8</v>
      </c>
      <c r="D47" s="1" t="s">
        <v>13</v>
      </c>
      <c r="E47" s="1" t="s">
        <v>10</v>
      </c>
      <c r="F47" s="1">
        <v>9</v>
      </c>
      <c r="G47" s="4">
        <v>3476.26</v>
      </c>
    </row>
    <row r="48" spans="1:7" x14ac:dyDescent="0.3">
      <c r="A48" s="3">
        <v>46136</v>
      </c>
      <c r="B48" s="1" t="s">
        <v>79</v>
      </c>
      <c r="C48" s="1" t="s">
        <v>21</v>
      </c>
      <c r="D48" s="1" t="s">
        <v>36</v>
      </c>
      <c r="E48" s="1" t="s">
        <v>22</v>
      </c>
      <c r="F48" s="1">
        <v>4</v>
      </c>
      <c r="G48" s="4">
        <v>723.18</v>
      </c>
    </row>
    <row r="49" spans="1:7" x14ac:dyDescent="0.3">
      <c r="A49" s="3">
        <v>46185</v>
      </c>
      <c r="B49" s="1" t="s">
        <v>80</v>
      </c>
      <c r="C49" s="1" t="s">
        <v>12</v>
      </c>
      <c r="D49" s="1" t="s">
        <v>36</v>
      </c>
      <c r="E49" s="1" t="s">
        <v>14</v>
      </c>
      <c r="F49" s="1">
        <v>10</v>
      </c>
      <c r="G49" s="4">
        <v>1881.31</v>
      </c>
    </row>
    <row r="50" spans="1:7" x14ac:dyDescent="0.3">
      <c r="A50" s="3">
        <v>46197</v>
      </c>
      <c r="B50" s="1" t="s">
        <v>81</v>
      </c>
      <c r="C50" s="1" t="s">
        <v>29</v>
      </c>
      <c r="D50" s="1" t="s">
        <v>36</v>
      </c>
      <c r="E50" s="1" t="s">
        <v>10</v>
      </c>
      <c r="F50" s="1">
        <v>5</v>
      </c>
      <c r="G50" s="4">
        <v>926.71</v>
      </c>
    </row>
    <row r="51" spans="1:7" x14ac:dyDescent="0.3">
      <c r="A51" s="3">
        <v>46153</v>
      </c>
      <c r="B51" s="1" t="s">
        <v>81</v>
      </c>
      <c r="C51" s="1" t="s">
        <v>12</v>
      </c>
      <c r="D51" s="1" t="s">
        <v>82</v>
      </c>
      <c r="E51" s="1" t="s">
        <v>14</v>
      </c>
      <c r="F51" s="1">
        <v>11</v>
      </c>
      <c r="G51" s="4">
        <v>1217.75</v>
      </c>
    </row>
    <row r="52" spans="1:7" x14ac:dyDescent="0.3">
      <c r="A52" s="3">
        <v>46171</v>
      </c>
      <c r="B52" s="1" t="s">
        <v>83</v>
      </c>
      <c r="C52" s="1" t="s">
        <v>40</v>
      </c>
      <c r="D52" s="1" t="s">
        <v>9</v>
      </c>
      <c r="E52" s="1" t="s">
        <v>26</v>
      </c>
      <c r="F52" s="1">
        <v>10</v>
      </c>
      <c r="G52" s="4">
        <v>2464.52</v>
      </c>
    </row>
    <row r="53" spans="1:7" x14ac:dyDescent="0.3">
      <c r="A53" s="3">
        <v>46125</v>
      </c>
      <c r="B53" s="1" t="s">
        <v>84</v>
      </c>
      <c r="C53" s="1" t="s">
        <v>21</v>
      </c>
      <c r="D53" s="1" t="s">
        <v>13</v>
      </c>
      <c r="E53" s="1" t="s">
        <v>22</v>
      </c>
      <c r="F53" s="1">
        <v>5</v>
      </c>
      <c r="G53" s="4">
        <v>1919.01</v>
      </c>
    </row>
    <row r="54" spans="1:7" x14ac:dyDescent="0.3">
      <c r="A54" s="3">
        <v>46157</v>
      </c>
      <c r="B54" s="1" t="s">
        <v>85</v>
      </c>
      <c r="C54" s="1" t="s">
        <v>21</v>
      </c>
      <c r="D54" s="1" t="s">
        <v>30</v>
      </c>
      <c r="E54" s="1" t="s">
        <v>22</v>
      </c>
      <c r="F54" s="1">
        <v>3</v>
      </c>
      <c r="G54" s="4">
        <v>454.76</v>
      </c>
    </row>
    <row r="55" spans="1:7" x14ac:dyDescent="0.3">
      <c r="A55" s="3">
        <v>46182</v>
      </c>
      <c r="B55" s="1" t="s">
        <v>86</v>
      </c>
      <c r="C55" s="1" t="s">
        <v>24</v>
      </c>
      <c r="D55" s="1" t="s">
        <v>36</v>
      </c>
      <c r="E55" s="1" t="s">
        <v>10</v>
      </c>
      <c r="F55" s="1">
        <v>1</v>
      </c>
      <c r="G55" s="4">
        <v>174.77</v>
      </c>
    </row>
    <row r="56" spans="1:7" x14ac:dyDescent="0.3">
      <c r="A56" s="3">
        <v>46183</v>
      </c>
      <c r="B56" s="1" t="s">
        <v>87</v>
      </c>
      <c r="C56" s="1" t="s">
        <v>24</v>
      </c>
      <c r="D56" s="1" t="s">
        <v>43</v>
      </c>
      <c r="E56" s="1" t="s">
        <v>26</v>
      </c>
      <c r="F56" s="1">
        <v>3</v>
      </c>
      <c r="G56" s="4">
        <v>987.63</v>
      </c>
    </row>
    <row r="57" spans="1:7" x14ac:dyDescent="0.3">
      <c r="A57" s="3">
        <v>46126</v>
      </c>
      <c r="B57" s="1" t="s">
        <v>88</v>
      </c>
      <c r="C57" s="1" t="s">
        <v>8</v>
      </c>
      <c r="D57" s="1" t="s">
        <v>53</v>
      </c>
      <c r="E57" s="1" t="s">
        <v>10</v>
      </c>
      <c r="F57" s="1">
        <v>10</v>
      </c>
      <c r="G57" s="4">
        <v>3411.54</v>
      </c>
    </row>
    <row r="58" spans="1:7" x14ac:dyDescent="0.3">
      <c r="A58" s="3">
        <v>46156</v>
      </c>
      <c r="B58" s="1" t="s">
        <v>89</v>
      </c>
      <c r="C58" s="1" t="s">
        <v>12</v>
      </c>
      <c r="D58" s="1" t="s">
        <v>43</v>
      </c>
      <c r="E58" s="1" t="s">
        <v>14</v>
      </c>
      <c r="F58" s="1">
        <v>5</v>
      </c>
      <c r="G58" s="4">
        <v>1596.9</v>
      </c>
    </row>
    <row r="59" spans="1:7" x14ac:dyDescent="0.3">
      <c r="A59" s="3">
        <v>46145</v>
      </c>
      <c r="B59" s="1" t="s">
        <v>90</v>
      </c>
      <c r="C59" s="1" t="s">
        <v>74</v>
      </c>
      <c r="D59" s="1" t="s">
        <v>9</v>
      </c>
      <c r="E59" s="1" t="s">
        <v>22</v>
      </c>
      <c r="F59" s="1">
        <v>5</v>
      </c>
      <c r="G59" s="4">
        <v>1392.59</v>
      </c>
    </row>
    <row r="60" spans="1:7" x14ac:dyDescent="0.3">
      <c r="A60" s="3">
        <v>46155</v>
      </c>
      <c r="B60" s="1" t="s">
        <v>91</v>
      </c>
      <c r="C60" s="1" t="s">
        <v>18</v>
      </c>
      <c r="D60" s="1" t="s">
        <v>43</v>
      </c>
      <c r="E60" s="1" t="s">
        <v>14</v>
      </c>
      <c r="F60" s="1">
        <v>12</v>
      </c>
      <c r="G60" s="4">
        <v>3863.68</v>
      </c>
    </row>
    <row r="61" spans="1:7" x14ac:dyDescent="0.3">
      <c r="A61" s="3">
        <v>46203</v>
      </c>
      <c r="B61" s="1" t="s">
        <v>92</v>
      </c>
      <c r="C61" s="1" t="s">
        <v>46</v>
      </c>
      <c r="D61" s="1" t="s">
        <v>13</v>
      </c>
      <c r="E61" s="1" t="s">
        <v>32</v>
      </c>
      <c r="F61" s="1">
        <v>2</v>
      </c>
      <c r="G61" s="4">
        <v>691.54</v>
      </c>
    </row>
    <row r="62" spans="1:7" x14ac:dyDescent="0.3">
      <c r="A62" s="3">
        <v>46201</v>
      </c>
      <c r="B62" s="1" t="s">
        <v>93</v>
      </c>
      <c r="C62" s="1" t="s">
        <v>18</v>
      </c>
      <c r="D62" s="1" t="s">
        <v>13</v>
      </c>
      <c r="E62" s="1" t="s">
        <v>14</v>
      </c>
      <c r="F62" s="1">
        <v>6</v>
      </c>
      <c r="G62" s="4">
        <v>2176.4299999999998</v>
      </c>
    </row>
    <row r="63" spans="1:7" x14ac:dyDescent="0.3">
      <c r="A63" s="3">
        <v>46131</v>
      </c>
      <c r="B63" s="1" t="s">
        <v>94</v>
      </c>
      <c r="C63" s="1" t="s">
        <v>46</v>
      </c>
      <c r="D63" s="1" t="s">
        <v>53</v>
      </c>
      <c r="E63" s="1" t="s">
        <v>32</v>
      </c>
      <c r="F63" s="1">
        <v>6</v>
      </c>
      <c r="G63" s="4">
        <v>1873.46</v>
      </c>
    </row>
    <row r="64" spans="1:7" x14ac:dyDescent="0.3">
      <c r="A64" s="3">
        <v>46118</v>
      </c>
      <c r="B64" s="1" t="s">
        <v>95</v>
      </c>
      <c r="C64" s="1" t="s">
        <v>40</v>
      </c>
      <c r="D64" s="1" t="s">
        <v>30</v>
      </c>
      <c r="E64" s="1" t="s">
        <v>26</v>
      </c>
      <c r="F64" s="1">
        <v>11</v>
      </c>
      <c r="G64" s="4">
        <v>1738.29</v>
      </c>
    </row>
    <row r="65" spans="1:7" x14ac:dyDescent="0.3">
      <c r="A65" s="3">
        <v>46184</v>
      </c>
      <c r="B65" s="1" t="s">
        <v>96</v>
      </c>
      <c r="C65" s="1" t="s">
        <v>46</v>
      </c>
      <c r="D65" s="1" t="s">
        <v>36</v>
      </c>
      <c r="E65" s="1" t="s">
        <v>32</v>
      </c>
      <c r="F65" s="1">
        <v>4</v>
      </c>
      <c r="G65" s="4">
        <v>681.15</v>
      </c>
    </row>
    <row r="66" spans="1:7" x14ac:dyDescent="0.3">
      <c r="A66" s="3">
        <v>46135</v>
      </c>
      <c r="B66" s="1" t="s">
        <v>97</v>
      </c>
      <c r="C66" s="1" t="s">
        <v>46</v>
      </c>
      <c r="D66" s="1" t="s">
        <v>25</v>
      </c>
      <c r="E66" s="1" t="s">
        <v>32</v>
      </c>
      <c r="F66" s="1">
        <v>6</v>
      </c>
      <c r="G66" s="4">
        <v>2283.41</v>
      </c>
    </row>
    <row r="67" spans="1:7" x14ac:dyDescent="0.3">
      <c r="A67" s="3">
        <v>46165</v>
      </c>
      <c r="B67" s="1" t="s">
        <v>98</v>
      </c>
      <c r="C67" s="1" t="s">
        <v>12</v>
      </c>
      <c r="D67" s="1" t="s">
        <v>82</v>
      </c>
      <c r="E67" s="1" t="s">
        <v>14</v>
      </c>
      <c r="F67" s="1">
        <v>12</v>
      </c>
      <c r="G67" s="4">
        <v>1421.32</v>
      </c>
    </row>
    <row r="68" spans="1:7" x14ac:dyDescent="0.3">
      <c r="A68" s="3">
        <v>46117</v>
      </c>
      <c r="B68" s="1" t="s">
        <v>99</v>
      </c>
      <c r="C68" s="1" t="s">
        <v>38</v>
      </c>
      <c r="D68" s="1" t="s">
        <v>30</v>
      </c>
      <c r="E68" s="1" t="s">
        <v>32</v>
      </c>
      <c r="F68" s="1">
        <v>8</v>
      </c>
      <c r="G68" s="4">
        <v>1226.29</v>
      </c>
    </row>
    <row r="69" spans="1:7" x14ac:dyDescent="0.3">
      <c r="A69" s="3">
        <v>46142</v>
      </c>
      <c r="B69" s="1" t="s">
        <v>100</v>
      </c>
      <c r="C69" s="1" t="s">
        <v>12</v>
      </c>
      <c r="D69" s="1" t="s">
        <v>25</v>
      </c>
      <c r="E69" s="1" t="s">
        <v>14</v>
      </c>
      <c r="F69" s="1">
        <v>7</v>
      </c>
      <c r="G69" s="4">
        <v>2824.19</v>
      </c>
    </row>
    <row r="70" spans="1:7" x14ac:dyDescent="0.3">
      <c r="A70" s="3">
        <v>46121</v>
      </c>
      <c r="B70" s="1" t="s">
        <v>101</v>
      </c>
      <c r="C70" s="1" t="s">
        <v>24</v>
      </c>
      <c r="D70" s="1" t="s">
        <v>34</v>
      </c>
      <c r="E70" s="1" t="s">
        <v>26</v>
      </c>
      <c r="F70" s="1">
        <v>7</v>
      </c>
      <c r="G70" s="4">
        <v>707.21</v>
      </c>
    </row>
    <row r="71" spans="1:7" x14ac:dyDescent="0.3">
      <c r="A71" s="3">
        <v>46181</v>
      </c>
      <c r="B71" s="1" t="s">
        <v>102</v>
      </c>
      <c r="C71" s="1" t="s">
        <v>40</v>
      </c>
      <c r="D71" s="1" t="s">
        <v>25</v>
      </c>
      <c r="E71" s="1" t="s">
        <v>26</v>
      </c>
      <c r="F71" s="1">
        <v>5</v>
      </c>
      <c r="G71" s="4">
        <v>2055</v>
      </c>
    </row>
    <row r="72" spans="1:7" x14ac:dyDescent="0.3">
      <c r="A72" s="3">
        <v>46146</v>
      </c>
      <c r="B72" s="1" t="s">
        <v>103</v>
      </c>
      <c r="C72" s="1" t="s">
        <v>74</v>
      </c>
      <c r="D72" s="1" t="s">
        <v>9</v>
      </c>
      <c r="E72" s="1" t="s">
        <v>22</v>
      </c>
      <c r="F72" s="1">
        <v>6</v>
      </c>
      <c r="G72" s="4">
        <v>1533.13</v>
      </c>
    </row>
    <row r="73" spans="1:7" x14ac:dyDescent="0.3">
      <c r="A73" s="3">
        <v>46153</v>
      </c>
      <c r="B73" s="1" t="s">
        <v>104</v>
      </c>
      <c r="C73" s="1" t="s">
        <v>46</v>
      </c>
      <c r="D73" s="1" t="s">
        <v>36</v>
      </c>
      <c r="E73" s="1" t="s">
        <v>22</v>
      </c>
      <c r="F73" s="1">
        <v>7</v>
      </c>
      <c r="G73" s="4">
        <v>1186.44</v>
      </c>
    </row>
    <row r="74" spans="1:7" x14ac:dyDescent="0.3">
      <c r="A74" s="3">
        <v>46137</v>
      </c>
      <c r="B74" s="1" t="s">
        <v>105</v>
      </c>
      <c r="C74" s="1" t="s">
        <v>24</v>
      </c>
      <c r="D74" s="1" t="s">
        <v>25</v>
      </c>
      <c r="E74" s="1" t="s">
        <v>26</v>
      </c>
      <c r="F74" s="1">
        <v>1</v>
      </c>
      <c r="G74" s="4">
        <v>393.8</v>
      </c>
    </row>
    <row r="75" spans="1:7" x14ac:dyDescent="0.3">
      <c r="A75" s="3">
        <v>46181</v>
      </c>
      <c r="B75" s="1" t="s">
        <v>106</v>
      </c>
      <c r="C75" s="1" t="s">
        <v>12</v>
      </c>
      <c r="D75" s="1" t="s">
        <v>34</v>
      </c>
      <c r="E75" s="1" t="s">
        <v>14</v>
      </c>
      <c r="F75" s="1">
        <v>11</v>
      </c>
      <c r="G75" s="4">
        <v>1076.3</v>
      </c>
    </row>
    <row r="76" spans="1:7" x14ac:dyDescent="0.3">
      <c r="A76" s="3">
        <v>46192</v>
      </c>
      <c r="B76" s="1" t="s">
        <v>107</v>
      </c>
      <c r="C76" s="1" t="s">
        <v>40</v>
      </c>
      <c r="D76" s="1" t="s">
        <v>43</v>
      </c>
      <c r="E76" s="1" t="s">
        <v>26</v>
      </c>
      <c r="F76" s="1">
        <v>9</v>
      </c>
      <c r="G76" s="4">
        <v>2946.43</v>
      </c>
    </row>
    <row r="77" spans="1:7" x14ac:dyDescent="0.3">
      <c r="A77" s="3">
        <v>46165</v>
      </c>
      <c r="B77" s="1" t="s">
        <v>108</v>
      </c>
      <c r="C77" s="1" t="s">
        <v>40</v>
      </c>
      <c r="D77" s="1" t="s">
        <v>16</v>
      </c>
      <c r="E77" s="1" t="s">
        <v>26</v>
      </c>
      <c r="F77" s="1">
        <v>9</v>
      </c>
      <c r="G77" s="4">
        <v>2747.38</v>
      </c>
    </row>
    <row r="78" spans="1:7" x14ac:dyDescent="0.3">
      <c r="A78" s="3">
        <v>46166</v>
      </c>
      <c r="B78" s="1" t="s">
        <v>109</v>
      </c>
      <c r="C78" s="1" t="s">
        <v>46</v>
      </c>
      <c r="D78" s="1" t="s">
        <v>43</v>
      </c>
      <c r="E78" s="1" t="s">
        <v>32</v>
      </c>
      <c r="F78" s="1">
        <v>3</v>
      </c>
      <c r="G78" s="4">
        <v>944.66</v>
      </c>
    </row>
    <row r="79" spans="1:7" x14ac:dyDescent="0.3">
      <c r="A79" s="3">
        <v>46151</v>
      </c>
      <c r="B79" s="1" t="s">
        <v>110</v>
      </c>
      <c r="C79" s="1" t="s">
        <v>46</v>
      </c>
      <c r="D79" s="1" t="s">
        <v>13</v>
      </c>
      <c r="E79" s="1" t="s">
        <v>26</v>
      </c>
      <c r="F79" s="1">
        <v>5</v>
      </c>
      <c r="G79" s="4">
        <v>1900.82</v>
      </c>
    </row>
    <row r="80" spans="1:7" x14ac:dyDescent="0.3">
      <c r="A80" s="3">
        <v>46187</v>
      </c>
      <c r="B80" s="1" t="s">
        <v>111</v>
      </c>
      <c r="C80" s="1" t="s">
        <v>29</v>
      </c>
      <c r="D80" s="1" t="s">
        <v>43</v>
      </c>
      <c r="E80" s="1" t="s">
        <v>10</v>
      </c>
      <c r="F80" s="1">
        <v>8</v>
      </c>
      <c r="G80" s="4">
        <v>2575.6799999999998</v>
      </c>
    </row>
    <row r="81" spans="1:7" x14ac:dyDescent="0.3">
      <c r="A81" s="3">
        <v>46140</v>
      </c>
      <c r="B81" s="1" t="s">
        <v>112</v>
      </c>
      <c r="C81" s="1" t="s">
        <v>8</v>
      </c>
      <c r="D81" s="1" t="s">
        <v>48</v>
      </c>
      <c r="E81" s="1" t="s">
        <v>14</v>
      </c>
      <c r="F81" s="1">
        <v>11</v>
      </c>
      <c r="G81" s="4">
        <v>2830.9</v>
      </c>
    </row>
    <row r="82" spans="1:7" x14ac:dyDescent="0.3">
      <c r="A82" s="3">
        <v>46178</v>
      </c>
      <c r="B82" s="1" t="s">
        <v>113</v>
      </c>
      <c r="C82" s="1" t="s">
        <v>29</v>
      </c>
      <c r="D82" s="1" t="s">
        <v>34</v>
      </c>
      <c r="E82" s="1" t="s">
        <v>10</v>
      </c>
      <c r="F82" s="1">
        <v>4</v>
      </c>
      <c r="G82" s="4">
        <v>404.48</v>
      </c>
    </row>
    <row r="83" spans="1:7" x14ac:dyDescent="0.3">
      <c r="A83" s="3">
        <v>46141</v>
      </c>
      <c r="B83" s="1" t="s">
        <v>114</v>
      </c>
      <c r="C83" s="1" t="s">
        <v>12</v>
      </c>
      <c r="D83" s="1" t="s">
        <v>53</v>
      </c>
      <c r="E83" s="1" t="s">
        <v>14</v>
      </c>
      <c r="F83" s="1">
        <v>4</v>
      </c>
      <c r="G83" s="4">
        <v>1234.7</v>
      </c>
    </row>
    <row r="84" spans="1:7" x14ac:dyDescent="0.3">
      <c r="A84" s="3">
        <v>46191</v>
      </c>
      <c r="B84" s="1" t="s">
        <v>115</v>
      </c>
      <c r="C84" s="1" t="s">
        <v>21</v>
      </c>
      <c r="D84" s="1" t="s">
        <v>48</v>
      </c>
      <c r="E84" s="1" t="s">
        <v>22</v>
      </c>
      <c r="F84" s="1">
        <v>11</v>
      </c>
      <c r="G84" s="4">
        <v>2662.43</v>
      </c>
    </row>
    <row r="85" spans="1:7" x14ac:dyDescent="0.3">
      <c r="A85" s="3">
        <v>46202</v>
      </c>
      <c r="B85" s="1" t="s">
        <v>116</v>
      </c>
      <c r="C85" s="1" t="s">
        <v>46</v>
      </c>
      <c r="D85" s="1" t="s">
        <v>48</v>
      </c>
      <c r="E85" s="1" t="s">
        <v>32</v>
      </c>
      <c r="F85" s="1">
        <v>3</v>
      </c>
      <c r="G85" s="4">
        <v>718.59</v>
      </c>
    </row>
    <row r="86" spans="1:7" x14ac:dyDescent="0.3">
      <c r="A86" s="3">
        <v>46113</v>
      </c>
      <c r="B86" s="1" t="s">
        <v>117</v>
      </c>
      <c r="C86" s="1" t="s">
        <v>21</v>
      </c>
      <c r="D86" s="1" t="s">
        <v>16</v>
      </c>
      <c r="E86" s="1" t="s">
        <v>22</v>
      </c>
      <c r="F86" s="1">
        <v>12</v>
      </c>
      <c r="G86" s="4">
        <v>3488.78</v>
      </c>
    </row>
    <row r="87" spans="1:7" x14ac:dyDescent="0.3">
      <c r="A87" s="3">
        <v>46119</v>
      </c>
      <c r="B87" s="1" t="s">
        <v>118</v>
      </c>
      <c r="C87" s="1"/>
      <c r="D87" s="1" t="s">
        <v>30</v>
      </c>
      <c r="E87" s="1" t="s">
        <v>22</v>
      </c>
      <c r="F87" s="1">
        <v>8</v>
      </c>
      <c r="G87" s="4">
        <v>1259.52</v>
      </c>
    </row>
    <row r="88" spans="1:7" x14ac:dyDescent="0.3">
      <c r="A88" s="3">
        <v>46172</v>
      </c>
      <c r="B88" s="1" t="s">
        <v>119</v>
      </c>
      <c r="C88" s="1" t="s">
        <v>8</v>
      </c>
      <c r="D88" s="1" t="s">
        <v>13</v>
      </c>
      <c r="E88" s="1" t="s">
        <v>10</v>
      </c>
      <c r="F88" s="1">
        <v>8</v>
      </c>
      <c r="G88" s="4">
        <v>2890.62</v>
      </c>
    </row>
    <row r="89" spans="1:7" x14ac:dyDescent="0.3">
      <c r="A89" s="3">
        <v>46177</v>
      </c>
      <c r="B89" s="1" t="s">
        <v>120</v>
      </c>
      <c r="C89" s="1" t="s">
        <v>46</v>
      </c>
      <c r="D89" s="1" t="s">
        <v>13</v>
      </c>
      <c r="E89" s="1" t="s">
        <v>32</v>
      </c>
      <c r="F89" s="1">
        <v>3</v>
      </c>
      <c r="G89" s="4">
        <v>1065.5899999999999</v>
      </c>
    </row>
    <row r="90" spans="1:7" x14ac:dyDescent="0.3">
      <c r="A90" s="3">
        <v>46173</v>
      </c>
      <c r="B90" s="1" t="s">
        <v>121</v>
      </c>
      <c r="C90" s="1" t="s">
        <v>38</v>
      </c>
      <c r="D90" s="1" t="s">
        <v>82</v>
      </c>
      <c r="E90" s="1" t="s">
        <v>32</v>
      </c>
      <c r="F90" s="1">
        <v>11</v>
      </c>
      <c r="G90" s="4">
        <v>1276.07</v>
      </c>
    </row>
    <row r="91" spans="1:7" x14ac:dyDescent="0.3">
      <c r="A91" s="3">
        <v>46179</v>
      </c>
      <c r="B91" s="1" t="s">
        <v>122</v>
      </c>
      <c r="C91" s="1" t="s">
        <v>38</v>
      </c>
      <c r="D91" s="1" t="s">
        <v>43</v>
      </c>
      <c r="E91" s="1" t="s">
        <v>32</v>
      </c>
      <c r="F91" s="1">
        <v>8</v>
      </c>
      <c r="G91" s="4">
        <v>2694.71</v>
      </c>
    </row>
    <row r="92" spans="1:7" x14ac:dyDescent="0.3">
      <c r="A92" s="3">
        <v>46149</v>
      </c>
      <c r="B92" s="1" t="s">
        <v>123</v>
      </c>
      <c r="C92" s="1" t="s">
        <v>12</v>
      </c>
      <c r="D92" s="1" t="s">
        <v>82</v>
      </c>
      <c r="E92" s="1" t="s">
        <v>14</v>
      </c>
      <c r="F92" s="1">
        <v>9</v>
      </c>
      <c r="G92" s="4">
        <v>1069.56</v>
      </c>
    </row>
    <row r="93" spans="1:7" x14ac:dyDescent="0.3">
      <c r="A93" s="3">
        <v>46132</v>
      </c>
      <c r="B93" s="1" t="s">
        <v>124</v>
      </c>
      <c r="C93" s="1" t="s">
        <v>12</v>
      </c>
      <c r="D93" s="1" t="s">
        <v>16</v>
      </c>
      <c r="E93" s="1" t="s">
        <v>14</v>
      </c>
      <c r="F93" s="1">
        <v>12</v>
      </c>
      <c r="G93" s="4">
        <v>3624.49</v>
      </c>
    </row>
    <row r="94" spans="1:7" x14ac:dyDescent="0.3">
      <c r="A94" s="3">
        <v>46166</v>
      </c>
      <c r="B94" s="1" t="s">
        <v>125</v>
      </c>
      <c r="C94" s="1" t="s">
        <v>46</v>
      </c>
      <c r="D94" s="1" t="s">
        <v>34</v>
      </c>
      <c r="E94" s="1" t="s">
        <v>32</v>
      </c>
      <c r="F94" s="1">
        <v>7</v>
      </c>
      <c r="G94" s="4">
        <v>764.25</v>
      </c>
    </row>
    <row r="95" spans="1:7" x14ac:dyDescent="0.3">
      <c r="A95" s="3">
        <v>46166</v>
      </c>
      <c r="B95" s="1" t="s">
        <v>126</v>
      </c>
      <c r="C95" s="1" t="s">
        <v>46</v>
      </c>
      <c r="D95" s="1" t="s">
        <v>36</v>
      </c>
      <c r="E95" s="1" t="s">
        <v>22</v>
      </c>
      <c r="F95" s="1">
        <v>10</v>
      </c>
      <c r="G95" s="4">
        <v>1813.27</v>
      </c>
    </row>
    <row r="96" spans="1:7" x14ac:dyDescent="0.3">
      <c r="A96" s="3">
        <v>46113</v>
      </c>
      <c r="B96" s="1" t="s">
        <v>127</v>
      </c>
      <c r="C96" s="1" t="s">
        <v>40</v>
      </c>
      <c r="D96" s="1" t="s">
        <v>82</v>
      </c>
      <c r="E96" s="1" t="s">
        <v>26</v>
      </c>
      <c r="F96" s="1">
        <v>7</v>
      </c>
      <c r="G96" s="4">
        <v>785.75</v>
      </c>
    </row>
    <row r="97" spans="1:7" x14ac:dyDescent="0.3">
      <c r="A97" s="3">
        <v>46182</v>
      </c>
      <c r="B97" s="1" t="s">
        <v>128</v>
      </c>
      <c r="C97" s="1" t="s">
        <v>29</v>
      </c>
      <c r="D97" s="1" t="s">
        <v>30</v>
      </c>
      <c r="E97" s="1" t="s">
        <v>10</v>
      </c>
      <c r="F97" s="1">
        <v>5</v>
      </c>
      <c r="G97" s="4">
        <v>758.16</v>
      </c>
    </row>
    <row r="98" spans="1:7" x14ac:dyDescent="0.3">
      <c r="A98" s="3">
        <v>46116</v>
      </c>
      <c r="B98" s="1" t="s">
        <v>129</v>
      </c>
      <c r="C98" s="1" t="s">
        <v>46</v>
      </c>
      <c r="D98" s="1" t="s">
        <v>34</v>
      </c>
      <c r="E98" s="1" t="s">
        <v>32</v>
      </c>
      <c r="F98" s="1">
        <v>7</v>
      </c>
      <c r="G98" s="4">
        <v>703.09</v>
      </c>
    </row>
    <row r="99" spans="1:7" x14ac:dyDescent="0.3">
      <c r="A99" s="3">
        <v>46172</v>
      </c>
      <c r="B99" s="1" t="s">
        <v>130</v>
      </c>
      <c r="C99" s="1" t="s">
        <v>18</v>
      </c>
      <c r="D99" s="1" t="s">
        <v>36</v>
      </c>
      <c r="E99" s="1" t="s">
        <v>14</v>
      </c>
      <c r="F99" s="1">
        <v>7</v>
      </c>
      <c r="G99" s="4">
        <v>1235.53</v>
      </c>
    </row>
    <row r="100" spans="1:7" x14ac:dyDescent="0.3">
      <c r="A100" s="3">
        <v>46197</v>
      </c>
      <c r="B100" s="1" t="s">
        <v>131</v>
      </c>
      <c r="C100" s="1" t="s">
        <v>74</v>
      </c>
      <c r="D100" s="1" t="s">
        <v>9</v>
      </c>
      <c r="E100" s="1" t="s">
        <v>22</v>
      </c>
      <c r="F100" s="1">
        <v>3</v>
      </c>
      <c r="G100" s="4">
        <v>752.62</v>
      </c>
    </row>
    <row r="101" spans="1:7" x14ac:dyDescent="0.3">
      <c r="A101" s="3">
        <v>46136</v>
      </c>
      <c r="B101" s="1" t="s">
        <v>132</v>
      </c>
      <c r="C101" s="1" t="s">
        <v>74</v>
      </c>
      <c r="D101" s="1" t="s">
        <v>82</v>
      </c>
      <c r="E101" s="1" t="s">
        <v>22</v>
      </c>
      <c r="F101" s="1">
        <v>4</v>
      </c>
      <c r="G101" s="4">
        <v>453.81</v>
      </c>
    </row>
    <row r="102" spans="1:7" x14ac:dyDescent="0.3">
      <c r="A102" s="3">
        <v>46156</v>
      </c>
      <c r="B102" s="1" t="s">
        <v>133</v>
      </c>
      <c r="C102" s="1" t="s">
        <v>46</v>
      </c>
      <c r="D102" s="1" t="s">
        <v>82</v>
      </c>
      <c r="E102" s="1" t="s">
        <v>32</v>
      </c>
      <c r="F102" s="1">
        <v>7</v>
      </c>
      <c r="G102" s="4">
        <v>814.57</v>
      </c>
    </row>
    <row r="103" spans="1:7" x14ac:dyDescent="0.3">
      <c r="A103" s="3">
        <v>46123</v>
      </c>
      <c r="B103" s="1" t="s">
        <v>134</v>
      </c>
      <c r="C103" s="1" t="s">
        <v>38</v>
      </c>
      <c r="D103" s="1" t="s">
        <v>25</v>
      </c>
      <c r="E103" s="1" t="s">
        <v>32</v>
      </c>
      <c r="F103" s="1">
        <v>1</v>
      </c>
      <c r="G103" s="4">
        <v>369.6</v>
      </c>
    </row>
    <row r="104" spans="1:7" x14ac:dyDescent="0.3">
      <c r="A104" s="3">
        <v>46157</v>
      </c>
      <c r="B104" s="1" t="s">
        <v>135</v>
      </c>
      <c r="C104" s="1" t="s">
        <v>12</v>
      </c>
      <c r="D104" s="1" t="s">
        <v>43</v>
      </c>
      <c r="E104" s="1" t="s">
        <v>14</v>
      </c>
      <c r="F104" s="1">
        <v>11</v>
      </c>
      <c r="G104" s="4">
        <v>3721.93</v>
      </c>
    </row>
    <row r="105" spans="1:7" x14ac:dyDescent="0.3">
      <c r="A105" s="3">
        <v>46116</v>
      </c>
      <c r="B105" s="1" t="s">
        <v>136</v>
      </c>
      <c r="C105" s="1" t="s">
        <v>12</v>
      </c>
      <c r="D105" s="1" t="s">
        <v>30</v>
      </c>
      <c r="E105" s="1" t="s">
        <v>10</v>
      </c>
      <c r="F105" s="1">
        <v>3</v>
      </c>
      <c r="G105" s="4">
        <v>466.26</v>
      </c>
    </row>
    <row r="106" spans="1:7" x14ac:dyDescent="0.3">
      <c r="A106" s="3">
        <v>46173</v>
      </c>
      <c r="B106" s="1" t="s">
        <v>137</v>
      </c>
      <c r="C106" s="1" t="s">
        <v>21</v>
      </c>
      <c r="D106" s="1" t="s">
        <v>36</v>
      </c>
      <c r="E106" s="1" t="s">
        <v>32</v>
      </c>
      <c r="F106" s="1">
        <v>12</v>
      </c>
      <c r="G106" s="4">
        <v>2209.89</v>
      </c>
    </row>
    <row r="107" spans="1:7" x14ac:dyDescent="0.3">
      <c r="A107" s="3">
        <v>46160</v>
      </c>
      <c r="B107" s="1" t="s">
        <v>138</v>
      </c>
      <c r="C107" s="1" t="s">
        <v>18</v>
      </c>
      <c r="D107" s="1" t="s">
        <v>36</v>
      </c>
      <c r="E107" s="1" t="s">
        <v>14</v>
      </c>
      <c r="F107" s="1">
        <v>12</v>
      </c>
      <c r="G107" s="4">
        <v>2083.46</v>
      </c>
    </row>
    <row r="108" spans="1:7" x14ac:dyDescent="0.3">
      <c r="A108" s="3">
        <v>46133</v>
      </c>
      <c r="B108" s="1" t="s">
        <v>139</v>
      </c>
      <c r="C108" s="1" t="s">
        <v>24</v>
      </c>
      <c r="D108" s="1" t="s">
        <v>9</v>
      </c>
      <c r="E108" s="1" t="s">
        <v>26</v>
      </c>
      <c r="F108" s="1">
        <v>5</v>
      </c>
      <c r="G108" s="4">
        <v>1303.27</v>
      </c>
    </row>
    <row r="109" spans="1:7" x14ac:dyDescent="0.3">
      <c r="A109" s="3">
        <v>46161</v>
      </c>
      <c r="B109" s="1" t="s">
        <v>140</v>
      </c>
      <c r="C109" s="1" t="s">
        <v>46</v>
      </c>
      <c r="D109" s="1" t="s">
        <v>19</v>
      </c>
      <c r="E109" s="1" t="s">
        <v>32</v>
      </c>
      <c r="F109" s="1">
        <v>10</v>
      </c>
      <c r="G109" s="4">
        <v>2109.39</v>
      </c>
    </row>
    <row r="110" spans="1:7" x14ac:dyDescent="0.3">
      <c r="A110" s="3">
        <v>46193</v>
      </c>
      <c r="B110" s="1" t="s">
        <v>141</v>
      </c>
      <c r="C110" s="1" t="s">
        <v>12</v>
      </c>
      <c r="D110" s="1" t="s">
        <v>9</v>
      </c>
      <c r="E110" s="1" t="s">
        <v>14</v>
      </c>
      <c r="F110" s="1">
        <v>5</v>
      </c>
      <c r="G110" s="4">
        <v>1257.1500000000001</v>
      </c>
    </row>
    <row r="111" spans="1:7" x14ac:dyDescent="0.3">
      <c r="A111" s="3">
        <v>46189</v>
      </c>
      <c r="B111" s="1" t="s">
        <v>142</v>
      </c>
      <c r="C111" s="1" t="s">
        <v>21</v>
      </c>
      <c r="D111" s="1" t="s">
        <v>36</v>
      </c>
      <c r="E111" s="1" t="s">
        <v>26</v>
      </c>
      <c r="F111" s="1">
        <v>9</v>
      </c>
      <c r="G111" s="4">
        <v>1622.1</v>
      </c>
    </row>
    <row r="112" spans="1:7" x14ac:dyDescent="0.3">
      <c r="A112" s="3">
        <v>46160</v>
      </c>
      <c r="B112" s="1" t="s">
        <v>143</v>
      </c>
      <c r="C112" s="1" t="s">
        <v>21</v>
      </c>
      <c r="D112" s="1" t="s">
        <v>13</v>
      </c>
      <c r="E112" s="1" t="s">
        <v>22</v>
      </c>
      <c r="F112" s="1">
        <v>1</v>
      </c>
      <c r="G112" s="4">
        <v>350.24</v>
      </c>
    </row>
    <row r="113" spans="1:7" x14ac:dyDescent="0.3">
      <c r="A113" s="15" t="s">
        <v>144</v>
      </c>
      <c r="B113" s="1" t="s">
        <v>145</v>
      </c>
      <c r="C113" s="1" t="s">
        <v>21</v>
      </c>
      <c r="D113" s="1" t="s">
        <v>16</v>
      </c>
      <c r="E113" s="1" t="s">
        <v>32</v>
      </c>
      <c r="F113" s="1">
        <v>12</v>
      </c>
      <c r="G113" s="4">
        <v>3651.7</v>
      </c>
    </row>
    <row r="114" spans="1:7" x14ac:dyDescent="0.3">
      <c r="A114" s="3">
        <v>46135</v>
      </c>
      <c r="B114" s="1" t="s">
        <v>146</v>
      </c>
      <c r="C114" s="1" t="s">
        <v>8</v>
      </c>
      <c r="D114" s="1" t="s">
        <v>43</v>
      </c>
      <c r="E114" s="1" t="s">
        <v>10</v>
      </c>
      <c r="F114" s="1">
        <v>9</v>
      </c>
      <c r="G114" s="4">
        <v>2775.55</v>
      </c>
    </row>
    <row r="115" spans="1:7" x14ac:dyDescent="0.3">
      <c r="A115" s="3">
        <v>46172</v>
      </c>
      <c r="B115" s="1" t="s">
        <v>147</v>
      </c>
      <c r="C115" s="1" t="s">
        <v>46</v>
      </c>
      <c r="D115" s="1" t="s">
        <v>19</v>
      </c>
      <c r="E115" s="1" t="s">
        <v>32</v>
      </c>
      <c r="F115" s="1">
        <v>6</v>
      </c>
      <c r="G115" s="4">
        <v>1238.96</v>
      </c>
    </row>
    <row r="116" spans="1:7" x14ac:dyDescent="0.3">
      <c r="A116" s="3">
        <v>46124</v>
      </c>
      <c r="B116" s="1" t="s">
        <v>148</v>
      </c>
      <c r="C116" s="1" t="s">
        <v>24</v>
      </c>
      <c r="D116" s="1" t="s">
        <v>48</v>
      </c>
      <c r="E116" s="1" t="s">
        <v>26</v>
      </c>
      <c r="F116" s="1">
        <v>8</v>
      </c>
      <c r="G116" s="4">
        <v>1937.77</v>
      </c>
    </row>
    <row r="117" spans="1:7" x14ac:dyDescent="0.3">
      <c r="A117" s="3">
        <v>46198</v>
      </c>
      <c r="B117" s="1" t="s">
        <v>149</v>
      </c>
      <c r="C117" s="1" t="s">
        <v>46</v>
      </c>
      <c r="D117" s="1" t="s">
        <v>34</v>
      </c>
      <c r="E117" s="1" t="s">
        <v>32</v>
      </c>
      <c r="F117" s="1">
        <v>6</v>
      </c>
      <c r="G117" s="4">
        <v>645.6</v>
      </c>
    </row>
    <row r="118" spans="1:7" x14ac:dyDescent="0.3">
      <c r="A118" s="3">
        <v>46140</v>
      </c>
      <c r="B118" s="1" t="s">
        <v>150</v>
      </c>
      <c r="C118" s="1" t="s">
        <v>40</v>
      </c>
      <c r="D118" s="1" t="s">
        <v>82</v>
      </c>
      <c r="E118" s="1" t="s">
        <v>26</v>
      </c>
      <c r="F118" s="1">
        <v>10</v>
      </c>
      <c r="G118" s="4">
        <v>1099.03</v>
      </c>
    </row>
    <row r="119" spans="1:7" x14ac:dyDescent="0.3">
      <c r="A119" s="3">
        <v>46148</v>
      </c>
      <c r="B119" s="1" t="s">
        <v>151</v>
      </c>
      <c r="C119" s="1" t="s">
        <v>8</v>
      </c>
      <c r="D119" s="1" t="s">
        <v>25</v>
      </c>
      <c r="E119" s="1" t="s">
        <v>10</v>
      </c>
      <c r="F119" s="1">
        <v>4</v>
      </c>
      <c r="G119" s="4">
        <v>1662.74</v>
      </c>
    </row>
    <row r="120" spans="1:7" x14ac:dyDescent="0.3">
      <c r="A120" s="3">
        <v>46165</v>
      </c>
      <c r="B120" s="1" t="s">
        <v>152</v>
      </c>
      <c r="C120" s="1" t="s">
        <v>38</v>
      </c>
      <c r="D120" s="1" t="s">
        <v>13</v>
      </c>
      <c r="E120" s="1" t="s">
        <v>32</v>
      </c>
      <c r="F120" s="1">
        <v>12</v>
      </c>
      <c r="G120" s="4">
        <v>4412.63</v>
      </c>
    </row>
    <row r="121" spans="1:7" x14ac:dyDescent="0.3">
      <c r="A121" s="3">
        <v>46175</v>
      </c>
      <c r="B121" s="1" t="s">
        <v>153</v>
      </c>
      <c r="C121" s="1" t="s">
        <v>38</v>
      </c>
      <c r="D121" s="1" t="s">
        <v>25</v>
      </c>
      <c r="E121" s="1" t="s">
        <v>32</v>
      </c>
      <c r="F121" s="1">
        <v>4</v>
      </c>
      <c r="G121" s="4">
        <v>1598.47</v>
      </c>
    </row>
    <row r="122" spans="1:7" x14ac:dyDescent="0.3">
      <c r="A122" s="3">
        <v>46144</v>
      </c>
      <c r="B122" s="1" t="s">
        <v>154</v>
      </c>
      <c r="C122" s="1" t="s">
        <v>24</v>
      </c>
      <c r="D122" s="1" t="s">
        <v>43</v>
      </c>
      <c r="E122" s="1" t="s">
        <v>26</v>
      </c>
      <c r="F122" s="1">
        <v>8</v>
      </c>
      <c r="G122" s="4">
        <v>2539.35</v>
      </c>
    </row>
    <row r="123" spans="1:7" x14ac:dyDescent="0.3">
      <c r="A123" s="3">
        <v>46157</v>
      </c>
      <c r="B123" s="1" t="s">
        <v>155</v>
      </c>
      <c r="C123" s="1" t="s">
        <v>46</v>
      </c>
      <c r="D123" s="1" t="s">
        <v>19</v>
      </c>
      <c r="E123" s="1" t="s">
        <v>32</v>
      </c>
      <c r="F123" s="1">
        <v>6</v>
      </c>
      <c r="G123" s="4">
        <v>1263.6099999999999</v>
      </c>
    </row>
    <row r="124" spans="1:7" x14ac:dyDescent="0.3">
      <c r="A124" s="3">
        <v>46147</v>
      </c>
      <c r="B124" s="1" t="s">
        <v>156</v>
      </c>
      <c r="C124" s="1" t="s">
        <v>24</v>
      </c>
      <c r="D124" s="1" t="s">
        <v>82</v>
      </c>
      <c r="E124" s="1" t="s">
        <v>26</v>
      </c>
      <c r="F124" s="1">
        <v>12</v>
      </c>
      <c r="G124" s="4">
        <v>1406.72</v>
      </c>
    </row>
    <row r="125" spans="1:7" x14ac:dyDescent="0.3">
      <c r="A125" s="3">
        <v>46128</v>
      </c>
      <c r="B125" s="1" t="s">
        <v>157</v>
      </c>
      <c r="C125" s="1" t="s">
        <v>8</v>
      </c>
      <c r="D125" s="1" t="s">
        <v>19</v>
      </c>
      <c r="E125" s="1" t="s">
        <v>10</v>
      </c>
      <c r="F125" s="1">
        <v>4</v>
      </c>
      <c r="G125" s="4">
        <v>838.46</v>
      </c>
    </row>
    <row r="126" spans="1:7" x14ac:dyDescent="0.3">
      <c r="A126" s="3">
        <v>46148</v>
      </c>
      <c r="B126" s="1" t="s">
        <v>158</v>
      </c>
      <c r="C126" s="1" t="s">
        <v>29</v>
      </c>
      <c r="D126" s="1" t="s">
        <v>13</v>
      </c>
      <c r="E126" s="1" t="s">
        <v>10</v>
      </c>
      <c r="F126" s="1">
        <v>2</v>
      </c>
      <c r="G126" s="4">
        <v>702.07</v>
      </c>
    </row>
    <row r="127" spans="1:7" x14ac:dyDescent="0.3">
      <c r="A127" s="3">
        <v>46150</v>
      </c>
      <c r="B127" s="1" t="s">
        <v>159</v>
      </c>
      <c r="C127" s="1" t="s">
        <v>12</v>
      </c>
      <c r="D127" s="1" t="s">
        <v>34</v>
      </c>
      <c r="E127" s="1" t="s">
        <v>14</v>
      </c>
      <c r="F127" s="1">
        <v>1</v>
      </c>
      <c r="G127" s="4">
        <v>100.65</v>
      </c>
    </row>
    <row r="128" spans="1:7" x14ac:dyDescent="0.3">
      <c r="A128" s="3">
        <v>46129</v>
      </c>
      <c r="B128" s="1" t="s">
        <v>160</v>
      </c>
      <c r="C128" s="1" t="s">
        <v>24</v>
      </c>
      <c r="D128" s="1" t="s">
        <v>25</v>
      </c>
      <c r="E128" s="1" t="s">
        <v>10</v>
      </c>
      <c r="F128" s="1">
        <v>5</v>
      </c>
      <c r="G128" s="4">
        <v>1924.25</v>
      </c>
    </row>
    <row r="129" spans="1:7" x14ac:dyDescent="0.3">
      <c r="A129" s="3">
        <v>46129</v>
      </c>
      <c r="B129" s="1" t="s">
        <v>161</v>
      </c>
      <c r="C129" s="1" t="s">
        <v>38</v>
      </c>
      <c r="D129" s="1" t="s">
        <v>9</v>
      </c>
      <c r="E129" s="1" t="s">
        <v>10</v>
      </c>
      <c r="F129" s="1">
        <v>5</v>
      </c>
      <c r="G129" s="4">
        <v>1321.14</v>
      </c>
    </row>
    <row r="130" spans="1:7" x14ac:dyDescent="0.3">
      <c r="A130" s="3">
        <v>46169</v>
      </c>
      <c r="B130" s="1" t="s">
        <v>162</v>
      </c>
      <c r="C130" s="1" t="s">
        <v>40</v>
      </c>
      <c r="D130" s="1" t="s">
        <v>53</v>
      </c>
      <c r="E130" s="1" t="s">
        <v>26</v>
      </c>
      <c r="F130" s="1">
        <v>8</v>
      </c>
      <c r="G130" s="4">
        <v>2761.67</v>
      </c>
    </row>
    <row r="131" spans="1:7" x14ac:dyDescent="0.3">
      <c r="A131" s="3">
        <v>46121</v>
      </c>
      <c r="B131" s="1" t="s">
        <v>163</v>
      </c>
      <c r="C131" s="1" t="s">
        <v>46</v>
      </c>
      <c r="D131" s="1" t="s">
        <v>48</v>
      </c>
      <c r="E131" s="1" t="s">
        <v>32</v>
      </c>
      <c r="F131" s="1">
        <v>11</v>
      </c>
      <c r="G131" s="4">
        <v>2624.41</v>
      </c>
    </row>
    <row r="132" spans="1:7" x14ac:dyDescent="0.3">
      <c r="A132" s="3">
        <v>46132</v>
      </c>
      <c r="B132" s="1" t="s">
        <v>164</v>
      </c>
      <c r="C132" s="1" t="s">
        <v>18</v>
      </c>
      <c r="D132" s="1" t="s">
        <v>36</v>
      </c>
      <c r="E132" s="1" t="s">
        <v>22</v>
      </c>
      <c r="F132" s="1">
        <v>4</v>
      </c>
      <c r="G132" s="4">
        <v>749.2</v>
      </c>
    </row>
    <row r="133" spans="1:7" x14ac:dyDescent="0.3">
      <c r="A133" s="3">
        <v>46166</v>
      </c>
      <c r="B133" s="1" t="s">
        <v>165</v>
      </c>
      <c r="C133" s="1" t="s">
        <v>29</v>
      </c>
      <c r="D133" s="1" t="s">
        <v>36</v>
      </c>
      <c r="E133" s="1" t="s">
        <v>14</v>
      </c>
      <c r="F133" s="1">
        <v>9</v>
      </c>
      <c r="G133" s="4">
        <v>1631.95</v>
      </c>
    </row>
    <row r="134" spans="1:7" x14ac:dyDescent="0.3">
      <c r="A134" s="3">
        <v>46169</v>
      </c>
      <c r="B134" s="1" t="s">
        <v>166</v>
      </c>
      <c r="C134" s="1" t="s">
        <v>24</v>
      </c>
      <c r="D134" s="1" t="s">
        <v>36</v>
      </c>
      <c r="E134" s="1" t="s">
        <v>26</v>
      </c>
      <c r="F134" s="1">
        <v>10</v>
      </c>
      <c r="G134" s="4">
        <v>1758.41</v>
      </c>
    </row>
    <row r="135" spans="1:7" x14ac:dyDescent="0.3">
      <c r="A135" s="3">
        <v>46191</v>
      </c>
      <c r="B135" s="1" t="s">
        <v>167</v>
      </c>
      <c r="C135" s="1" t="s">
        <v>21</v>
      </c>
      <c r="D135" s="1"/>
      <c r="E135" s="1" t="s">
        <v>22</v>
      </c>
      <c r="F135" s="1">
        <v>5</v>
      </c>
      <c r="G135" s="4">
        <v>736.6</v>
      </c>
    </row>
    <row r="136" spans="1:7" x14ac:dyDescent="0.3">
      <c r="A136" s="3">
        <v>46133</v>
      </c>
      <c r="B136" s="1" t="s">
        <v>168</v>
      </c>
      <c r="C136" s="1" t="s">
        <v>12</v>
      </c>
      <c r="D136" s="1" t="s">
        <v>53</v>
      </c>
      <c r="E136" s="1" t="s">
        <v>14</v>
      </c>
      <c r="F136" s="1">
        <v>3</v>
      </c>
      <c r="G136" s="4">
        <v>1049.6600000000001</v>
      </c>
    </row>
    <row r="137" spans="1:7" x14ac:dyDescent="0.3">
      <c r="A137" s="3">
        <v>46170</v>
      </c>
      <c r="B137" s="1" t="s">
        <v>169</v>
      </c>
      <c r="C137" s="1" t="s">
        <v>29</v>
      </c>
      <c r="D137" s="1" t="s">
        <v>48</v>
      </c>
      <c r="E137" s="1" t="s">
        <v>10</v>
      </c>
      <c r="F137" s="1">
        <v>4</v>
      </c>
      <c r="G137" s="4">
        <v>1004.04</v>
      </c>
    </row>
    <row r="138" spans="1:7" x14ac:dyDescent="0.3">
      <c r="A138" s="3">
        <v>46149</v>
      </c>
      <c r="B138" s="1" t="s">
        <v>170</v>
      </c>
      <c r="C138" s="1" t="s">
        <v>38</v>
      </c>
      <c r="D138" s="1" t="s">
        <v>9</v>
      </c>
      <c r="E138" s="1" t="s">
        <v>32</v>
      </c>
      <c r="F138" s="1">
        <v>5</v>
      </c>
      <c r="G138" s="4">
        <v>1267.6400000000001</v>
      </c>
    </row>
    <row r="139" spans="1:7" x14ac:dyDescent="0.3">
      <c r="A139" s="3">
        <v>46193</v>
      </c>
      <c r="B139" s="1" t="s">
        <v>171</v>
      </c>
      <c r="C139" s="1" t="s">
        <v>29</v>
      </c>
      <c r="D139" s="1" t="s">
        <v>43</v>
      </c>
      <c r="E139" s="1" t="s">
        <v>14</v>
      </c>
      <c r="F139" s="1">
        <v>7</v>
      </c>
      <c r="G139" s="4">
        <v>2347.2199999999998</v>
      </c>
    </row>
    <row r="140" spans="1:7" x14ac:dyDescent="0.3">
      <c r="A140" s="3">
        <v>46141</v>
      </c>
      <c r="B140" s="1" t="s">
        <v>172</v>
      </c>
      <c r="C140" s="1" t="s">
        <v>18</v>
      </c>
      <c r="D140" s="1" t="s">
        <v>82</v>
      </c>
      <c r="E140" s="1" t="s">
        <v>22</v>
      </c>
      <c r="F140" s="1">
        <v>1</v>
      </c>
      <c r="G140" s="4">
        <v>117.61</v>
      </c>
    </row>
    <row r="141" spans="1:7" x14ac:dyDescent="0.3">
      <c r="A141" s="3">
        <v>46152</v>
      </c>
      <c r="B141" s="1" t="s">
        <v>173</v>
      </c>
      <c r="C141" s="1" t="s">
        <v>29</v>
      </c>
      <c r="D141" s="1" t="s">
        <v>19</v>
      </c>
      <c r="E141" s="1" t="s">
        <v>26</v>
      </c>
      <c r="F141" s="1">
        <v>8</v>
      </c>
      <c r="G141" s="4">
        <v>1812.54</v>
      </c>
    </row>
    <row r="142" spans="1:7" x14ac:dyDescent="0.3">
      <c r="A142" s="3">
        <v>46201</v>
      </c>
      <c r="B142" s="1" t="s">
        <v>174</v>
      </c>
      <c r="C142" s="1" t="s">
        <v>24</v>
      </c>
      <c r="D142" s="1" t="s">
        <v>19</v>
      </c>
      <c r="E142" s="1" t="s">
        <v>26</v>
      </c>
      <c r="F142" s="1">
        <v>5</v>
      </c>
      <c r="G142" s="4">
        <v>1080.93</v>
      </c>
    </row>
    <row r="143" spans="1:7" x14ac:dyDescent="0.3">
      <c r="A143" s="3">
        <v>46176</v>
      </c>
      <c r="B143" s="1" t="s">
        <v>175</v>
      </c>
      <c r="C143" s="1" t="s">
        <v>38</v>
      </c>
      <c r="D143" s="1" t="s">
        <v>9</v>
      </c>
      <c r="E143" s="1" t="s">
        <v>32</v>
      </c>
      <c r="F143" s="1">
        <v>7</v>
      </c>
      <c r="G143" s="4">
        <v>1787.24</v>
      </c>
    </row>
    <row r="144" spans="1:7" x14ac:dyDescent="0.3">
      <c r="A144" s="3">
        <v>46190</v>
      </c>
      <c r="B144" s="1" t="s">
        <v>176</v>
      </c>
      <c r="C144" s="1" t="s">
        <v>24</v>
      </c>
      <c r="D144" s="1" t="s">
        <v>25</v>
      </c>
      <c r="E144" s="1" t="s">
        <v>26</v>
      </c>
      <c r="F144" s="1">
        <v>11</v>
      </c>
      <c r="G144" s="4">
        <v>4156.54</v>
      </c>
    </row>
    <row r="145" spans="1:7" x14ac:dyDescent="0.3">
      <c r="A145" s="3">
        <v>46186</v>
      </c>
      <c r="B145" s="1" t="s">
        <v>177</v>
      </c>
      <c r="C145" s="1" t="s">
        <v>29</v>
      </c>
      <c r="D145" s="1" t="s">
        <v>25</v>
      </c>
      <c r="E145" s="1" t="s">
        <v>26</v>
      </c>
      <c r="F145" s="1">
        <v>10</v>
      </c>
      <c r="G145" s="4">
        <v>4179.72</v>
      </c>
    </row>
    <row r="146" spans="1:7" x14ac:dyDescent="0.3">
      <c r="A146" s="3">
        <v>46135</v>
      </c>
      <c r="B146" s="1" t="s">
        <v>178</v>
      </c>
      <c r="C146" s="1" t="s">
        <v>38</v>
      </c>
      <c r="D146" s="1" t="s">
        <v>13</v>
      </c>
      <c r="E146" s="1" t="s">
        <v>32</v>
      </c>
      <c r="F146" s="1">
        <v>5</v>
      </c>
      <c r="G146" s="4">
        <v>1907.53</v>
      </c>
    </row>
    <row r="147" spans="1:7" x14ac:dyDescent="0.3">
      <c r="A147" s="3">
        <v>46187</v>
      </c>
      <c r="B147" s="1" t="s">
        <v>179</v>
      </c>
      <c r="C147" s="1" t="s">
        <v>46</v>
      </c>
      <c r="D147" s="1" t="s">
        <v>43</v>
      </c>
      <c r="E147" s="1" t="s">
        <v>22</v>
      </c>
      <c r="F147" s="1">
        <v>8</v>
      </c>
      <c r="G147" s="4">
        <v>2606.4299999999998</v>
      </c>
    </row>
    <row r="148" spans="1:7" x14ac:dyDescent="0.3">
      <c r="A148" s="3">
        <v>46155</v>
      </c>
      <c r="B148" s="1" t="s">
        <v>180</v>
      </c>
      <c r="C148" s="1" t="s">
        <v>40</v>
      </c>
      <c r="D148" s="1" t="s">
        <v>43</v>
      </c>
      <c r="E148" s="1" t="s">
        <v>26</v>
      </c>
      <c r="F148" s="1">
        <v>3</v>
      </c>
      <c r="G148" s="4">
        <v>979.63</v>
      </c>
    </row>
    <row r="149" spans="1:7" x14ac:dyDescent="0.3">
      <c r="A149" s="3">
        <v>46201</v>
      </c>
      <c r="B149" s="1" t="s">
        <v>181</v>
      </c>
      <c r="C149" s="1" t="s">
        <v>38</v>
      </c>
      <c r="D149" s="1" t="s">
        <v>82</v>
      </c>
      <c r="E149" s="1" t="s">
        <v>32</v>
      </c>
      <c r="F149" s="1">
        <v>7</v>
      </c>
      <c r="G149" s="4">
        <v>757.99</v>
      </c>
    </row>
    <row r="150" spans="1:7" x14ac:dyDescent="0.3">
      <c r="A150" s="3">
        <v>46183</v>
      </c>
      <c r="B150" s="1" t="s">
        <v>182</v>
      </c>
      <c r="C150" s="1" t="s">
        <v>74</v>
      </c>
      <c r="D150" s="1" t="s">
        <v>48</v>
      </c>
      <c r="E150" s="1" t="s">
        <v>22</v>
      </c>
      <c r="F150" s="1">
        <v>5</v>
      </c>
      <c r="G150" s="4">
        <v>1249.57</v>
      </c>
    </row>
    <row r="151" spans="1:7" x14ac:dyDescent="0.3">
      <c r="A151" s="3">
        <v>46164</v>
      </c>
      <c r="B151" s="1" t="s">
        <v>183</v>
      </c>
      <c r="C151" s="1" t="s">
        <v>8</v>
      </c>
      <c r="D151" s="1" t="s">
        <v>25</v>
      </c>
      <c r="E151" s="1" t="s">
        <v>10</v>
      </c>
      <c r="F151" s="1">
        <v>9</v>
      </c>
      <c r="G151" s="4">
        <v>3570.45</v>
      </c>
    </row>
    <row r="152" spans="1:7" x14ac:dyDescent="0.3">
      <c r="A152" s="3">
        <v>46119</v>
      </c>
      <c r="B152" s="1" t="s">
        <v>184</v>
      </c>
      <c r="C152" s="1" t="s">
        <v>12</v>
      </c>
      <c r="D152" s="1" t="s">
        <v>13</v>
      </c>
      <c r="E152" s="1" t="s">
        <v>14</v>
      </c>
      <c r="F152" s="1">
        <v>8</v>
      </c>
      <c r="G152" s="4">
        <v>2885.85</v>
      </c>
    </row>
    <row r="153" spans="1:7" x14ac:dyDescent="0.3">
      <c r="A153" s="3">
        <v>46119</v>
      </c>
      <c r="B153" s="1" t="s">
        <v>185</v>
      </c>
      <c r="C153" s="1" t="s">
        <v>12</v>
      </c>
      <c r="D153" s="1" t="s">
        <v>82</v>
      </c>
      <c r="E153" s="1" t="s">
        <v>14</v>
      </c>
      <c r="F153" s="1">
        <v>5</v>
      </c>
      <c r="G153" s="4">
        <v>568.46</v>
      </c>
    </row>
    <row r="154" spans="1:7" x14ac:dyDescent="0.3">
      <c r="A154" s="3">
        <v>46202</v>
      </c>
      <c r="B154" s="1" t="s">
        <v>186</v>
      </c>
      <c r="C154" s="1" t="s">
        <v>38</v>
      </c>
      <c r="D154" s="1" t="s">
        <v>9</v>
      </c>
      <c r="E154" s="1" t="s">
        <v>32</v>
      </c>
      <c r="F154" s="1">
        <v>11</v>
      </c>
      <c r="G154" s="4">
        <v>2854.96</v>
      </c>
    </row>
    <row r="155" spans="1:7" x14ac:dyDescent="0.3">
      <c r="A155" s="3">
        <v>46143</v>
      </c>
      <c r="B155" s="1" t="s">
        <v>187</v>
      </c>
      <c r="C155" s="1" t="s">
        <v>18</v>
      </c>
      <c r="D155" s="1" t="s">
        <v>82</v>
      </c>
      <c r="E155" s="1" t="s">
        <v>14</v>
      </c>
      <c r="F155" s="1">
        <v>9</v>
      </c>
      <c r="G155" s="4">
        <v>1027.1199999999999</v>
      </c>
    </row>
    <row r="156" spans="1:7" x14ac:dyDescent="0.3">
      <c r="A156" s="3">
        <v>46141</v>
      </c>
      <c r="B156" s="1" t="s">
        <v>188</v>
      </c>
      <c r="C156" s="1" t="s">
        <v>21</v>
      </c>
      <c r="D156" s="1" t="s">
        <v>48</v>
      </c>
      <c r="E156" s="1" t="s">
        <v>14</v>
      </c>
      <c r="F156" s="1">
        <v>8</v>
      </c>
      <c r="G156" s="4">
        <v>1847.21</v>
      </c>
    </row>
    <row r="157" spans="1:7" x14ac:dyDescent="0.3">
      <c r="A157" s="3">
        <v>46150</v>
      </c>
      <c r="B157" s="1" t="s">
        <v>189</v>
      </c>
      <c r="C157" s="1" t="s">
        <v>8</v>
      </c>
      <c r="D157" s="1" t="s">
        <v>19</v>
      </c>
      <c r="E157" s="1" t="s">
        <v>10</v>
      </c>
      <c r="F157" s="1">
        <v>8</v>
      </c>
      <c r="G157" s="4">
        <v>1623.56</v>
      </c>
    </row>
    <row r="158" spans="1:7" x14ac:dyDescent="0.3">
      <c r="A158" s="3">
        <v>46144</v>
      </c>
      <c r="B158" s="1" t="s">
        <v>190</v>
      </c>
      <c r="C158" s="1" t="s">
        <v>38</v>
      </c>
      <c r="D158" s="1" t="s">
        <v>13</v>
      </c>
      <c r="E158" s="1" t="s">
        <v>32</v>
      </c>
      <c r="F158" s="1">
        <v>4</v>
      </c>
      <c r="G158" s="4">
        <v>1387.43</v>
      </c>
    </row>
    <row r="159" spans="1:7" x14ac:dyDescent="0.3">
      <c r="A159" s="3">
        <v>46178</v>
      </c>
      <c r="B159" s="1" t="s">
        <v>191</v>
      </c>
      <c r="C159" s="1" t="s">
        <v>18</v>
      </c>
      <c r="D159" s="1" t="s">
        <v>9</v>
      </c>
      <c r="E159" s="1" t="s">
        <v>14</v>
      </c>
      <c r="F159" s="1">
        <v>7</v>
      </c>
      <c r="G159" s="4">
        <v>1880.06</v>
      </c>
    </row>
    <row r="160" spans="1:7" x14ac:dyDescent="0.3">
      <c r="A160" s="3">
        <v>46177</v>
      </c>
      <c r="B160" s="1" t="s">
        <v>192</v>
      </c>
      <c r="C160" s="1" t="s">
        <v>24</v>
      </c>
      <c r="D160" s="1" t="s">
        <v>25</v>
      </c>
      <c r="E160" s="1" t="s">
        <v>26</v>
      </c>
      <c r="F160" s="1">
        <v>5</v>
      </c>
      <c r="G160" s="4">
        <v>1888.96</v>
      </c>
    </row>
    <row r="161" spans="1:7" x14ac:dyDescent="0.3">
      <c r="A161" s="3">
        <v>46187</v>
      </c>
      <c r="B161" s="1" t="s">
        <v>193</v>
      </c>
      <c r="C161" s="1" t="s">
        <v>38</v>
      </c>
      <c r="D161" s="1" t="s">
        <v>53</v>
      </c>
      <c r="E161" s="1" t="s">
        <v>32</v>
      </c>
      <c r="F161" s="1">
        <v>8</v>
      </c>
      <c r="G161" s="4">
        <v>2684.04</v>
      </c>
    </row>
    <row r="162" spans="1:7" x14ac:dyDescent="0.3">
      <c r="A162" s="3">
        <v>46183</v>
      </c>
      <c r="B162" s="1" t="s">
        <v>194</v>
      </c>
      <c r="C162" s="1" t="s">
        <v>8</v>
      </c>
      <c r="D162" s="1" t="s">
        <v>16</v>
      </c>
      <c r="E162" s="1" t="s">
        <v>10</v>
      </c>
      <c r="F162" s="1">
        <v>6</v>
      </c>
      <c r="G162" s="4">
        <v>1665.9</v>
      </c>
    </row>
    <row r="163" spans="1:7" x14ac:dyDescent="0.3">
      <c r="A163" s="3">
        <v>46202</v>
      </c>
      <c r="B163" s="1" t="s">
        <v>195</v>
      </c>
      <c r="C163" s="1" t="s">
        <v>12</v>
      </c>
      <c r="D163" s="1" t="s">
        <v>36</v>
      </c>
      <c r="E163" s="1" t="s">
        <v>14</v>
      </c>
      <c r="F163" s="1">
        <v>7</v>
      </c>
      <c r="G163" s="4">
        <v>1323.03</v>
      </c>
    </row>
    <row r="164" spans="1:7" x14ac:dyDescent="0.3">
      <c r="A164" s="3">
        <v>46173</v>
      </c>
      <c r="B164" s="1" t="s">
        <v>196</v>
      </c>
      <c r="C164" s="1" t="s">
        <v>46</v>
      </c>
      <c r="D164" s="1" t="s">
        <v>16</v>
      </c>
      <c r="E164" s="1"/>
      <c r="F164" s="1">
        <v>8</v>
      </c>
      <c r="G164" s="4">
        <v>2192.87</v>
      </c>
    </row>
    <row r="165" spans="1:7" x14ac:dyDescent="0.3">
      <c r="A165" s="3">
        <v>46129</v>
      </c>
      <c r="B165" s="1" t="s">
        <v>197</v>
      </c>
      <c r="C165" s="1" t="s">
        <v>8</v>
      </c>
      <c r="D165" s="1" t="s">
        <v>36</v>
      </c>
      <c r="E165" s="1" t="s">
        <v>10</v>
      </c>
      <c r="F165" s="1">
        <v>2</v>
      </c>
      <c r="G165" s="4">
        <v>340.14</v>
      </c>
    </row>
    <row r="166" spans="1:7" x14ac:dyDescent="0.3">
      <c r="A166" s="3">
        <v>46169</v>
      </c>
      <c r="B166" s="1" t="s">
        <v>198</v>
      </c>
      <c r="C166" s="1" t="s">
        <v>21</v>
      </c>
      <c r="D166" s="1" t="s">
        <v>13</v>
      </c>
      <c r="E166" s="1" t="s">
        <v>22</v>
      </c>
      <c r="F166" s="1">
        <v>12</v>
      </c>
      <c r="G166" s="4">
        <v>4599.04</v>
      </c>
    </row>
    <row r="167" spans="1:7" x14ac:dyDescent="0.3">
      <c r="A167" s="3">
        <v>46196</v>
      </c>
      <c r="B167" s="1" t="s">
        <v>199</v>
      </c>
      <c r="C167" s="1" t="s">
        <v>18</v>
      </c>
      <c r="D167" s="1" t="s">
        <v>9</v>
      </c>
      <c r="E167" s="1" t="s">
        <v>14</v>
      </c>
      <c r="F167" s="1">
        <v>5</v>
      </c>
      <c r="G167" s="4">
        <v>1343.12</v>
      </c>
    </row>
    <row r="168" spans="1:7" x14ac:dyDescent="0.3">
      <c r="A168" s="3">
        <v>46201</v>
      </c>
      <c r="B168" s="1" t="s">
        <v>200</v>
      </c>
      <c r="C168" s="1" t="s">
        <v>46</v>
      </c>
      <c r="D168" s="1" t="s">
        <v>43</v>
      </c>
      <c r="E168" s="1" t="s">
        <v>32</v>
      </c>
      <c r="F168" s="1">
        <v>6</v>
      </c>
      <c r="G168" s="4">
        <v>1831.35</v>
      </c>
    </row>
    <row r="169" spans="1:7" x14ac:dyDescent="0.3">
      <c r="A169" s="3">
        <v>46181</v>
      </c>
      <c r="B169" s="1" t="s">
        <v>201</v>
      </c>
      <c r="C169" s="1" t="s">
        <v>46</v>
      </c>
      <c r="D169" s="1" t="s">
        <v>34</v>
      </c>
      <c r="E169" s="1" t="s">
        <v>32</v>
      </c>
      <c r="F169" s="1">
        <v>8</v>
      </c>
      <c r="G169" s="4">
        <v>787.88</v>
      </c>
    </row>
    <row r="170" spans="1:7" x14ac:dyDescent="0.3">
      <c r="A170" s="3">
        <v>46117</v>
      </c>
      <c r="B170" s="1" t="s">
        <v>202</v>
      </c>
      <c r="C170" s="1" t="s">
        <v>29</v>
      </c>
      <c r="D170" s="1" t="s">
        <v>9</v>
      </c>
      <c r="E170" s="1" t="s">
        <v>10</v>
      </c>
      <c r="F170" s="1">
        <v>11</v>
      </c>
      <c r="G170" s="4">
        <v>2739.62</v>
      </c>
    </row>
    <row r="171" spans="1:7" x14ac:dyDescent="0.3">
      <c r="A171" s="3">
        <v>46142</v>
      </c>
      <c r="B171" s="1" t="s">
        <v>203</v>
      </c>
      <c r="C171" s="1" t="s">
        <v>21</v>
      </c>
      <c r="D171" s="1" t="s">
        <v>16</v>
      </c>
      <c r="E171" s="1" t="s">
        <v>22</v>
      </c>
      <c r="F171" s="1">
        <v>8</v>
      </c>
      <c r="G171" s="4">
        <v>2430.4899999999998</v>
      </c>
    </row>
    <row r="172" spans="1:7" x14ac:dyDescent="0.3">
      <c r="A172" s="3">
        <v>46151</v>
      </c>
      <c r="B172" s="1" t="s">
        <v>204</v>
      </c>
      <c r="C172" s="1" t="s">
        <v>74</v>
      </c>
      <c r="D172" s="1" t="s">
        <v>25</v>
      </c>
      <c r="E172" s="1" t="s">
        <v>22</v>
      </c>
      <c r="F172" s="1">
        <v>1</v>
      </c>
      <c r="G172" s="4">
        <v>405.21</v>
      </c>
    </row>
    <row r="173" spans="1:7" x14ac:dyDescent="0.3">
      <c r="A173" s="3">
        <v>46160</v>
      </c>
      <c r="B173" s="1" t="s">
        <v>205</v>
      </c>
      <c r="C173" s="1" t="s">
        <v>46</v>
      </c>
      <c r="D173" s="1" t="s">
        <v>53</v>
      </c>
      <c r="E173" s="1" t="s">
        <v>32</v>
      </c>
      <c r="F173" s="1">
        <v>7</v>
      </c>
      <c r="G173" s="4">
        <v>2283.62</v>
      </c>
    </row>
    <row r="174" spans="1:7" x14ac:dyDescent="0.3">
      <c r="A174" s="3">
        <v>46136</v>
      </c>
      <c r="B174" s="1" t="s">
        <v>206</v>
      </c>
      <c r="C174" s="1" t="s">
        <v>18</v>
      </c>
      <c r="D174" s="1" t="s">
        <v>53</v>
      </c>
      <c r="E174" s="1" t="s">
        <v>14</v>
      </c>
      <c r="F174" s="1">
        <v>7</v>
      </c>
      <c r="G174" s="4">
        <v>2267.81</v>
      </c>
    </row>
    <row r="175" spans="1:7" x14ac:dyDescent="0.3">
      <c r="A175" s="3">
        <v>46143</v>
      </c>
      <c r="B175" s="1" t="s">
        <v>207</v>
      </c>
      <c r="C175" s="1" t="s">
        <v>38</v>
      </c>
      <c r="D175" s="1" t="s">
        <v>36</v>
      </c>
      <c r="E175" s="1" t="s">
        <v>32</v>
      </c>
      <c r="F175" s="1">
        <v>8</v>
      </c>
      <c r="G175" s="4">
        <v>1403.65</v>
      </c>
    </row>
    <row r="176" spans="1:7" x14ac:dyDescent="0.3">
      <c r="A176" s="3">
        <v>46171</v>
      </c>
      <c r="B176" s="1" t="s">
        <v>208</v>
      </c>
      <c r="C176" s="1" t="s">
        <v>24</v>
      </c>
      <c r="D176" s="1" t="s">
        <v>43</v>
      </c>
      <c r="E176" s="1" t="s">
        <v>26</v>
      </c>
      <c r="F176" s="1">
        <v>8</v>
      </c>
      <c r="G176" s="4">
        <v>2425.85</v>
      </c>
    </row>
    <row r="177" spans="1:7" x14ac:dyDescent="0.3">
      <c r="A177" s="3">
        <v>46199</v>
      </c>
      <c r="B177" s="1" t="s">
        <v>209</v>
      </c>
      <c r="C177" s="1" t="s">
        <v>8</v>
      </c>
      <c r="D177" s="1" t="s">
        <v>53</v>
      </c>
      <c r="E177" s="1" t="s">
        <v>10</v>
      </c>
      <c r="F177" s="1">
        <v>6</v>
      </c>
      <c r="G177" s="4">
        <v>1851.11</v>
      </c>
    </row>
    <row r="178" spans="1:7" x14ac:dyDescent="0.3">
      <c r="A178" s="3">
        <v>46151</v>
      </c>
      <c r="B178" s="1" t="s">
        <v>210</v>
      </c>
      <c r="C178" s="1" t="s">
        <v>46</v>
      </c>
      <c r="D178" s="1" t="s">
        <v>19</v>
      </c>
      <c r="E178" s="1" t="s">
        <v>32</v>
      </c>
      <c r="F178" s="1">
        <v>5</v>
      </c>
      <c r="G178" s="4">
        <v>1122.51</v>
      </c>
    </row>
    <row r="179" spans="1:7" x14ac:dyDescent="0.3">
      <c r="A179" s="3">
        <v>46162</v>
      </c>
      <c r="B179" s="1" t="s">
        <v>211</v>
      </c>
      <c r="C179" s="1" t="s">
        <v>38</v>
      </c>
      <c r="D179" s="1" t="s">
        <v>9</v>
      </c>
      <c r="E179" s="1" t="s">
        <v>32</v>
      </c>
      <c r="F179" s="1">
        <v>10</v>
      </c>
      <c r="G179" s="4">
        <v>2679.39</v>
      </c>
    </row>
    <row r="180" spans="1:7" x14ac:dyDescent="0.3">
      <c r="A180" s="3">
        <v>46150</v>
      </c>
      <c r="B180" s="1" t="s">
        <v>212</v>
      </c>
      <c r="C180" s="1" t="s">
        <v>24</v>
      </c>
      <c r="D180" s="1" t="s">
        <v>25</v>
      </c>
      <c r="E180" s="1" t="s">
        <v>32</v>
      </c>
      <c r="F180" s="1">
        <v>5</v>
      </c>
      <c r="G180" s="4">
        <v>2097.96</v>
      </c>
    </row>
    <row r="181" spans="1:7" x14ac:dyDescent="0.3">
      <c r="A181" s="3">
        <v>46200</v>
      </c>
      <c r="B181" s="1" t="s">
        <v>213</v>
      </c>
      <c r="C181" s="1" t="s">
        <v>74</v>
      </c>
      <c r="D181" s="1" t="s">
        <v>36</v>
      </c>
      <c r="E181" s="1" t="s">
        <v>22</v>
      </c>
      <c r="F181" s="1">
        <v>5</v>
      </c>
      <c r="G181" s="4">
        <v>861.57</v>
      </c>
    </row>
    <row r="182" spans="1:7" x14ac:dyDescent="0.3">
      <c r="A182" s="3">
        <v>46142</v>
      </c>
      <c r="B182" s="1" t="s">
        <v>214</v>
      </c>
      <c r="C182" s="1" t="s">
        <v>29</v>
      </c>
      <c r="D182" s="1" t="s">
        <v>34</v>
      </c>
      <c r="E182" s="1" t="s">
        <v>10</v>
      </c>
      <c r="F182" s="1">
        <v>4</v>
      </c>
      <c r="G182" s="4">
        <v>407.22</v>
      </c>
    </row>
    <row r="183" spans="1:7" x14ac:dyDescent="0.3">
      <c r="A183" s="3">
        <v>46199</v>
      </c>
      <c r="B183" s="1" t="s">
        <v>215</v>
      </c>
      <c r="C183" s="1" t="s">
        <v>18</v>
      </c>
      <c r="D183" s="1" t="s">
        <v>43</v>
      </c>
      <c r="E183" s="1" t="s">
        <v>14</v>
      </c>
      <c r="F183" s="1">
        <v>11</v>
      </c>
      <c r="G183" s="4">
        <v>3449.92</v>
      </c>
    </row>
    <row r="184" spans="1:7" x14ac:dyDescent="0.3">
      <c r="A184" s="3">
        <v>46152</v>
      </c>
      <c r="B184" s="1" t="s">
        <v>216</v>
      </c>
      <c r="C184" s="1" t="s">
        <v>38</v>
      </c>
      <c r="D184" s="1" t="s">
        <v>25</v>
      </c>
      <c r="E184" s="1" t="s">
        <v>32</v>
      </c>
      <c r="F184" s="1">
        <v>12</v>
      </c>
      <c r="G184" s="4">
        <v>4960.5200000000004</v>
      </c>
    </row>
    <row r="185" spans="1:7" x14ac:dyDescent="0.3">
      <c r="A185" s="3">
        <v>46150</v>
      </c>
      <c r="B185" s="1" t="s">
        <v>217</v>
      </c>
      <c r="C185" s="1" t="s">
        <v>40</v>
      </c>
      <c r="D185" s="1" t="s">
        <v>19</v>
      </c>
      <c r="E185" s="1" t="s">
        <v>26</v>
      </c>
      <c r="F185" s="1">
        <v>4</v>
      </c>
      <c r="G185" s="4">
        <v>905.41</v>
      </c>
    </row>
    <row r="186" spans="1:7" x14ac:dyDescent="0.3">
      <c r="A186" s="3">
        <v>46182</v>
      </c>
      <c r="B186" s="1" t="s">
        <v>218</v>
      </c>
      <c r="C186" s="1" t="s">
        <v>40</v>
      </c>
      <c r="D186" s="1" t="s">
        <v>13</v>
      </c>
      <c r="E186" s="1" t="s">
        <v>26</v>
      </c>
      <c r="F186" s="1">
        <v>5</v>
      </c>
      <c r="G186" s="4">
        <v>1755.67</v>
      </c>
    </row>
    <row r="187" spans="1:7" x14ac:dyDescent="0.3">
      <c r="A187" s="3">
        <v>46145</v>
      </c>
      <c r="B187" s="1" t="s">
        <v>219</v>
      </c>
      <c r="C187" s="1" t="s">
        <v>38</v>
      </c>
      <c r="D187" s="1" t="s">
        <v>82</v>
      </c>
      <c r="E187" s="1" t="s">
        <v>32</v>
      </c>
      <c r="F187" s="1">
        <v>6</v>
      </c>
      <c r="G187" s="4">
        <v>650.51</v>
      </c>
    </row>
    <row r="188" spans="1:7" x14ac:dyDescent="0.3">
      <c r="A188" s="3">
        <v>46172</v>
      </c>
      <c r="B188" s="1" t="s">
        <v>220</v>
      </c>
      <c r="C188" s="1" t="s">
        <v>21</v>
      </c>
      <c r="D188" s="1" t="s">
        <v>53</v>
      </c>
      <c r="E188" s="1" t="s">
        <v>22</v>
      </c>
      <c r="F188" s="1">
        <v>4</v>
      </c>
      <c r="G188" s="4">
        <v>1255.5</v>
      </c>
    </row>
    <row r="189" spans="1:7" x14ac:dyDescent="0.3">
      <c r="A189" s="3">
        <v>46199</v>
      </c>
      <c r="B189" s="1" t="s">
        <v>221</v>
      </c>
      <c r="C189" s="1" t="s">
        <v>46</v>
      </c>
      <c r="D189" s="1" t="s">
        <v>13</v>
      </c>
      <c r="E189" s="1" t="s">
        <v>32</v>
      </c>
      <c r="F189" s="1">
        <v>7</v>
      </c>
      <c r="G189" s="4">
        <v>2725.44</v>
      </c>
    </row>
    <row r="190" spans="1:7" x14ac:dyDescent="0.3">
      <c r="A190" s="3">
        <v>46181</v>
      </c>
      <c r="B190" s="1" t="s">
        <v>222</v>
      </c>
      <c r="C190" s="1" t="s">
        <v>21</v>
      </c>
      <c r="D190" s="1" t="s">
        <v>48</v>
      </c>
      <c r="E190" s="1" t="s">
        <v>22</v>
      </c>
      <c r="F190" s="1">
        <v>12</v>
      </c>
      <c r="G190" s="4">
        <v>2868.28</v>
      </c>
    </row>
    <row r="191" spans="1:7" x14ac:dyDescent="0.3">
      <c r="A191" s="3">
        <v>46187</v>
      </c>
      <c r="B191" s="1" t="s">
        <v>223</v>
      </c>
      <c r="C191" s="1" t="s">
        <v>46</v>
      </c>
      <c r="D191" s="1" t="s">
        <v>43</v>
      </c>
      <c r="E191" s="1" t="s">
        <v>22</v>
      </c>
      <c r="F191" s="1">
        <v>11</v>
      </c>
      <c r="G191" s="4">
        <v>3635.06</v>
      </c>
    </row>
    <row r="192" spans="1:7" x14ac:dyDescent="0.3">
      <c r="A192" s="3">
        <v>46116</v>
      </c>
      <c r="B192" s="1" t="s">
        <v>224</v>
      </c>
      <c r="C192" s="1" t="s">
        <v>29</v>
      </c>
      <c r="D192" s="1" t="s">
        <v>13</v>
      </c>
      <c r="E192" s="1" t="s">
        <v>10</v>
      </c>
      <c r="F192" s="1">
        <v>10</v>
      </c>
      <c r="G192" s="4">
        <v>3796.4</v>
      </c>
    </row>
    <row r="193" spans="1:7" x14ac:dyDescent="0.3">
      <c r="A193" s="3">
        <v>46121</v>
      </c>
      <c r="B193" s="1" t="s">
        <v>225</v>
      </c>
      <c r="C193" s="1" t="s">
        <v>38</v>
      </c>
      <c r="D193" s="1" t="s">
        <v>19</v>
      </c>
      <c r="E193" s="1" t="s">
        <v>32</v>
      </c>
      <c r="F193" s="1">
        <v>7</v>
      </c>
      <c r="G193" s="4">
        <v>1587.46</v>
      </c>
    </row>
    <row r="194" spans="1:7" x14ac:dyDescent="0.3">
      <c r="A194" s="3">
        <v>46118</v>
      </c>
      <c r="B194" s="1" t="s">
        <v>226</v>
      </c>
      <c r="C194" s="1" t="s">
        <v>74</v>
      </c>
      <c r="D194" s="1" t="s">
        <v>82</v>
      </c>
      <c r="E194" s="1" t="s">
        <v>22</v>
      </c>
      <c r="F194" s="1">
        <v>2</v>
      </c>
      <c r="G194" s="4">
        <v>233.24</v>
      </c>
    </row>
    <row r="195" spans="1:7" x14ac:dyDescent="0.3">
      <c r="A195" s="3">
        <v>46181</v>
      </c>
      <c r="B195" s="1" t="s">
        <v>227</v>
      </c>
      <c r="C195" s="1" t="s">
        <v>18</v>
      </c>
      <c r="D195" s="1" t="s">
        <v>16</v>
      </c>
      <c r="E195" s="1" t="s">
        <v>14</v>
      </c>
      <c r="F195" s="1">
        <v>11</v>
      </c>
      <c r="G195" s="4">
        <v>3021.51</v>
      </c>
    </row>
    <row r="196" spans="1:7" x14ac:dyDescent="0.3">
      <c r="A196" s="3">
        <v>46202</v>
      </c>
      <c r="B196" s="1" t="s">
        <v>228</v>
      </c>
      <c r="C196" s="1" t="s">
        <v>8</v>
      </c>
      <c r="D196" s="1" t="s">
        <v>16</v>
      </c>
      <c r="E196" s="1" t="s">
        <v>10</v>
      </c>
      <c r="F196" s="1">
        <v>12</v>
      </c>
      <c r="G196" s="4">
        <v>3651.02</v>
      </c>
    </row>
    <row r="197" spans="1:7" x14ac:dyDescent="0.3">
      <c r="A197" s="3">
        <v>46166</v>
      </c>
      <c r="B197" s="1" t="s">
        <v>229</v>
      </c>
      <c r="C197" s="1" t="s">
        <v>21</v>
      </c>
      <c r="D197" s="1" t="s">
        <v>48</v>
      </c>
      <c r="E197" s="1" t="s">
        <v>22</v>
      </c>
      <c r="F197" s="1">
        <v>5</v>
      </c>
      <c r="G197" s="4">
        <v>1294.9000000000001</v>
      </c>
    </row>
    <row r="198" spans="1:7" x14ac:dyDescent="0.3">
      <c r="A198" s="3">
        <v>46160</v>
      </c>
      <c r="B198" s="1" t="s">
        <v>230</v>
      </c>
      <c r="C198" s="1" t="s">
        <v>12</v>
      </c>
      <c r="D198" s="1" t="s">
        <v>48</v>
      </c>
      <c r="E198" s="1" t="s">
        <v>14</v>
      </c>
      <c r="F198" s="1">
        <v>4</v>
      </c>
      <c r="G198" s="4">
        <v>933.24</v>
      </c>
    </row>
    <row r="199" spans="1:7" x14ac:dyDescent="0.3">
      <c r="A199" s="3">
        <v>46125</v>
      </c>
      <c r="B199" s="1" t="s">
        <v>231</v>
      </c>
      <c r="C199" s="1" t="s">
        <v>40</v>
      </c>
      <c r="D199" s="1" t="s">
        <v>13</v>
      </c>
      <c r="E199" s="1" t="s">
        <v>26</v>
      </c>
      <c r="F199" s="1">
        <v>1</v>
      </c>
      <c r="G199" s="4">
        <v>371.37</v>
      </c>
    </row>
    <row r="200" spans="1:7" x14ac:dyDescent="0.3">
      <c r="A200" s="3">
        <v>46137</v>
      </c>
      <c r="B200" s="1" t="s">
        <v>232</v>
      </c>
      <c r="C200" s="1" t="s">
        <v>21</v>
      </c>
      <c r="D200" s="1" t="s">
        <v>48</v>
      </c>
      <c r="E200" s="1" t="s">
        <v>22</v>
      </c>
      <c r="F200" s="1">
        <v>4</v>
      </c>
      <c r="G200" s="4">
        <v>959.92</v>
      </c>
    </row>
    <row r="201" spans="1:7" x14ac:dyDescent="0.3">
      <c r="A201" s="3">
        <v>46189</v>
      </c>
      <c r="B201" s="1" t="s">
        <v>232</v>
      </c>
      <c r="C201" s="1" t="s">
        <v>74</v>
      </c>
      <c r="D201" s="1" t="s">
        <v>25</v>
      </c>
      <c r="E201" s="1" t="s">
        <v>14</v>
      </c>
      <c r="F201" s="1">
        <v>3</v>
      </c>
      <c r="G201" s="4">
        <v>1266.51</v>
      </c>
    </row>
    <row r="202" spans="1:7" x14ac:dyDescent="0.3">
      <c r="A202" s="3">
        <v>46139</v>
      </c>
      <c r="B202" s="1" t="s">
        <v>233</v>
      </c>
      <c r="C202" s="1" t="s">
        <v>21</v>
      </c>
      <c r="D202" s="1" t="s">
        <v>13</v>
      </c>
      <c r="E202" s="1" t="s">
        <v>22</v>
      </c>
      <c r="F202" s="1">
        <v>4</v>
      </c>
      <c r="G202" s="4">
        <v>1407.8</v>
      </c>
    </row>
    <row r="203" spans="1:7" x14ac:dyDescent="0.3">
      <c r="A203" s="3">
        <v>46142</v>
      </c>
      <c r="B203" s="1" t="s">
        <v>234</v>
      </c>
      <c r="C203" s="1" t="s">
        <v>40</v>
      </c>
      <c r="D203" s="1" t="s">
        <v>53</v>
      </c>
      <c r="E203" s="1" t="s">
        <v>10</v>
      </c>
      <c r="F203" s="1">
        <v>1</v>
      </c>
      <c r="G203" s="4">
        <v>338.35</v>
      </c>
    </row>
    <row r="204" spans="1:7" x14ac:dyDescent="0.3">
      <c r="A204" s="3">
        <v>46131</v>
      </c>
      <c r="B204" s="1" t="s">
        <v>235</v>
      </c>
      <c r="C204" s="1" t="s">
        <v>18</v>
      </c>
      <c r="D204" s="1" t="s">
        <v>13</v>
      </c>
      <c r="E204" s="1" t="s">
        <v>14</v>
      </c>
      <c r="F204" s="1">
        <v>3</v>
      </c>
      <c r="G204" s="4">
        <v>1154.57</v>
      </c>
    </row>
    <row r="205" spans="1:7" x14ac:dyDescent="0.3">
      <c r="A205" s="3">
        <v>46116</v>
      </c>
      <c r="B205" s="1" t="s">
        <v>236</v>
      </c>
      <c r="C205" s="1" t="s">
        <v>18</v>
      </c>
      <c r="D205" s="1" t="s">
        <v>25</v>
      </c>
      <c r="E205" s="1" t="s">
        <v>14</v>
      </c>
      <c r="F205" s="1">
        <v>4</v>
      </c>
      <c r="G205" s="4">
        <v>1561.29</v>
      </c>
    </row>
    <row r="206" spans="1:7" x14ac:dyDescent="0.3">
      <c r="A206" s="3">
        <v>46115</v>
      </c>
      <c r="B206" s="1" t="s">
        <v>237</v>
      </c>
      <c r="C206" s="1" t="s">
        <v>18</v>
      </c>
      <c r="D206" s="1" t="s">
        <v>82</v>
      </c>
      <c r="E206" s="1" t="s">
        <v>14</v>
      </c>
      <c r="F206" s="1">
        <v>12</v>
      </c>
      <c r="G206" s="4">
        <v>1367.26</v>
      </c>
    </row>
    <row r="207" spans="1:7" x14ac:dyDescent="0.3">
      <c r="A207" s="3">
        <v>46127</v>
      </c>
      <c r="B207" s="1" t="s">
        <v>238</v>
      </c>
      <c r="C207" s="1" t="s">
        <v>21</v>
      </c>
      <c r="D207" s="1" t="s">
        <v>48</v>
      </c>
      <c r="E207" s="1" t="s">
        <v>22</v>
      </c>
      <c r="F207" s="1">
        <v>6</v>
      </c>
      <c r="G207" s="4">
        <v>1463.92</v>
      </c>
    </row>
    <row r="208" spans="1:7" x14ac:dyDescent="0.3">
      <c r="A208" s="3">
        <v>46126</v>
      </c>
      <c r="B208" s="1" t="s">
        <v>239</v>
      </c>
      <c r="C208" s="1" t="s">
        <v>38</v>
      </c>
      <c r="D208" s="1" t="s">
        <v>13</v>
      </c>
      <c r="E208" s="1" t="s">
        <v>32</v>
      </c>
      <c r="F208" s="1">
        <v>10</v>
      </c>
      <c r="G208" s="4">
        <v>3879.71</v>
      </c>
    </row>
    <row r="209" spans="1:7" x14ac:dyDescent="0.3">
      <c r="A209" s="3">
        <v>46197</v>
      </c>
      <c r="B209" s="1" t="s">
        <v>240</v>
      </c>
      <c r="C209" s="1" t="s">
        <v>8</v>
      </c>
      <c r="D209" s="1" t="s">
        <v>82</v>
      </c>
      <c r="E209" s="1" t="s">
        <v>10</v>
      </c>
      <c r="F209" s="1">
        <v>1</v>
      </c>
      <c r="G209" s="4">
        <v>119.12</v>
      </c>
    </row>
    <row r="210" spans="1:7" x14ac:dyDescent="0.3">
      <c r="A210" s="3">
        <v>46174</v>
      </c>
      <c r="B210" s="1" t="s">
        <v>241</v>
      </c>
      <c r="C210" s="1" t="s">
        <v>46</v>
      </c>
      <c r="D210" s="1" t="s">
        <v>16</v>
      </c>
      <c r="E210" s="1" t="s">
        <v>32</v>
      </c>
      <c r="F210" s="1">
        <v>8</v>
      </c>
      <c r="G210" s="4">
        <v>2267.9899999999998</v>
      </c>
    </row>
    <row r="211" spans="1:7" x14ac:dyDescent="0.3">
      <c r="A211" s="3">
        <v>46169</v>
      </c>
      <c r="B211" s="1" t="s">
        <v>242</v>
      </c>
      <c r="C211" s="1" t="s">
        <v>21</v>
      </c>
      <c r="D211" s="1" t="s">
        <v>9</v>
      </c>
      <c r="E211" s="1" t="s">
        <v>22</v>
      </c>
      <c r="F211" s="1">
        <v>3</v>
      </c>
      <c r="G211" s="4">
        <v>833.38</v>
      </c>
    </row>
    <row r="212" spans="1:7" x14ac:dyDescent="0.3">
      <c r="A212" s="3">
        <v>46148</v>
      </c>
      <c r="B212" s="1" t="s">
        <v>243</v>
      </c>
      <c r="C212" s="1" t="s">
        <v>29</v>
      </c>
      <c r="D212" s="1" t="s">
        <v>43</v>
      </c>
      <c r="E212" s="1" t="s">
        <v>10</v>
      </c>
      <c r="F212" s="1">
        <v>12</v>
      </c>
      <c r="G212" s="4">
        <v>3920.79</v>
      </c>
    </row>
    <row r="213" spans="1:7" x14ac:dyDescent="0.3">
      <c r="A213" s="3">
        <v>46189</v>
      </c>
      <c r="B213" s="1" t="s">
        <v>244</v>
      </c>
      <c r="C213" s="1" t="s">
        <v>8</v>
      </c>
      <c r="D213" s="1" t="s">
        <v>82</v>
      </c>
      <c r="E213" s="1" t="s">
        <v>10</v>
      </c>
      <c r="F213" s="1">
        <v>10</v>
      </c>
      <c r="G213" s="4">
        <v>1138.05</v>
      </c>
    </row>
    <row r="214" spans="1:7" x14ac:dyDescent="0.3">
      <c r="A214" s="3">
        <v>46202</v>
      </c>
      <c r="B214" s="1" t="s">
        <v>245</v>
      </c>
      <c r="C214" s="1" t="s">
        <v>21</v>
      </c>
      <c r="D214" s="1" t="s">
        <v>43</v>
      </c>
      <c r="E214" s="1" t="s">
        <v>22</v>
      </c>
      <c r="F214" s="1">
        <v>9</v>
      </c>
      <c r="G214" s="4">
        <v>2795.31</v>
      </c>
    </row>
    <row r="215" spans="1:7" x14ac:dyDescent="0.3">
      <c r="A215" s="3">
        <v>46140</v>
      </c>
      <c r="B215" s="1" t="s">
        <v>246</v>
      </c>
      <c r="C215" s="1" t="s">
        <v>46</v>
      </c>
      <c r="D215" s="1" t="s">
        <v>48</v>
      </c>
      <c r="E215" s="1" t="s">
        <v>32</v>
      </c>
      <c r="F215" s="1">
        <v>6</v>
      </c>
      <c r="G215" s="4">
        <v>1405.11</v>
      </c>
    </row>
    <row r="216" spans="1:7" x14ac:dyDescent="0.3">
      <c r="A216" s="3">
        <v>46164</v>
      </c>
      <c r="B216" s="1" t="s">
        <v>247</v>
      </c>
      <c r="C216" s="1" t="s">
        <v>46</v>
      </c>
      <c r="D216" s="1" t="s">
        <v>19</v>
      </c>
      <c r="E216" s="1" t="s">
        <v>32</v>
      </c>
      <c r="F216" s="1">
        <v>7</v>
      </c>
      <c r="G216" s="4">
        <v>1549.62</v>
      </c>
    </row>
    <row r="217" spans="1:7" x14ac:dyDescent="0.3">
      <c r="A217" s="3">
        <v>46145</v>
      </c>
      <c r="B217" s="1" t="s">
        <v>248</v>
      </c>
      <c r="C217" s="1" t="s">
        <v>40</v>
      </c>
      <c r="D217" s="1" t="s">
        <v>53</v>
      </c>
      <c r="E217" s="1" t="s">
        <v>26</v>
      </c>
      <c r="F217" s="1">
        <v>8</v>
      </c>
      <c r="G217" s="4">
        <v>2777.44</v>
      </c>
    </row>
    <row r="218" spans="1:7" x14ac:dyDescent="0.3">
      <c r="A218" s="3">
        <v>46123</v>
      </c>
      <c r="B218" s="1" t="s">
        <v>249</v>
      </c>
      <c r="C218" s="1"/>
      <c r="D218" s="1" t="s">
        <v>16</v>
      </c>
      <c r="E218" s="1" t="s">
        <v>22</v>
      </c>
      <c r="F218" s="1">
        <v>12</v>
      </c>
      <c r="G218" s="4">
        <v>3553.65</v>
      </c>
    </row>
    <row r="219" spans="1:7" x14ac:dyDescent="0.3">
      <c r="A219" s="3">
        <v>46129</v>
      </c>
      <c r="B219" s="1" t="s">
        <v>250</v>
      </c>
      <c r="C219" s="1" t="s">
        <v>8</v>
      </c>
      <c r="D219" s="1" t="s">
        <v>25</v>
      </c>
      <c r="E219" s="1" t="s">
        <v>10</v>
      </c>
      <c r="F219" s="1">
        <v>9</v>
      </c>
      <c r="G219" s="4">
        <v>3525.22</v>
      </c>
    </row>
    <row r="220" spans="1:7" x14ac:dyDescent="0.3">
      <c r="A220" s="3">
        <v>46198</v>
      </c>
      <c r="B220" s="1" t="s">
        <v>251</v>
      </c>
      <c r="C220" s="1" t="s">
        <v>21</v>
      </c>
      <c r="D220" s="1" t="s">
        <v>16</v>
      </c>
      <c r="E220" s="1" t="s">
        <v>22</v>
      </c>
      <c r="F220" s="1">
        <v>11</v>
      </c>
      <c r="G220" s="4">
        <v>3024.89</v>
      </c>
    </row>
    <row r="221" spans="1:7" x14ac:dyDescent="0.3">
      <c r="A221" s="3">
        <v>46167</v>
      </c>
      <c r="B221" s="1" t="s">
        <v>252</v>
      </c>
      <c r="C221" s="1" t="s">
        <v>74</v>
      </c>
      <c r="D221" s="1" t="s">
        <v>82</v>
      </c>
      <c r="E221" s="1" t="s">
        <v>22</v>
      </c>
      <c r="F221" s="1">
        <v>6</v>
      </c>
      <c r="G221" s="4">
        <v>711.05</v>
      </c>
    </row>
    <row r="222" spans="1:7" x14ac:dyDescent="0.3">
      <c r="A222" s="3">
        <v>46177</v>
      </c>
      <c r="B222" s="1" t="s">
        <v>253</v>
      </c>
      <c r="C222" s="1" t="s">
        <v>12</v>
      </c>
      <c r="D222" s="1" t="s">
        <v>53</v>
      </c>
      <c r="E222" s="1" t="s">
        <v>14</v>
      </c>
      <c r="F222" s="1">
        <v>4</v>
      </c>
      <c r="G222" s="4">
        <v>1257.6600000000001</v>
      </c>
    </row>
    <row r="223" spans="1:7" x14ac:dyDescent="0.3">
      <c r="A223" s="3">
        <v>46157</v>
      </c>
      <c r="B223" s="1" t="s">
        <v>254</v>
      </c>
      <c r="C223" s="1" t="s">
        <v>8</v>
      </c>
      <c r="D223" s="1" t="s">
        <v>34</v>
      </c>
      <c r="E223" s="1" t="s">
        <v>10</v>
      </c>
      <c r="F223" s="1">
        <v>5</v>
      </c>
      <c r="G223" s="4">
        <v>512.11</v>
      </c>
    </row>
    <row r="224" spans="1:7" x14ac:dyDescent="0.3">
      <c r="A224" s="3">
        <v>46167</v>
      </c>
      <c r="B224" s="1" t="s">
        <v>255</v>
      </c>
      <c r="C224" s="1" t="s">
        <v>8</v>
      </c>
      <c r="D224" s="1" t="s">
        <v>36</v>
      </c>
      <c r="E224" s="1" t="s">
        <v>10</v>
      </c>
      <c r="F224" s="1">
        <v>11</v>
      </c>
      <c r="G224" s="4">
        <v>1950.37</v>
      </c>
    </row>
    <row r="225" spans="1:7" x14ac:dyDescent="0.3">
      <c r="A225" s="3">
        <v>46190</v>
      </c>
      <c r="B225" s="1" t="s">
        <v>256</v>
      </c>
      <c r="C225" s="1" t="s">
        <v>24</v>
      </c>
      <c r="D225" s="1" t="s">
        <v>25</v>
      </c>
      <c r="E225" s="1" t="s">
        <v>26</v>
      </c>
      <c r="F225" s="1">
        <v>12</v>
      </c>
      <c r="G225" s="4">
        <v>4578.8900000000003</v>
      </c>
    </row>
    <row r="226" spans="1:7" x14ac:dyDescent="0.3">
      <c r="A226" s="3">
        <v>46156</v>
      </c>
      <c r="B226" s="1" t="s">
        <v>257</v>
      </c>
      <c r="C226" s="1" t="s">
        <v>40</v>
      </c>
      <c r="D226" s="1" t="s">
        <v>25</v>
      </c>
      <c r="E226" s="1" t="s">
        <v>26</v>
      </c>
      <c r="F226" s="1">
        <v>3</v>
      </c>
      <c r="G226" s="4">
        <v>1174.3699999999999</v>
      </c>
    </row>
    <row r="227" spans="1:7" x14ac:dyDescent="0.3">
      <c r="A227" s="3">
        <v>46164</v>
      </c>
      <c r="B227" s="1" t="s">
        <v>258</v>
      </c>
      <c r="C227" s="1" t="s">
        <v>21</v>
      </c>
      <c r="D227" s="1" t="s">
        <v>53</v>
      </c>
      <c r="E227" s="1" t="s">
        <v>22</v>
      </c>
      <c r="F227" s="1">
        <v>1</v>
      </c>
      <c r="G227" s="4">
        <v>346.15</v>
      </c>
    </row>
    <row r="228" spans="1:7" x14ac:dyDescent="0.3">
      <c r="A228" s="3">
        <v>46180</v>
      </c>
      <c r="B228" s="1" t="s">
        <v>259</v>
      </c>
      <c r="C228" s="1" t="s">
        <v>12</v>
      </c>
      <c r="D228" s="1" t="s">
        <v>16</v>
      </c>
      <c r="E228" s="1" t="s">
        <v>14</v>
      </c>
      <c r="F228" s="1">
        <v>6</v>
      </c>
      <c r="G228" s="4">
        <v>1824.87</v>
      </c>
    </row>
    <row r="229" spans="1:7" x14ac:dyDescent="0.3">
      <c r="A229" s="3">
        <v>46152</v>
      </c>
      <c r="B229" s="1" t="s">
        <v>260</v>
      </c>
      <c r="C229" s="1" t="s">
        <v>40</v>
      </c>
      <c r="D229" s="1" t="s">
        <v>36</v>
      </c>
      <c r="E229" s="1" t="s">
        <v>26</v>
      </c>
      <c r="F229" s="1">
        <v>1</v>
      </c>
      <c r="G229" s="4">
        <v>186.45</v>
      </c>
    </row>
    <row r="230" spans="1:7" x14ac:dyDescent="0.3">
      <c r="A230" s="3">
        <v>46192</v>
      </c>
      <c r="B230" s="1" t="s">
        <v>261</v>
      </c>
      <c r="C230" s="1" t="s">
        <v>74</v>
      </c>
      <c r="D230" s="1" t="s">
        <v>43</v>
      </c>
      <c r="E230" s="1" t="s">
        <v>22</v>
      </c>
      <c r="F230" s="1">
        <v>8</v>
      </c>
      <c r="G230" s="4">
        <v>2503.94</v>
      </c>
    </row>
    <row r="231" spans="1:7" x14ac:dyDescent="0.3">
      <c r="A231" s="3">
        <v>46175</v>
      </c>
      <c r="B231" s="1" t="s">
        <v>262</v>
      </c>
      <c r="C231" s="1" t="s">
        <v>29</v>
      </c>
      <c r="D231" s="1" t="s">
        <v>48</v>
      </c>
      <c r="E231" s="1" t="s">
        <v>10</v>
      </c>
      <c r="F231" s="1">
        <v>4</v>
      </c>
      <c r="G231" s="4">
        <v>945.78</v>
      </c>
    </row>
    <row r="232" spans="1:7" x14ac:dyDescent="0.3">
      <c r="A232" s="3">
        <v>46127</v>
      </c>
      <c r="B232" s="1" t="s">
        <v>263</v>
      </c>
      <c r="C232" s="1" t="s">
        <v>40</v>
      </c>
      <c r="D232" s="1" t="s">
        <v>16</v>
      </c>
      <c r="E232" s="1" t="s">
        <v>26</v>
      </c>
      <c r="F232" s="1">
        <v>11</v>
      </c>
      <c r="G232" s="4">
        <v>3132.36</v>
      </c>
    </row>
    <row r="233" spans="1:7" x14ac:dyDescent="0.3">
      <c r="A233" s="3">
        <v>46175</v>
      </c>
      <c r="B233" s="1" t="s">
        <v>264</v>
      </c>
      <c r="C233" s="1" t="s">
        <v>8</v>
      </c>
      <c r="D233" s="1" t="s">
        <v>43</v>
      </c>
      <c r="E233" s="1" t="s">
        <v>10</v>
      </c>
      <c r="F233" s="1">
        <v>4</v>
      </c>
      <c r="G233" s="4">
        <v>1295.49</v>
      </c>
    </row>
    <row r="234" spans="1:7" x14ac:dyDescent="0.3">
      <c r="A234" s="3">
        <v>46189</v>
      </c>
      <c r="B234" s="1" t="s">
        <v>265</v>
      </c>
      <c r="C234" s="1" t="s">
        <v>74</v>
      </c>
      <c r="D234" s="1" t="s">
        <v>25</v>
      </c>
      <c r="E234" s="1" t="s">
        <v>22</v>
      </c>
      <c r="F234" s="1">
        <v>4</v>
      </c>
      <c r="G234" s="4">
        <v>1525.3</v>
      </c>
    </row>
    <row r="235" spans="1:7" x14ac:dyDescent="0.3">
      <c r="A235" s="3">
        <v>46145</v>
      </c>
      <c r="B235" s="1" t="s">
        <v>266</v>
      </c>
      <c r="C235" s="1" t="s">
        <v>24</v>
      </c>
      <c r="D235" s="1" t="s">
        <v>34</v>
      </c>
      <c r="E235" s="1" t="s">
        <v>26</v>
      </c>
      <c r="F235" s="1">
        <v>8</v>
      </c>
      <c r="G235" s="4">
        <v>801.12</v>
      </c>
    </row>
    <row r="236" spans="1:7" x14ac:dyDescent="0.3">
      <c r="A236" s="3">
        <v>46135</v>
      </c>
      <c r="B236" s="1" t="s">
        <v>267</v>
      </c>
      <c r="C236" s="1" t="s">
        <v>18</v>
      </c>
      <c r="D236" s="1" t="s">
        <v>16</v>
      </c>
      <c r="E236" s="1" t="s">
        <v>14</v>
      </c>
      <c r="F236" s="1">
        <v>4</v>
      </c>
      <c r="G236" s="4">
        <v>1165.56</v>
      </c>
    </row>
    <row r="237" spans="1:7" x14ac:dyDescent="0.3">
      <c r="A237" s="3">
        <v>46198</v>
      </c>
      <c r="B237" s="1" t="s">
        <v>268</v>
      </c>
      <c r="C237" s="1" t="s">
        <v>40</v>
      </c>
      <c r="D237" s="1" t="s">
        <v>9</v>
      </c>
      <c r="E237" s="1" t="s">
        <v>26</v>
      </c>
      <c r="F237" s="1">
        <v>12</v>
      </c>
      <c r="G237" s="4">
        <v>3342.94</v>
      </c>
    </row>
    <row r="238" spans="1:7" x14ac:dyDescent="0.3">
      <c r="A238" s="3">
        <v>46115</v>
      </c>
      <c r="B238" s="1" t="s">
        <v>269</v>
      </c>
      <c r="C238" s="1" t="s">
        <v>38</v>
      </c>
      <c r="D238" s="1" t="s">
        <v>9</v>
      </c>
      <c r="E238" s="1" t="s">
        <v>10</v>
      </c>
      <c r="F238" s="1">
        <v>7</v>
      </c>
      <c r="G238" s="4">
        <v>1825.14</v>
      </c>
    </row>
    <row r="239" spans="1:7" x14ac:dyDescent="0.3">
      <c r="A239" s="3">
        <v>46203</v>
      </c>
      <c r="B239" s="1" t="s">
        <v>270</v>
      </c>
      <c r="C239" s="1" t="s">
        <v>46</v>
      </c>
      <c r="D239" s="1" t="s">
        <v>82</v>
      </c>
      <c r="E239" s="1" t="s">
        <v>32</v>
      </c>
      <c r="F239" s="1">
        <v>1</v>
      </c>
      <c r="G239" s="4">
        <v>106.09</v>
      </c>
    </row>
    <row r="240" spans="1:7" x14ac:dyDescent="0.3">
      <c r="A240" s="3">
        <v>46134</v>
      </c>
      <c r="B240" s="1" t="s">
        <v>271</v>
      </c>
      <c r="C240" s="1" t="s">
        <v>29</v>
      </c>
      <c r="D240" s="1" t="s">
        <v>48</v>
      </c>
      <c r="E240" s="1" t="s">
        <v>26</v>
      </c>
      <c r="F240" s="1">
        <v>2</v>
      </c>
      <c r="G240" s="4">
        <v>492.75</v>
      </c>
    </row>
    <row r="241" spans="1:7" x14ac:dyDescent="0.3">
      <c r="A241" s="3">
        <v>46126</v>
      </c>
      <c r="B241" s="1" t="s">
        <v>272</v>
      </c>
      <c r="C241" s="1" t="s">
        <v>12</v>
      </c>
      <c r="D241" s="1" t="s">
        <v>16</v>
      </c>
      <c r="E241" s="1" t="s">
        <v>14</v>
      </c>
      <c r="F241" s="1">
        <v>9</v>
      </c>
      <c r="G241" s="4">
        <v>2763.67</v>
      </c>
    </row>
    <row r="242" spans="1:7" x14ac:dyDescent="0.3">
      <c r="A242" s="3">
        <v>46152</v>
      </c>
      <c r="B242" s="1" t="s">
        <v>273</v>
      </c>
      <c r="C242" s="1" t="s">
        <v>40</v>
      </c>
      <c r="D242" s="1" t="s">
        <v>30</v>
      </c>
      <c r="E242" s="1" t="s">
        <v>26</v>
      </c>
      <c r="F242" s="1">
        <v>3</v>
      </c>
      <c r="G242" s="4">
        <v>475.6</v>
      </c>
    </row>
    <row r="243" spans="1:7" x14ac:dyDescent="0.3">
      <c r="A243" s="3">
        <v>46194</v>
      </c>
      <c r="B243" s="1" t="s">
        <v>274</v>
      </c>
      <c r="C243" s="1" t="s">
        <v>21</v>
      </c>
      <c r="D243" s="1" t="s">
        <v>13</v>
      </c>
      <c r="E243" s="1" t="s">
        <v>22</v>
      </c>
      <c r="F243" s="1">
        <v>6</v>
      </c>
      <c r="G243" s="4">
        <v>2241.41</v>
      </c>
    </row>
    <row r="244" spans="1:7" x14ac:dyDescent="0.3">
      <c r="A244" s="3">
        <v>46195</v>
      </c>
      <c r="B244" s="1" t="s">
        <v>275</v>
      </c>
      <c r="C244" s="1" t="s">
        <v>18</v>
      </c>
      <c r="D244" s="1" t="s">
        <v>30</v>
      </c>
      <c r="E244" s="1" t="s">
        <v>14</v>
      </c>
      <c r="F244" s="1">
        <v>5</v>
      </c>
      <c r="G244" s="4">
        <v>781.06</v>
      </c>
    </row>
    <row r="245" spans="1:7" x14ac:dyDescent="0.3">
      <c r="A245" s="3">
        <v>46190</v>
      </c>
      <c r="B245" s="1" t="s">
        <v>276</v>
      </c>
      <c r="C245" s="1" t="s">
        <v>18</v>
      </c>
      <c r="D245" s="1" t="s">
        <v>43</v>
      </c>
      <c r="E245" s="1" t="s">
        <v>14</v>
      </c>
      <c r="F245" s="1">
        <v>11</v>
      </c>
      <c r="G245" s="4">
        <v>3518.24</v>
      </c>
    </row>
    <row r="246" spans="1:7" x14ac:dyDescent="0.3">
      <c r="A246" s="3">
        <v>46185</v>
      </c>
      <c r="B246" s="1" t="s">
        <v>277</v>
      </c>
      <c r="C246" s="1" t="s">
        <v>29</v>
      </c>
      <c r="D246" s="1" t="s">
        <v>48</v>
      </c>
      <c r="E246" s="1" t="s">
        <v>10</v>
      </c>
      <c r="F246" s="1">
        <v>10</v>
      </c>
      <c r="G246" s="4">
        <v>2399.39</v>
      </c>
    </row>
    <row r="247" spans="1:7" x14ac:dyDescent="0.3">
      <c r="A247" s="3">
        <v>46192</v>
      </c>
      <c r="B247" s="1" t="s">
        <v>278</v>
      </c>
      <c r="C247" s="1" t="s">
        <v>40</v>
      </c>
      <c r="D247" s="1" t="s">
        <v>43</v>
      </c>
      <c r="E247" s="1" t="s">
        <v>26</v>
      </c>
      <c r="F247" s="1">
        <v>8</v>
      </c>
      <c r="G247" s="4">
        <v>2697.71</v>
      </c>
    </row>
    <row r="248" spans="1:7" x14ac:dyDescent="0.3">
      <c r="A248" s="3">
        <v>46169</v>
      </c>
      <c r="B248" s="1" t="s">
        <v>279</v>
      </c>
      <c r="C248" s="1" t="s">
        <v>24</v>
      </c>
      <c r="D248" s="1" t="s">
        <v>82</v>
      </c>
      <c r="E248" s="1" t="s">
        <v>26</v>
      </c>
      <c r="F248" s="1">
        <v>6</v>
      </c>
      <c r="G248" s="4">
        <v>676.17</v>
      </c>
    </row>
    <row r="249" spans="1:7" x14ac:dyDescent="0.3">
      <c r="A249" s="3">
        <v>46152</v>
      </c>
      <c r="B249" s="1" t="s">
        <v>280</v>
      </c>
      <c r="C249" s="1" t="s">
        <v>38</v>
      </c>
      <c r="D249" s="1" t="s">
        <v>48</v>
      </c>
      <c r="E249" s="1" t="s">
        <v>32</v>
      </c>
      <c r="F249" s="1">
        <v>6</v>
      </c>
      <c r="G249" s="4">
        <v>1404.31</v>
      </c>
    </row>
    <row r="250" spans="1:7" x14ac:dyDescent="0.3">
      <c r="A250" s="3">
        <v>46122</v>
      </c>
      <c r="B250" s="1" t="s">
        <v>281</v>
      </c>
      <c r="C250" s="1" t="s">
        <v>21</v>
      </c>
      <c r="D250" s="1" t="s">
        <v>36</v>
      </c>
      <c r="E250" s="1" t="s">
        <v>22</v>
      </c>
      <c r="F250" s="1">
        <v>7</v>
      </c>
      <c r="G250" s="4">
        <v>1256.1500000000001</v>
      </c>
    </row>
    <row r="251" spans="1:7" x14ac:dyDescent="0.3">
      <c r="A251" s="3">
        <v>46183</v>
      </c>
      <c r="B251" s="1" t="s">
        <v>282</v>
      </c>
      <c r="C251" s="1" t="s">
        <v>74</v>
      </c>
      <c r="D251" s="1" t="s">
        <v>48</v>
      </c>
      <c r="E251" s="1" t="s">
        <v>10</v>
      </c>
      <c r="F251" s="1">
        <v>11</v>
      </c>
      <c r="G251" s="4">
        <v>2795.4</v>
      </c>
    </row>
    <row r="252" spans="1:7" x14ac:dyDescent="0.3">
      <c r="A252" s="3">
        <v>46190</v>
      </c>
      <c r="B252" s="1" t="s">
        <v>283</v>
      </c>
      <c r="C252" s="1" t="s">
        <v>38</v>
      </c>
      <c r="D252" s="1" t="s">
        <v>13</v>
      </c>
      <c r="E252" s="1" t="s">
        <v>32</v>
      </c>
      <c r="F252" s="1">
        <v>1</v>
      </c>
      <c r="G252" s="4">
        <v>368.92</v>
      </c>
    </row>
    <row r="253" spans="1:7" x14ac:dyDescent="0.3">
      <c r="A253" s="3">
        <v>46156</v>
      </c>
      <c r="B253" s="1" t="s">
        <v>284</v>
      </c>
      <c r="C253" s="1" t="s">
        <v>21</v>
      </c>
      <c r="D253" s="1" t="s">
        <v>13</v>
      </c>
      <c r="E253" s="1" t="s">
        <v>22</v>
      </c>
      <c r="F253" s="1">
        <v>1</v>
      </c>
      <c r="G253" s="4">
        <v>378.41</v>
      </c>
    </row>
    <row r="254" spans="1:7" x14ac:dyDescent="0.3">
      <c r="A254" s="3">
        <v>46169</v>
      </c>
      <c r="B254" s="1" t="s">
        <v>285</v>
      </c>
      <c r="C254" s="1" t="s">
        <v>38</v>
      </c>
      <c r="D254" s="1" t="s">
        <v>13</v>
      </c>
      <c r="E254" s="1" t="s">
        <v>32</v>
      </c>
      <c r="F254" s="1">
        <v>3</v>
      </c>
      <c r="G254" s="4">
        <v>1118.9100000000001</v>
      </c>
    </row>
    <row r="255" spans="1:7" x14ac:dyDescent="0.3">
      <c r="A255" s="3">
        <v>46149</v>
      </c>
      <c r="B255" s="1" t="s">
        <v>286</v>
      </c>
      <c r="C255" s="1" t="s">
        <v>46</v>
      </c>
      <c r="D255" s="1" t="s">
        <v>16</v>
      </c>
      <c r="E255" s="1" t="s">
        <v>32</v>
      </c>
      <c r="F255" s="1">
        <v>11</v>
      </c>
      <c r="G255" s="4">
        <v>3165.35</v>
      </c>
    </row>
    <row r="256" spans="1:7" x14ac:dyDescent="0.3">
      <c r="A256" s="3">
        <v>46193</v>
      </c>
      <c r="B256" s="1" t="s">
        <v>287</v>
      </c>
      <c r="C256" s="1" t="s">
        <v>40</v>
      </c>
      <c r="D256" s="1" t="s">
        <v>9</v>
      </c>
      <c r="E256" s="1" t="s">
        <v>26</v>
      </c>
      <c r="F256" s="1">
        <v>9</v>
      </c>
      <c r="G256" s="4">
        <v>2314.86</v>
      </c>
    </row>
    <row r="257" spans="1:7" x14ac:dyDescent="0.3">
      <c r="A257" s="3">
        <v>46149</v>
      </c>
      <c r="B257" s="1" t="s">
        <v>288</v>
      </c>
      <c r="C257" s="1" t="s">
        <v>24</v>
      </c>
      <c r="D257" s="1" t="s">
        <v>19</v>
      </c>
      <c r="E257" s="1" t="s">
        <v>10</v>
      </c>
      <c r="F257" s="1">
        <v>3</v>
      </c>
      <c r="G257" s="4">
        <v>662.4</v>
      </c>
    </row>
    <row r="258" spans="1:7" x14ac:dyDescent="0.3">
      <c r="A258" s="3">
        <v>46187</v>
      </c>
      <c r="B258" s="1" t="s">
        <v>289</v>
      </c>
      <c r="C258" s="1" t="s">
        <v>18</v>
      </c>
      <c r="D258" s="1" t="s">
        <v>34</v>
      </c>
      <c r="E258" s="1" t="s">
        <v>14</v>
      </c>
      <c r="F258" s="1">
        <v>11</v>
      </c>
      <c r="G258" s="4">
        <v>1108.58</v>
      </c>
    </row>
    <row r="259" spans="1:7" x14ac:dyDescent="0.3">
      <c r="A259" s="3">
        <v>46163</v>
      </c>
      <c r="B259" s="1" t="s">
        <v>290</v>
      </c>
      <c r="C259" s="1" t="s">
        <v>18</v>
      </c>
      <c r="D259" s="1" t="s">
        <v>36</v>
      </c>
      <c r="E259" s="1" t="s">
        <v>14</v>
      </c>
      <c r="F259" s="1">
        <v>2</v>
      </c>
      <c r="G259" s="4">
        <v>365.88</v>
      </c>
    </row>
    <row r="260" spans="1:7" x14ac:dyDescent="0.3">
      <c r="A260" s="3">
        <v>46161</v>
      </c>
      <c r="B260" s="1" t="s">
        <v>291</v>
      </c>
      <c r="C260" s="1" t="s">
        <v>40</v>
      </c>
      <c r="D260" s="1" t="s">
        <v>53</v>
      </c>
      <c r="E260" s="1" t="s">
        <v>26</v>
      </c>
      <c r="F260" s="1">
        <v>12</v>
      </c>
      <c r="G260" s="4">
        <v>3697.43</v>
      </c>
    </row>
    <row r="261" spans="1:7" x14ac:dyDescent="0.3">
      <c r="A261" s="3">
        <v>46180</v>
      </c>
      <c r="B261" s="1" t="s">
        <v>292</v>
      </c>
      <c r="C261" s="1" t="s">
        <v>21</v>
      </c>
      <c r="D261" s="1" t="s">
        <v>43</v>
      </c>
      <c r="E261" s="1" t="s">
        <v>22</v>
      </c>
      <c r="F261" s="1">
        <v>9</v>
      </c>
      <c r="G261" s="4">
        <v>2927.14</v>
      </c>
    </row>
    <row r="262" spans="1:7" x14ac:dyDescent="0.3">
      <c r="A262" s="3">
        <v>46159</v>
      </c>
      <c r="B262" s="1" t="s">
        <v>293</v>
      </c>
      <c r="C262" s="1" t="s">
        <v>24</v>
      </c>
      <c r="D262" s="1" t="s">
        <v>53</v>
      </c>
      <c r="E262" s="1" t="s">
        <v>26</v>
      </c>
      <c r="F262" s="1">
        <v>8</v>
      </c>
      <c r="G262" s="4">
        <v>2735.49</v>
      </c>
    </row>
    <row r="263" spans="1:7" x14ac:dyDescent="0.3">
      <c r="A263" s="3">
        <v>46130</v>
      </c>
      <c r="B263" s="1" t="s">
        <v>294</v>
      </c>
      <c r="C263" s="1" t="s">
        <v>18</v>
      </c>
      <c r="D263" s="1" t="s">
        <v>9</v>
      </c>
      <c r="E263" s="1" t="s">
        <v>14</v>
      </c>
      <c r="F263" s="1">
        <v>2</v>
      </c>
      <c r="G263" s="4">
        <v>525.88</v>
      </c>
    </row>
    <row r="264" spans="1:7" x14ac:dyDescent="0.3">
      <c r="A264" s="3">
        <v>46182</v>
      </c>
      <c r="B264" s="1" t="s">
        <v>295</v>
      </c>
      <c r="C264" s="1" t="s">
        <v>8</v>
      </c>
      <c r="D264" s="1" t="s">
        <v>25</v>
      </c>
      <c r="E264" s="1" t="s">
        <v>10</v>
      </c>
      <c r="F264" s="1">
        <v>10</v>
      </c>
      <c r="G264" s="4">
        <v>4133.95</v>
      </c>
    </row>
    <row r="265" spans="1:7" x14ac:dyDescent="0.3">
      <c r="A265" s="3">
        <v>46161</v>
      </c>
      <c r="B265" s="1" t="s">
        <v>296</v>
      </c>
      <c r="C265" s="1" t="s">
        <v>18</v>
      </c>
      <c r="D265" s="1" t="s">
        <v>53</v>
      </c>
      <c r="E265" s="1" t="s">
        <v>14</v>
      </c>
      <c r="F265" s="1">
        <v>12</v>
      </c>
      <c r="G265" s="4">
        <v>3811.37</v>
      </c>
    </row>
    <row r="266" spans="1:7" x14ac:dyDescent="0.3">
      <c r="A266" s="3">
        <v>46134</v>
      </c>
      <c r="B266" s="1" t="s">
        <v>297</v>
      </c>
      <c r="C266" s="1" t="s">
        <v>38</v>
      </c>
      <c r="D266" s="1" t="s">
        <v>25</v>
      </c>
      <c r="E266" s="1" t="s">
        <v>32</v>
      </c>
      <c r="F266" s="1">
        <v>11</v>
      </c>
      <c r="G266" s="4">
        <v>4221.0600000000004</v>
      </c>
    </row>
    <row r="267" spans="1:7" x14ac:dyDescent="0.3">
      <c r="A267" s="3">
        <v>46169</v>
      </c>
      <c r="B267" s="1" t="s">
        <v>298</v>
      </c>
      <c r="C267" s="1" t="s">
        <v>29</v>
      </c>
      <c r="D267" s="1" t="s">
        <v>82</v>
      </c>
      <c r="E267" s="1" t="s">
        <v>10</v>
      </c>
      <c r="F267" s="1">
        <v>8</v>
      </c>
      <c r="G267" s="4">
        <v>933.04</v>
      </c>
    </row>
    <row r="268" spans="1:7" x14ac:dyDescent="0.3">
      <c r="A268" s="3">
        <v>46143</v>
      </c>
      <c r="B268" s="1" t="s">
        <v>299</v>
      </c>
      <c r="C268" s="1" t="s">
        <v>24</v>
      </c>
      <c r="D268" s="1" t="s">
        <v>48</v>
      </c>
      <c r="E268" s="1" t="s">
        <v>14</v>
      </c>
      <c r="F268" s="1">
        <v>6</v>
      </c>
      <c r="G268" s="4">
        <v>1433.02</v>
      </c>
    </row>
    <row r="269" spans="1:7" x14ac:dyDescent="0.3">
      <c r="A269" s="3">
        <v>46186</v>
      </c>
      <c r="B269" s="1" t="s">
        <v>300</v>
      </c>
      <c r="C269" s="1" t="s">
        <v>38</v>
      </c>
      <c r="D269" s="1" t="s">
        <v>48</v>
      </c>
      <c r="E269" s="1" t="s">
        <v>32</v>
      </c>
      <c r="F269" s="1">
        <v>7</v>
      </c>
      <c r="G269" s="4">
        <v>1710.17</v>
      </c>
    </row>
    <row r="270" spans="1:7" x14ac:dyDescent="0.3">
      <c r="A270" s="3">
        <v>46166</v>
      </c>
      <c r="B270" s="1" t="s">
        <v>301</v>
      </c>
      <c r="C270" s="1" t="s">
        <v>18</v>
      </c>
      <c r="D270" s="1" t="s">
        <v>30</v>
      </c>
      <c r="E270" s="1" t="s">
        <v>14</v>
      </c>
      <c r="F270" s="1">
        <v>5</v>
      </c>
      <c r="G270" s="4">
        <v>794.99</v>
      </c>
    </row>
    <row r="271" spans="1:7" x14ac:dyDescent="0.3">
      <c r="A271" s="3">
        <v>46174</v>
      </c>
      <c r="B271" s="1" t="s">
        <v>302</v>
      </c>
      <c r="C271" s="1" t="s">
        <v>40</v>
      </c>
      <c r="D271" s="1" t="s">
        <v>13</v>
      </c>
      <c r="E271" s="1" t="s">
        <v>10</v>
      </c>
      <c r="F271" s="1">
        <v>2</v>
      </c>
      <c r="G271" s="4">
        <v>753.32</v>
      </c>
    </row>
    <row r="272" spans="1:7" x14ac:dyDescent="0.3">
      <c r="A272" s="3">
        <v>46133</v>
      </c>
      <c r="B272" s="1" t="s">
        <v>303</v>
      </c>
      <c r="C272" s="1" t="s">
        <v>24</v>
      </c>
      <c r="D272" s="1" t="s">
        <v>48</v>
      </c>
      <c r="E272" s="1" t="s">
        <v>14</v>
      </c>
      <c r="F272" s="1">
        <v>7</v>
      </c>
      <c r="G272" s="4">
        <v>1799.97</v>
      </c>
    </row>
    <row r="273" spans="1:7" x14ac:dyDescent="0.3">
      <c r="A273" s="3">
        <v>46141</v>
      </c>
      <c r="B273" s="1" t="s">
        <v>304</v>
      </c>
      <c r="C273" s="1" t="s">
        <v>38</v>
      </c>
      <c r="D273" s="1" t="s">
        <v>34</v>
      </c>
      <c r="E273" s="1" t="s">
        <v>32</v>
      </c>
      <c r="F273" s="1">
        <v>0</v>
      </c>
      <c r="G273" s="4">
        <v>104.77</v>
      </c>
    </row>
    <row r="274" spans="1:7" x14ac:dyDescent="0.3">
      <c r="A274" s="3">
        <v>46160</v>
      </c>
      <c r="B274" s="1" t="s">
        <v>305</v>
      </c>
      <c r="C274" s="1" t="s">
        <v>12</v>
      </c>
      <c r="D274" s="1" t="s">
        <v>16</v>
      </c>
      <c r="E274" s="1" t="s">
        <v>26</v>
      </c>
      <c r="F274" s="1">
        <v>4</v>
      </c>
      <c r="G274" s="4">
        <v>1235.81</v>
      </c>
    </row>
    <row r="275" spans="1:7" x14ac:dyDescent="0.3">
      <c r="A275" s="3">
        <v>46125</v>
      </c>
      <c r="B275" s="1" t="s">
        <v>306</v>
      </c>
      <c r="C275" s="1" t="s">
        <v>40</v>
      </c>
      <c r="D275" s="1" t="s">
        <v>53</v>
      </c>
      <c r="E275" s="1" t="s">
        <v>26</v>
      </c>
      <c r="F275" s="1">
        <v>5</v>
      </c>
      <c r="G275" s="4">
        <v>1557.35</v>
      </c>
    </row>
    <row r="276" spans="1:7" x14ac:dyDescent="0.3">
      <c r="A276" s="3">
        <v>46173</v>
      </c>
      <c r="B276" s="1" t="s">
        <v>307</v>
      </c>
      <c r="C276" s="1" t="s">
        <v>18</v>
      </c>
      <c r="D276" s="1" t="s">
        <v>19</v>
      </c>
      <c r="E276" s="1" t="s">
        <v>14</v>
      </c>
      <c r="F276" s="1">
        <v>10</v>
      </c>
      <c r="G276" s="4">
        <v>2298.5500000000002</v>
      </c>
    </row>
    <row r="277" spans="1:7" x14ac:dyDescent="0.3">
      <c r="A277" s="3">
        <v>46123</v>
      </c>
      <c r="B277" s="1" t="s">
        <v>308</v>
      </c>
      <c r="C277" s="1" t="s">
        <v>74</v>
      </c>
      <c r="D277" s="1" t="s">
        <v>82</v>
      </c>
      <c r="E277" s="1" t="s">
        <v>22</v>
      </c>
      <c r="F277" s="1">
        <v>3</v>
      </c>
      <c r="G277" s="4">
        <v>336.29</v>
      </c>
    </row>
    <row r="278" spans="1:7" x14ac:dyDescent="0.3">
      <c r="A278" s="3">
        <v>46190</v>
      </c>
      <c r="B278" s="1" t="s">
        <v>309</v>
      </c>
      <c r="C278" s="1" t="s">
        <v>8</v>
      </c>
      <c r="D278" s="1" t="s">
        <v>16</v>
      </c>
      <c r="E278" s="1" t="s">
        <v>10</v>
      </c>
      <c r="F278" s="1">
        <v>5</v>
      </c>
      <c r="G278" s="4">
        <v>1505.8</v>
      </c>
    </row>
    <row r="279" spans="1:7" x14ac:dyDescent="0.3">
      <c r="A279" s="3">
        <v>46128</v>
      </c>
      <c r="B279" s="1" t="s">
        <v>310</v>
      </c>
      <c r="C279" s="1" t="s">
        <v>74</v>
      </c>
      <c r="D279" s="1" t="s">
        <v>30</v>
      </c>
      <c r="E279" s="1" t="s">
        <v>22</v>
      </c>
      <c r="F279" s="1">
        <v>10</v>
      </c>
      <c r="G279" s="4">
        <v>1512.23</v>
      </c>
    </row>
    <row r="280" spans="1:7" x14ac:dyDescent="0.3">
      <c r="A280" s="3">
        <v>46127</v>
      </c>
      <c r="B280" s="1" t="s">
        <v>311</v>
      </c>
      <c r="C280" s="1" t="s">
        <v>38</v>
      </c>
      <c r="D280" s="1" t="s">
        <v>36</v>
      </c>
      <c r="E280" s="1" t="s">
        <v>32</v>
      </c>
      <c r="F280" s="1">
        <v>11</v>
      </c>
      <c r="G280" s="4">
        <v>1960.74</v>
      </c>
    </row>
    <row r="281" spans="1:7" x14ac:dyDescent="0.3">
      <c r="A281" s="3">
        <v>46143</v>
      </c>
      <c r="B281" s="1" t="s">
        <v>312</v>
      </c>
      <c r="C281" s="1" t="s">
        <v>18</v>
      </c>
      <c r="D281" s="1" t="s">
        <v>82</v>
      </c>
      <c r="E281" s="1" t="s">
        <v>14</v>
      </c>
      <c r="F281" s="1">
        <v>10</v>
      </c>
      <c r="G281" s="4">
        <v>1149.19</v>
      </c>
    </row>
    <row r="282" spans="1:7" x14ac:dyDescent="0.3">
      <c r="A282" s="3">
        <v>46186</v>
      </c>
      <c r="B282" s="1" t="s">
        <v>313</v>
      </c>
      <c r="C282" s="1" t="s">
        <v>46</v>
      </c>
      <c r="D282" s="1" t="s">
        <v>53</v>
      </c>
      <c r="E282" s="1" t="s">
        <v>32</v>
      </c>
      <c r="F282" s="1">
        <v>2</v>
      </c>
      <c r="G282" s="4">
        <v>656.03</v>
      </c>
    </row>
    <row r="283" spans="1:7" x14ac:dyDescent="0.3">
      <c r="A283" s="3">
        <v>46159</v>
      </c>
      <c r="B283" s="1" t="s">
        <v>314</v>
      </c>
      <c r="C283" s="1" t="s">
        <v>21</v>
      </c>
      <c r="D283" s="1" t="s">
        <v>13</v>
      </c>
      <c r="E283" s="1" t="s">
        <v>22</v>
      </c>
      <c r="F283" s="1">
        <v>9</v>
      </c>
      <c r="G283" s="4">
        <v>3276.59</v>
      </c>
    </row>
    <row r="284" spans="1:7" x14ac:dyDescent="0.3">
      <c r="A284" s="3">
        <v>46162</v>
      </c>
      <c r="B284" s="1" t="s">
        <v>315</v>
      </c>
      <c r="C284" s="1" t="s">
        <v>38</v>
      </c>
      <c r="D284" s="1" t="s">
        <v>25</v>
      </c>
      <c r="E284" s="1" t="s">
        <v>32</v>
      </c>
      <c r="F284" s="1">
        <v>6</v>
      </c>
      <c r="G284" s="4">
        <v>2443.3000000000002</v>
      </c>
    </row>
    <row r="285" spans="1:7" x14ac:dyDescent="0.3">
      <c r="A285" s="3">
        <v>46115</v>
      </c>
      <c r="B285" s="1" t="s">
        <v>316</v>
      </c>
      <c r="C285" s="1" t="s">
        <v>40</v>
      </c>
      <c r="D285" s="1" t="s">
        <v>9</v>
      </c>
      <c r="E285" s="1" t="s">
        <v>26</v>
      </c>
      <c r="F285" s="1">
        <v>12</v>
      </c>
      <c r="G285" s="4">
        <v>3095.06</v>
      </c>
    </row>
    <row r="286" spans="1:7" x14ac:dyDescent="0.3">
      <c r="A286" s="3">
        <v>46126</v>
      </c>
      <c r="B286" s="1" t="s">
        <v>317</v>
      </c>
      <c r="C286" s="1" t="s">
        <v>29</v>
      </c>
      <c r="D286" s="1" t="s">
        <v>19</v>
      </c>
      <c r="E286" s="1" t="s">
        <v>10</v>
      </c>
      <c r="F286" s="1">
        <v>3</v>
      </c>
      <c r="G286" s="4">
        <v>686.33</v>
      </c>
    </row>
    <row r="287" spans="1:7" x14ac:dyDescent="0.3">
      <c r="A287" s="3">
        <v>46182</v>
      </c>
      <c r="B287" s="1" t="s">
        <v>318</v>
      </c>
      <c r="C287" s="1" t="s">
        <v>40</v>
      </c>
      <c r="D287" s="1" t="s">
        <v>43</v>
      </c>
      <c r="E287" s="1" t="s">
        <v>26</v>
      </c>
      <c r="F287" s="1">
        <v>11</v>
      </c>
      <c r="G287" s="4">
        <v>3531.48</v>
      </c>
    </row>
    <row r="288" spans="1:7" x14ac:dyDescent="0.3">
      <c r="A288" s="3">
        <v>46202</v>
      </c>
      <c r="B288" s="1" t="s">
        <v>319</v>
      </c>
      <c r="C288" s="1" t="s">
        <v>38</v>
      </c>
      <c r="D288" s="1" t="s">
        <v>43</v>
      </c>
      <c r="E288" s="1" t="s">
        <v>32</v>
      </c>
      <c r="F288" s="1">
        <v>3</v>
      </c>
      <c r="G288" s="4">
        <v>1012.28</v>
      </c>
    </row>
    <row r="289" spans="1:7" x14ac:dyDescent="0.3">
      <c r="A289" s="3">
        <v>46171</v>
      </c>
      <c r="B289" s="1" t="s">
        <v>320</v>
      </c>
      <c r="C289" s="1" t="s">
        <v>74</v>
      </c>
      <c r="D289" s="1" t="s">
        <v>82</v>
      </c>
      <c r="E289" s="1" t="s">
        <v>22</v>
      </c>
      <c r="F289" s="1">
        <v>4</v>
      </c>
      <c r="G289" s="4">
        <v>428.98</v>
      </c>
    </row>
    <row r="290" spans="1:7" x14ac:dyDescent="0.3">
      <c r="A290" s="3">
        <v>46153</v>
      </c>
      <c r="B290" s="1" t="s">
        <v>321</v>
      </c>
      <c r="C290" s="1" t="s">
        <v>24</v>
      </c>
      <c r="D290" s="1" t="s">
        <v>13</v>
      </c>
      <c r="E290" s="1" t="s">
        <v>322</v>
      </c>
      <c r="F290" s="1">
        <v>9</v>
      </c>
      <c r="G290" s="4">
        <v>3310.6</v>
      </c>
    </row>
    <row r="291" spans="1:7" x14ac:dyDescent="0.3">
      <c r="A291" s="3">
        <v>46117</v>
      </c>
      <c r="B291" s="1" t="s">
        <v>323</v>
      </c>
      <c r="C291" s="1" t="s">
        <v>12</v>
      </c>
      <c r="D291" s="1" t="s">
        <v>82</v>
      </c>
      <c r="E291" s="1" t="s">
        <v>14</v>
      </c>
      <c r="F291" s="1">
        <v>1</v>
      </c>
      <c r="G291" s="4">
        <v>107.53</v>
      </c>
    </row>
    <row r="292" spans="1:7" x14ac:dyDescent="0.3">
      <c r="A292" s="3">
        <v>46155</v>
      </c>
      <c r="B292" s="1" t="s">
        <v>324</v>
      </c>
      <c r="C292" s="1" t="s">
        <v>24</v>
      </c>
      <c r="D292" s="1" t="s">
        <v>9</v>
      </c>
      <c r="E292" s="1" t="s">
        <v>32</v>
      </c>
      <c r="F292" s="1">
        <v>7</v>
      </c>
      <c r="G292" s="4">
        <v>1785.17</v>
      </c>
    </row>
    <row r="293" spans="1:7" x14ac:dyDescent="0.3">
      <c r="A293" s="3">
        <v>46162</v>
      </c>
      <c r="B293" s="1" t="s">
        <v>325</v>
      </c>
      <c r="C293" s="1" t="s">
        <v>40</v>
      </c>
      <c r="D293" s="1" t="s">
        <v>53</v>
      </c>
      <c r="E293" s="1" t="s">
        <v>26</v>
      </c>
      <c r="F293" s="1">
        <v>8</v>
      </c>
      <c r="G293" s="4">
        <v>2676.57</v>
      </c>
    </row>
    <row r="294" spans="1:7" x14ac:dyDescent="0.3">
      <c r="A294" s="3">
        <v>46179</v>
      </c>
      <c r="B294" s="1" t="s">
        <v>326</v>
      </c>
      <c r="C294" s="1" t="s">
        <v>24</v>
      </c>
      <c r="D294" s="1" t="s">
        <v>9</v>
      </c>
      <c r="E294" s="1" t="s">
        <v>26</v>
      </c>
      <c r="F294" s="1">
        <v>2</v>
      </c>
      <c r="G294" s="4">
        <v>531.05999999999995</v>
      </c>
    </row>
    <row r="295" spans="1:7" x14ac:dyDescent="0.3">
      <c r="A295" s="3">
        <v>46136</v>
      </c>
      <c r="B295" s="1" t="s">
        <v>327</v>
      </c>
      <c r="C295" s="1" t="s">
        <v>8</v>
      </c>
      <c r="D295" s="1" t="s">
        <v>82</v>
      </c>
      <c r="E295" s="1" t="s">
        <v>10</v>
      </c>
      <c r="F295" s="1">
        <v>2</v>
      </c>
      <c r="G295" s="4">
        <v>230.56</v>
      </c>
    </row>
    <row r="296" spans="1:7" x14ac:dyDescent="0.3">
      <c r="A296" s="3">
        <v>46150</v>
      </c>
      <c r="B296" s="1" t="s">
        <v>328</v>
      </c>
      <c r="C296" s="1" t="s">
        <v>24</v>
      </c>
      <c r="D296" s="1" t="s">
        <v>48</v>
      </c>
      <c r="E296" s="1" t="s">
        <v>26</v>
      </c>
      <c r="F296" s="1">
        <v>7</v>
      </c>
      <c r="G296" s="4">
        <v>1783.6</v>
      </c>
    </row>
    <row r="297" spans="1:7" x14ac:dyDescent="0.3">
      <c r="A297" s="3">
        <v>46169</v>
      </c>
      <c r="B297" s="1" t="s">
        <v>329</v>
      </c>
      <c r="C297" s="1" t="s">
        <v>40</v>
      </c>
      <c r="D297" s="1" t="s">
        <v>48</v>
      </c>
      <c r="E297" s="1" t="s">
        <v>26</v>
      </c>
      <c r="F297" s="1">
        <v>6</v>
      </c>
      <c r="G297" s="4">
        <v>1444.9</v>
      </c>
    </row>
    <row r="298" spans="1:7" x14ac:dyDescent="0.3">
      <c r="A298" s="3">
        <v>46168</v>
      </c>
      <c r="B298" s="1" t="s">
        <v>330</v>
      </c>
      <c r="C298" s="1" t="s">
        <v>24</v>
      </c>
      <c r="D298" s="1" t="s">
        <v>43</v>
      </c>
      <c r="E298" s="1" t="s">
        <v>22</v>
      </c>
      <c r="F298" s="1">
        <v>2</v>
      </c>
      <c r="G298" s="4">
        <v>625.23</v>
      </c>
    </row>
    <row r="299" spans="1:7" x14ac:dyDescent="0.3">
      <c r="A299" s="3">
        <v>46164</v>
      </c>
      <c r="B299" s="1" t="s">
        <v>331</v>
      </c>
      <c r="C299" s="1" t="s">
        <v>40</v>
      </c>
      <c r="D299" s="1" t="s">
        <v>13</v>
      </c>
      <c r="E299" s="1" t="s">
        <v>14</v>
      </c>
      <c r="F299" s="1">
        <v>1</v>
      </c>
      <c r="G299" s="4">
        <v>383.32</v>
      </c>
    </row>
    <row r="300" spans="1:7" x14ac:dyDescent="0.3">
      <c r="A300" s="3">
        <v>46190</v>
      </c>
      <c r="B300" s="1" t="s">
        <v>332</v>
      </c>
      <c r="C300" s="1" t="s">
        <v>38</v>
      </c>
      <c r="D300" s="1" t="s">
        <v>25</v>
      </c>
      <c r="E300" s="1" t="s">
        <v>32</v>
      </c>
      <c r="F300" s="1">
        <v>4</v>
      </c>
      <c r="G300" s="4">
        <v>1523.05</v>
      </c>
    </row>
    <row r="301" spans="1:7" x14ac:dyDescent="0.3">
      <c r="A301" s="3">
        <v>46159</v>
      </c>
      <c r="B301" s="1" t="s">
        <v>333</v>
      </c>
      <c r="C301" s="1" t="s">
        <v>40</v>
      </c>
      <c r="D301" s="1" t="s">
        <v>16</v>
      </c>
      <c r="E301" s="1" t="s">
        <v>22</v>
      </c>
      <c r="F301" s="1">
        <v>10</v>
      </c>
      <c r="G301" s="4">
        <v>3042.92</v>
      </c>
    </row>
    <row r="302" spans="1:7" x14ac:dyDescent="0.3">
      <c r="A302" s="3">
        <v>46170</v>
      </c>
      <c r="B302" s="1" t="s">
        <v>334</v>
      </c>
      <c r="C302" s="1" t="s">
        <v>40</v>
      </c>
      <c r="D302" s="1" t="s">
        <v>34</v>
      </c>
      <c r="E302" s="1" t="s">
        <v>26</v>
      </c>
      <c r="F302" s="1">
        <v>2</v>
      </c>
      <c r="G302" s="4">
        <v>204.85</v>
      </c>
    </row>
    <row r="303" spans="1:7" x14ac:dyDescent="0.3">
      <c r="A303" s="3">
        <v>46180</v>
      </c>
      <c r="B303" s="1" t="s">
        <v>335</v>
      </c>
      <c r="C303" s="1" t="s">
        <v>40</v>
      </c>
      <c r="D303" s="1" t="s">
        <v>16</v>
      </c>
      <c r="E303" s="1" t="s">
        <v>26</v>
      </c>
      <c r="F303" s="1">
        <v>5</v>
      </c>
      <c r="G303" s="4">
        <v>1503.57</v>
      </c>
    </row>
    <row r="304" spans="1:7" x14ac:dyDescent="0.3">
      <c r="A304" s="3">
        <v>46127</v>
      </c>
      <c r="B304" s="1" t="s">
        <v>336</v>
      </c>
      <c r="C304" s="1" t="s">
        <v>74</v>
      </c>
      <c r="D304" s="1" t="s">
        <v>19</v>
      </c>
      <c r="E304" s="1" t="s">
        <v>22</v>
      </c>
      <c r="F304" s="1">
        <v>9</v>
      </c>
      <c r="G304" s="15"/>
    </row>
    <row r="305" spans="1:7" x14ac:dyDescent="0.3">
      <c r="A305" s="3">
        <v>46184</v>
      </c>
      <c r="B305" s="1" t="s">
        <v>337</v>
      </c>
      <c r="C305" s="1" t="s">
        <v>21</v>
      </c>
      <c r="D305" s="1" t="s">
        <v>82</v>
      </c>
      <c r="E305" s="1" t="s">
        <v>22</v>
      </c>
      <c r="F305" s="1">
        <v>12</v>
      </c>
      <c r="G305" s="4">
        <v>1362.88</v>
      </c>
    </row>
    <row r="306" spans="1:7" x14ac:dyDescent="0.3">
      <c r="A306" s="3">
        <v>46191</v>
      </c>
      <c r="B306" s="1" t="s">
        <v>338</v>
      </c>
      <c r="C306" s="1" t="s">
        <v>24</v>
      </c>
      <c r="D306" s="1" t="s">
        <v>19</v>
      </c>
      <c r="E306" s="1" t="s">
        <v>32</v>
      </c>
      <c r="F306" s="1">
        <v>4</v>
      </c>
      <c r="G306" s="12">
        <v>906.46</v>
      </c>
    </row>
    <row r="307" spans="1:7" x14ac:dyDescent="0.3">
      <c r="A307" s="3">
        <v>46122</v>
      </c>
      <c r="B307" s="1" t="s">
        <v>339</v>
      </c>
      <c r="C307" s="1" t="s">
        <v>38</v>
      </c>
      <c r="D307" s="1" t="s">
        <v>53</v>
      </c>
      <c r="E307" s="1" t="s">
        <v>32</v>
      </c>
      <c r="F307" s="1">
        <v>2</v>
      </c>
      <c r="G307" s="4">
        <v>631.91999999999996</v>
      </c>
    </row>
    <row r="308" spans="1:7" x14ac:dyDescent="0.3">
      <c r="A308" s="3">
        <v>46153</v>
      </c>
      <c r="B308" s="1" t="s">
        <v>340</v>
      </c>
      <c r="C308" s="1" t="s">
        <v>40</v>
      </c>
      <c r="D308" s="1" t="s">
        <v>19</v>
      </c>
      <c r="E308" s="1" t="s">
        <v>26</v>
      </c>
      <c r="F308" s="1">
        <v>9</v>
      </c>
      <c r="G308" s="4">
        <v>1997.87</v>
      </c>
    </row>
    <row r="309" spans="1:7" x14ac:dyDescent="0.3">
      <c r="A309" s="3">
        <v>46151</v>
      </c>
      <c r="B309" s="1" t="s">
        <v>341</v>
      </c>
      <c r="C309" s="1" t="s">
        <v>18</v>
      </c>
      <c r="D309" s="1" t="s">
        <v>19</v>
      </c>
      <c r="E309" s="1" t="s">
        <v>14</v>
      </c>
      <c r="F309" s="1">
        <v>12</v>
      </c>
      <c r="G309" s="4">
        <v>2548.79</v>
      </c>
    </row>
    <row r="310" spans="1:7" x14ac:dyDescent="0.3">
      <c r="A310" s="3">
        <v>46159</v>
      </c>
      <c r="B310" s="1" t="s">
        <v>342</v>
      </c>
      <c r="C310" s="1" t="s">
        <v>8</v>
      </c>
      <c r="D310" s="1" t="s">
        <v>30</v>
      </c>
      <c r="E310" s="1" t="s">
        <v>10</v>
      </c>
      <c r="F310" s="1">
        <v>4</v>
      </c>
      <c r="G310" s="4">
        <v>579.16999999999996</v>
      </c>
    </row>
    <row r="311" spans="1:7" x14ac:dyDescent="0.3">
      <c r="A311" s="3">
        <v>46143</v>
      </c>
      <c r="B311" s="1" t="s">
        <v>343</v>
      </c>
      <c r="C311" s="1" t="s">
        <v>38</v>
      </c>
      <c r="D311" s="1" t="s">
        <v>25</v>
      </c>
      <c r="E311" s="1" t="s">
        <v>32</v>
      </c>
      <c r="F311" s="1">
        <v>10</v>
      </c>
      <c r="G311" s="4">
        <v>4014.07</v>
      </c>
    </row>
    <row r="312" spans="1:7" x14ac:dyDescent="0.3">
      <c r="A312" s="3">
        <v>46183</v>
      </c>
      <c r="B312" s="1" t="s">
        <v>344</v>
      </c>
      <c r="C312" s="1" t="s">
        <v>18</v>
      </c>
      <c r="D312" s="1" t="s">
        <v>36</v>
      </c>
      <c r="E312" s="1" t="s">
        <v>22</v>
      </c>
      <c r="F312" s="1">
        <v>5</v>
      </c>
      <c r="G312" s="4">
        <v>904.61</v>
      </c>
    </row>
    <row r="313" spans="1:7" x14ac:dyDescent="0.3">
      <c r="A313" s="3">
        <v>46174</v>
      </c>
      <c r="B313" s="1" t="s">
        <v>345</v>
      </c>
      <c r="C313" s="1" t="s">
        <v>8</v>
      </c>
      <c r="D313" s="1" t="s">
        <v>16</v>
      </c>
      <c r="E313" s="1" t="s">
        <v>10</v>
      </c>
      <c r="F313" s="1">
        <v>10</v>
      </c>
      <c r="G313" s="4">
        <v>3072.56</v>
      </c>
    </row>
    <row r="314" spans="1:7" x14ac:dyDescent="0.3">
      <c r="A314" s="3">
        <v>46153</v>
      </c>
      <c r="B314" s="1" t="s">
        <v>346</v>
      </c>
      <c r="C314" s="1" t="s">
        <v>21</v>
      </c>
      <c r="D314" s="1" t="s">
        <v>48</v>
      </c>
      <c r="E314" s="1" t="s">
        <v>22</v>
      </c>
      <c r="F314" s="1">
        <v>9</v>
      </c>
      <c r="G314" s="4">
        <v>2243.2600000000002</v>
      </c>
    </row>
    <row r="315" spans="1:7" x14ac:dyDescent="0.3">
      <c r="A315" s="3">
        <v>46183</v>
      </c>
      <c r="B315" s="1" t="s">
        <v>347</v>
      </c>
      <c r="C315" s="1" t="s">
        <v>29</v>
      </c>
      <c r="D315" s="1" t="s">
        <v>53</v>
      </c>
      <c r="E315" s="1" t="s">
        <v>10</v>
      </c>
      <c r="F315" s="1">
        <v>3</v>
      </c>
      <c r="G315" s="4">
        <v>995.49</v>
      </c>
    </row>
    <row r="316" spans="1:7" x14ac:dyDescent="0.3">
      <c r="A316" s="3">
        <v>46120</v>
      </c>
      <c r="B316" s="1" t="s">
        <v>348</v>
      </c>
      <c r="C316" s="1" t="s">
        <v>21</v>
      </c>
      <c r="D316" s="1" t="s">
        <v>13</v>
      </c>
      <c r="E316" s="1" t="s">
        <v>22</v>
      </c>
      <c r="F316" s="1">
        <v>3</v>
      </c>
      <c r="G316" s="4">
        <v>1147.26</v>
      </c>
    </row>
    <row r="317" spans="1:7" x14ac:dyDescent="0.3">
      <c r="A317" s="3">
        <v>46203</v>
      </c>
      <c r="B317" s="1" t="s">
        <v>349</v>
      </c>
      <c r="C317" s="1" t="s">
        <v>12</v>
      </c>
      <c r="D317" s="1" t="s">
        <v>34</v>
      </c>
      <c r="E317" s="1" t="s">
        <v>10</v>
      </c>
      <c r="F317" s="1">
        <v>5</v>
      </c>
      <c r="G317" s="4">
        <v>494.17</v>
      </c>
    </row>
    <row r="318" spans="1:7" x14ac:dyDescent="0.3">
      <c r="A318" s="3">
        <v>46145</v>
      </c>
      <c r="B318" s="1" t="s">
        <v>350</v>
      </c>
      <c r="C318" s="1" t="s">
        <v>12</v>
      </c>
      <c r="D318" s="1" t="s">
        <v>43</v>
      </c>
      <c r="E318" s="1" t="s">
        <v>26</v>
      </c>
      <c r="F318" s="1">
        <v>3</v>
      </c>
      <c r="G318" s="4">
        <v>943.5</v>
      </c>
    </row>
    <row r="319" spans="1:7" x14ac:dyDescent="0.3">
      <c r="A319" s="3">
        <v>46191</v>
      </c>
      <c r="B319" s="1" t="s">
        <v>351</v>
      </c>
      <c r="C319" s="1" t="s">
        <v>8</v>
      </c>
      <c r="D319" s="1" t="s">
        <v>9</v>
      </c>
      <c r="E319" s="1" t="s">
        <v>10</v>
      </c>
      <c r="F319" s="1">
        <v>3</v>
      </c>
      <c r="G319" s="4">
        <v>780.35</v>
      </c>
    </row>
    <row r="320" spans="1:7" x14ac:dyDescent="0.3">
      <c r="A320" s="3">
        <v>46187</v>
      </c>
      <c r="B320" s="1" t="s">
        <v>352</v>
      </c>
      <c r="C320" s="1" t="s">
        <v>18</v>
      </c>
      <c r="D320" s="1" t="s">
        <v>53</v>
      </c>
      <c r="E320" s="1" t="s">
        <v>14</v>
      </c>
      <c r="F320" s="1">
        <v>12</v>
      </c>
      <c r="G320" s="4">
        <v>3745.39</v>
      </c>
    </row>
    <row r="321" spans="1:7" x14ac:dyDescent="0.3">
      <c r="A321" s="3">
        <v>46156</v>
      </c>
      <c r="B321" s="1" t="s">
        <v>353</v>
      </c>
      <c r="C321" s="1" t="s">
        <v>29</v>
      </c>
      <c r="D321" s="1" t="s">
        <v>25</v>
      </c>
      <c r="E321" s="1" t="s">
        <v>22</v>
      </c>
      <c r="F321" s="1">
        <v>2</v>
      </c>
      <c r="G321" s="4">
        <v>835.42</v>
      </c>
    </row>
    <row r="322" spans="1:7" x14ac:dyDescent="0.3">
      <c r="A322" s="3">
        <v>46195</v>
      </c>
      <c r="B322" s="1" t="s">
        <v>354</v>
      </c>
      <c r="C322" s="1" t="s">
        <v>29</v>
      </c>
      <c r="D322" s="1" t="s">
        <v>82</v>
      </c>
      <c r="E322" s="1" t="s">
        <v>10</v>
      </c>
      <c r="F322" s="1">
        <v>10</v>
      </c>
      <c r="G322" s="4">
        <v>1140.01</v>
      </c>
    </row>
    <row r="323" spans="1:7" x14ac:dyDescent="0.3">
      <c r="A323" s="3">
        <v>46194</v>
      </c>
      <c r="B323" s="1" t="s">
        <v>355</v>
      </c>
      <c r="C323" s="1" t="s">
        <v>74</v>
      </c>
      <c r="D323" s="1" t="s">
        <v>48</v>
      </c>
      <c r="E323" s="1" t="s">
        <v>10</v>
      </c>
      <c r="F323" s="1">
        <v>5</v>
      </c>
      <c r="G323" s="4">
        <v>1199.8599999999999</v>
      </c>
    </row>
    <row r="324" spans="1:7" x14ac:dyDescent="0.3">
      <c r="A324" s="3">
        <v>46151</v>
      </c>
      <c r="B324" s="1" t="s">
        <v>356</v>
      </c>
      <c r="C324" s="1" t="s">
        <v>38</v>
      </c>
      <c r="D324" s="1" t="s">
        <v>30</v>
      </c>
      <c r="E324" s="1" t="s">
        <v>32</v>
      </c>
      <c r="F324" s="1">
        <v>5</v>
      </c>
      <c r="G324" s="4">
        <v>756.46</v>
      </c>
    </row>
    <row r="325" spans="1:7" x14ac:dyDescent="0.3">
      <c r="A325" s="3">
        <v>46201</v>
      </c>
      <c r="B325" s="1" t="s">
        <v>357</v>
      </c>
      <c r="C325" s="1" t="s">
        <v>74</v>
      </c>
      <c r="D325" s="1" t="s">
        <v>53</v>
      </c>
      <c r="E325" s="1" t="s">
        <v>22</v>
      </c>
      <c r="F325" s="1">
        <v>8</v>
      </c>
      <c r="G325" s="4">
        <v>2643.95</v>
      </c>
    </row>
    <row r="326" spans="1:7" x14ac:dyDescent="0.3">
      <c r="A326" s="3">
        <v>46156</v>
      </c>
      <c r="B326" s="1" t="s">
        <v>358</v>
      </c>
      <c r="C326" s="1" t="s">
        <v>29</v>
      </c>
      <c r="D326" s="1" t="s">
        <v>53</v>
      </c>
      <c r="E326" s="1" t="s">
        <v>10</v>
      </c>
      <c r="F326" s="1">
        <v>12</v>
      </c>
      <c r="G326" s="4">
        <v>4039.06</v>
      </c>
    </row>
    <row r="327" spans="1:7" x14ac:dyDescent="0.3">
      <c r="A327" s="3">
        <v>46157</v>
      </c>
      <c r="B327" s="1" t="s">
        <v>359</v>
      </c>
      <c r="C327" s="1" t="s">
        <v>46</v>
      </c>
      <c r="D327" s="1" t="s">
        <v>53</v>
      </c>
      <c r="E327" s="1" t="s">
        <v>32</v>
      </c>
      <c r="F327" s="1">
        <v>9</v>
      </c>
      <c r="G327" s="4">
        <v>2937.7</v>
      </c>
    </row>
    <row r="328" spans="1:7" x14ac:dyDescent="0.3">
      <c r="A328" s="3">
        <v>46153</v>
      </c>
      <c r="B328" s="1" t="s">
        <v>360</v>
      </c>
      <c r="C328" s="1" t="s">
        <v>12</v>
      </c>
      <c r="D328" s="1" t="s">
        <v>48</v>
      </c>
      <c r="E328" s="1" t="s">
        <v>14</v>
      </c>
      <c r="F328" s="1">
        <v>8</v>
      </c>
      <c r="G328" s="4">
        <v>2018.12</v>
      </c>
    </row>
    <row r="329" spans="1:7" x14ac:dyDescent="0.3">
      <c r="A329" s="3">
        <v>46125</v>
      </c>
      <c r="B329" s="1" t="s">
        <v>361</v>
      </c>
      <c r="C329" s="1" t="s">
        <v>74</v>
      </c>
      <c r="D329" s="1" t="s">
        <v>82</v>
      </c>
      <c r="E329" s="1" t="s">
        <v>10</v>
      </c>
      <c r="F329" s="1">
        <v>7</v>
      </c>
      <c r="G329" s="4">
        <v>814.97</v>
      </c>
    </row>
    <row r="330" spans="1:7" x14ac:dyDescent="0.3">
      <c r="A330" s="3">
        <v>46133</v>
      </c>
      <c r="B330" s="1" t="s">
        <v>362</v>
      </c>
      <c r="C330" s="1" t="s">
        <v>40</v>
      </c>
      <c r="D330" s="1" t="s">
        <v>36</v>
      </c>
      <c r="E330" s="1" t="s">
        <v>26</v>
      </c>
      <c r="F330" s="1">
        <v>4</v>
      </c>
      <c r="G330" s="4">
        <v>690.4</v>
      </c>
    </row>
    <row r="331" spans="1:7" x14ac:dyDescent="0.3">
      <c r="A331" s="3">
        <v>46176</v>
      </c>
      <c r="B331" s="1" t="s">
        <v>363</v>
      </c>
      <c r="C331" s="1" t="s">
        <v>8</v>
      </c>
      <c r="D331" s="1" t="s">
        <v>48</v>
      </c>
      <c r="E331" s="1" t="s">
        <v>10</v>
      </c>
      <c r="F331" s="1">
        <v>5</v>
      </c>
      <c r="G331" s="4">
        <v>1222.4100000000001</v>
      </c>
    </row>
    <row r="332" spans="1:7" x14ac:dyDescent="0.3">
      <c r="A332" s="3">
        <v>46124</v>
      </c>
      <c r="B332" s="1" t="s">
        <v>364</v>
      </c>
      <c r="C332" s="1" t="s">
        <v>46</v>
      </c>
      <c r="D332" s="1" t="s">
        <v>13</v>
      </c>
      <c r="E332" s="1" t="s">
        <v>32</v>
      </c>
      <c r="F332" s="1">
        <v>4</v>
      </c>
      <c r="G332" s="4">
        <v>1519.72</v>
      </c>
    </row>
    <row r="333" spans="1:7" x14ac:dyDescent="0.3">
      <c r="A333" s="3">
        <v>46158</v>
      </c>
      <c r="B333" s="1" t="s">
        <v>365</v>
      </c>
      <c r="C333" s="1" t="s">
        <v>74</v>
      </c>
      <c r="D333" s="1" t="s">
        <v>25</v>
      </c>
      <c r="E333" s="1" t="s">
        <v>22</v>
      </c>
      <c r="F333" s="1">
        <v>10</v>
      </c>
      <c r="G333" s="4">
        <v>3755.3</v>
      </c>
    </row>
    <row r="334" spans="1:7" x14ac:dyDescent="0.3">
      <c r="A334" s="3">
        <v>46196</v>
      </c>
      <c r="B334" s="1" t="s">
        <v>366</v>
      </c>
      <c r="C334" s="1" t="s">
        <v>38</v>
      </c>
      <c r="D334" s="1" t="s">
        <v>82</v>
      </c>
      <c r="E334" s="1" t="s">
        <v>32</v>
      </c>
      <c r="F334" s="1">
        <v>2</v>
      </c>
      <c r="G334" s="4">
        <v>227.59</v>
      </c>
    </row>
    <row r="335" spans="1:7" x14ac:dyDescent="0.3">
      <c r="A335" s="3">
        <v>46146</v>
      </c>
      <c r="B335" s="1" t="s">
        <v>367</v>
      </c>
      <c r="C335" s="1" t="s">
        <v>40</v>
      </c>
      <c r="D335" s="1" t="s">
        <v>16</v>
      </c>
      <c r="E335" s="1" t="s">
        <v>26</v>
      </c>
      <c r="F335" s="1">
        <v>7</v>
      </c>
      <c r="G335" s="4">
        <v>2156.6799999999998</v>
      </c>
    </row>
    <row r="336" spans="1:7" x14ac:dyDescent="0.3">
      <c r="A336" s="3">
        <v>46184</v>
      </c>
      <c r="B336" s="1" t="s">
        <v>368</v>
      </c>
      <c r="C336" s="1" t="s">
        <v>12</v>
      </c>
      <c r="D336" s="1" t="s">
        <v>34</v>
      </c>
      <c r="E336" s="1" t="s">
        <v>14</v>
      </c>
      <c r="F336" s="1">
        <v>2</v>
      </c>
      <c r="G336" s="4">
        <v>209.8</v>
      </c>
    </row>
    <row r="337" spans="1:7" x14ac:dyDescent="0.3">
      <c r="A337" s="3">
        <v>46170</v>
      </c>
      <c r="B337" s="1" t="s">
        <v>369</v>
      </c>
      <c r="C337" s="1" t="s">
        <v>8</v>
      </c>
      <c r="D337" s="1" t="s">
        <v>82</v>
      </c>
      <c r="E337" s="1" t="s">
        <v>10</v>
      </c>
      <c r="F337" s="1">
        <v>11</v>
      </c>
      <c r="G337" s="4">
        <v>1223.21</v>
      </c>
    </row>
    <row r="338" spans="1:7" x14ac:dyDescent="0.3">
      <c r="A338" s="3">
        <v>46129</v>
      </c>
      <c r="B338" s="1" t="s">
        <v>370</v>
      </c>
      <c r="C338" s="1" t="s">
        <v>21</v>
      </c>
      <c r="D338" s="1" t="s">
        <v>16</v>
      </c>
      <c r="E338" s="1" t="s">
        <v>22</v>
      </c>
      <c r="F338" s="1">
        <v>6</v>
      </c>
      <c r="G338" s="4">
        <v>1735.49</v>
      </c>
    </row>
    <row r="339" spans="1:7" x14ac:dyDescent="0.3">
      <c r="A339" s="3">
        <v>46159</v>
      </c>
      <c r="B339" s="1" t="s">
        <v>371</v>
      </c>
      <c r="C339" s="1" t="s">
        <v>18</v>
      </c>
      <c r="D339" s="1" t="s">
        <v>30</v>
      </c>
      <c r="E339" s="1" t="s">
        <v>14</v>
      </c>
      <c r="F339" s="1">
        <v>7</v>
      </c>
      <c r="G339" s="4">
        <v>1052.79</v>
      </c>
    </row>
    <row r="340" spans="1:7" x14ac:dyDescent="0.3">
      <c r="A340" s="3">
        <v>46118</v>
      </c>
      <c r="B340" s="1" t="s">
        <v>372</v>
      </c>
      <c r="C340" s="1" t="s">
        <v>74</v>
      </c>
      <c r="D340" s="1" t="s">
        <v>53</v>
      </c>
      <c r="E340" s="1" t="s">
        <v>22</v>
      </c>
      <c r="F340" s="1">
        <v>8</v>
      </c>
      <c r="G340" s="4">
        <v>2625.5</v>
      </c>
    </row>
    <row r="341" spans="1:7" x14ac:dyDescent="0.3">
      <c r="A341" s="3">
        <v>46132</v>
      </c>
      <c r="B341" s="1" t="s">
        <v>373</v>
      </c>
      <c r="C341" s="1" t="s">
        <v>29</v>
      </c>
      <c r="D341" s="1" t="s">
        <v>13</v>
      </c>
      <c r="E341" s="1" t="s">
        <v>10</v>
      </c>
      <c r="F341" s="1">
        <v>10</v>
      </c>
      <c r="G341" s="4">
        <v>3750.93</v>
      </c>
    </row>
    <row r="342" spans="1:7" x14ac:dyDescent="0.3">
      <c r="A342" s="3">
        <v>46163</v>
      </c>
      <c r="B342" s="1" t="s">
        <v>374</v>
      </c>
      <c r="C342" s="1" t="s">
        <v>29</v>
      </c>
      <c r="D342" s="1" t="s">
        <v>19</v>
      </c>
      <c r="E342" s="1" t="s">
        <v>10</v>
      </c>
      <c r="F342" s="1">
        <v>6</v>
      </c>
      <c r="G342" s="4">
        <v>1295.99</v>
      </c>
    </row>
    <row r="343" spans="1:7" x14ac:dyDescent="0.3">
      <c r="A343" s="3">
        <v>46178</v>
      </c>
      <c r="B343" s="1" t="s">
        <v>375</v>
      </c>
      <c r="C343" s="1" t="s">
        <v>8</v>
      </c>
      <c r="D343" s="1" t="s">
        <v>48</v>
      </c>
      <c r="E343" s="1" t="s">
        <v>10</v>
      </c>
      <c r="F343" s="1">
        <v>5</v>
      </c>
      <c r="G343" s="4">
        <v>1225.92</v>
      </c>
    </row>
    <row r="344" spans="1:7" x14ac:dyDescent="0.3">
      <c r="A344" s="3">
        <v>46115</v>
      </c>
      <c r="B344" s="1" t="s">
        <v>376</v>
      </c>
      <c r="C344" s="1" t="s">
        <v>40</v>
      </c>
      <c r="D344" s="1" t="s">
        <v>34</v>
      </c>
      <c r="E344" s="1" t="s">
        <v>26</v>
      </c>
      <c r="F344" s="1">
        <v>7</v>
      </c>
      <c r="G344" s="4">
        <v>716.07</v>
      </c>
    </row>
    <row r="345" spans="1:7" x14ac:dyDescent="0.3">
      <c r="A345" s="3">
        <v>46201</v>
      </c>
      <c r="B345" s="1" t="s">
        <v>377</v>
      </c>
      <c r="C345" s="1" t="s">
        <v>74</v>
      </c>
      <c r="D345" s="1" t="s">
        <v>36</v>
      </c>
      <c r="E345" s="1" t="s">
        <v>22</v>
      </c>
      <c r="F345" s="1">
        <v>11</v>
      </c>
      <c r="G345" s="4">
        <v>1893.65</v>
      </c>
    </row>
    <row r="346" spans="1:7" x14ac:dyDescent="0.3">
      <c r="A346" s="3">
        <v>46187</v>
      </c>
      <c r="B346" s="1" t="s">
        <v>378</v>
      </c>
      <c r="C346" s="1" t="s">
        <v>29</v>
      </c>
      <c r="D346" s="1"/>
      <c r="E346" s="1" t="s">
        <v>10</v>
      </c>
      <c r="F346" s="1">
        <v>10</v>
      </c>
      <c r="G346" s="4">
        <v>1507.75</v>
      </c>
    </row>
    <row r="347" spans="1:7" x14ac:dyDescent="0.3">
      <c r="A347" s="3">
        <v>46180</v>
      </c>
      <c r="B347" s="1" t="s">
        <v>379</v>
      </c>
      <c r="C347" s="1" t="s">
        <v>29</v>
      </c>
      <c r="D347" s="1" t="s">
        <v>16</v>
      </c>
      <c r="E347" s="1" t="s">
        <v>10</v>
      </c>
      <c r="F347" s="1">
        <v>11</v>
      </c>
      <c r="G347" s="4">
        <v>3310.89</v>
      </c>
    </row>
    <row r="348" spans="1:7" x14ac:dyDescent="0.3">
      <c r="A348" s="3">
        <v>46186</v>
      </c>
      <c r="B348" s="1" t="s">
        <v>380</v>
      </c>
      <c r="C348" s="1" t="s">
        <v>21</v>
      </c>
      <c r="D348" s="1" t="s">
        <v>30</v>
      </c>
      <c r="E348" s="1" t="s">
        <v>22</v>
      </c>
      <c r="F348" s="1">
        <v>6</v>
      </c>
      <c r="G348" s="4">
        <v>911.76</v>
      </c>
    </row>
    <row r="349" spans="1:7" x14ac:dyDescent="0.3">
      <c r="A349" s="3">
        <v>46165</v>
      </c>
      <c r="B349" s="1" t="s">
        <v>381</v>
      </c>
      <c r="C349" s="1" t="s">
        <v>12</v>
      </c>
      <c r="D349" s="1" t="s">
        <v>16</v>
      </c>
      <c r="E349" s="1" t="s">
        <v>14</v>
      </c>
      <c r="F349" s="1">
        <v>10</v>
      </c>
      <c r="G349" s="4">
        <v>2757.57</v>
      </c>
    </row>
    <row r="350" spans="1:7" x14ac:dyDescent="0.3">
      <c r="A350" s="3">
        <v>46120</v>
      </c>
      <c r="B350" s="1" t="s">
        <v>382</v>
      </c>
      <c r="C350" s="1" t="s">
        <v>18</v>
      </c>
      <c r="D350" s="1" t="s">
        <v>13</v>
      </c>
      <c r="E350" s="1" t="s">
        <v>14</v>
      </c>
      <c r="F350" s="1">
        <v>6</v>
      </c>
      <c r="G350" s="4">
        <v>2059.73</v>
      </c>
    </row>
    <row r="351" spans="1:7" x14ac:dyDescent="0.3">
      <c r="A351" s="3">
        <v>46174</v>
      </c>
      <c r="B351" s="1" t="s">
        <v>383</v>
      </c>
      <c r="C351" s="1" t="s">
        <v>8</v>
      </c>
      <c r="D351" s="1" t="s">
        <v>16</v>
      </c>
      <c r="E351" s="1" t="s">
        <v>10</v>
      </c>
      <c r="F351" s="1">
        <v>3</v>
      </c>
      <c r="G351" s="4">
        <v>878.7</v>
      </c>
    </row>
    <row r="352" spans="1:7" x14ac:dyDescent="0.3">
      <c r="A352" s="3">
        <v>46181</v>
      </c>
      <c r="B352" s="1" t="s">
        <v>384</v>
      </c>
      <c r="C352" s="1" t="s">
        <v>40</v>
      </c>
      <c r="D352" s="1" t="s">
        <v>13</v>
      </c>
      <c r="E352" s="1" t="s">
        <v>26</v>
      </c>
      <c r="F352" s="1">
        <v>12</v>
      </c>
      <c r="G352" s="4">
        <v>4297.6899999999996</v>
      </c>
    </row>
    <row r="353" spans="1:7" x14ac:dyDescent="0.3">
      <c r="A353" s="3">
        <v>46201</v>
      </c>
      <c r="B353" s="1" t="s">
        <v>385</v>
      </c>
      <c r="C353" s="1" t="s">
        <v>24</v>
      </c>
      <c r="D353" s="1" t="s">
        <v>36</v>
      </c>
      <c r="E353" s="1" t="s">
        <v>26</v>
      </c>
      <c r="F353" s="1">
        <v>4</v>
      </c>
      <c r="G353" s="4">
        <v>734.55</v>
      </c>
    </row>
    <row r="354" spans="1:7" x14ac:dyDescent="0.3">
      <c r="A354" s="3">
        <v>46151</v>
      </c>
      <c r="B354" s="1" t="s">
        <v>386</v>
      </c>
      <c r="C354" s="1" t="s">
        <v>12</v>
      </c>
      <c r="D354" s="1" t="s">
        <v>82</v>
      </c>
      <c r="E354" s="1" t="s">
        <v>14</v>
      </c>
      <c r="F354" s="1">
        <v>12</v>
      </c>
      <c r="G354" s="4">
        <v>1404.18</v>
      </c>
    </row>
    <row r="355" spans="1:7" x14ac:dyDescent="0.3">
      <c r="A355" s="3">
        <v>46203</v>
      </c>
      <c r="B355" s="1" t="s">
        <v>387</v>
      </c>
      <c r="C355" s="1" t="s">
        <v>38</v>
      </c>
      <c r="D355" s="1" t="s">
        <v>34</v>
      </c>
      <c r="E355" s="1" t="s">
        <v>32</v>
      </c>
      <c r="F355" s="1">
        <v>9</v>
      </c>
      <c r="G355" s="4">
        <v>879.08</v>
      </c>
    </row>
    <row r="356" spans="1:7" x14ac:dyDescent="0.3">
      <c r="A356" s="3">
        <v>46148</v>
      </c>
      <c r="B356" s="1" t="s">
        <v>388</v>
      </c>
      <c r="C356" s="1" t="s">
        <v>24</v>
      </c>
      <c r="D356" s="1" t="s">
        <v>9</v>
      </c>
      <c r="E356" s="1" t="s">
        <v>26</v>
      </c>
      <c r="F356" s="1">
        <v>9</v>
      </c>
      <c r="G356" s="4">
        <v>2405.1799999999998</v>
      </c>
    </row>
    <row r="357" spans="1:7" x14ac:dyDescent="0.3">
      <c r="A357" s="3">
        <v>46163</v>
      </c>
      <c r="B357" s="1" t="s">
        <v>389</v>
      </c>
      <c r="C357" s="1" t="s">
        <v>40</v>
      </c>
      <c r="D357" s="1" t="s">
        <v>53</v>
      </c>
      <c r="E357" s="1" t="s">
        <v>26</v>
      </c>
      <c r="F357" s="1">
        <v>5</v>
      </c>
      <c r="G357" s="4">
        <v>1549.38</v>
      </c>
    </row>
    <row r="358" spans="1:7" x14ac:dyDescent="0.3">
      <c r="A358" s="3">
        <v>46123</v>
      </c>
      <c r="B358" s="1" t="s">
        <v>390</v>
      </c>
      <c r="C358" s="1" t="s">
        <v>40</v>
      </c>
      <c r="D358" s="1" t="s">
        <v>48</v>
      </c>
      <c r="E358" s="1" t="s">
        <v>26</v>
      </c>
      <c r="F358" s="1">
        <v>12</v>
      </c>
      <c r="G358" s="4">
        <v>2940.63</v>
      </c>
    </row>
    <row r="359" spans="1:7" x14ac:dyDescent="0.3">
      <c r="A359" s="3">
        <v>46138</v>
      </c>
      <c r="B359" s="1" t="s">
        <v>391</v>
      </c>
      <c r="C359" s="1" t="s">
        <v>8</v>
      </c>
      <c r="D359" s="1" t="s">
        <v>82</v>
      </c>
      <c r="E359" s="1" t="s">
        <v>26</v>
      </c>
      <c r="F359" s="1">
        <v>3</v>
      </c>
      <c r="G359" s="4">
        <v>355.28</v>
      </c>
    </row>
    <row r="360" spans="1:7" x14ac:dyDescent="0.3">
      <c r="A360" s="3">
        <v>46188</v>
      </c>
      <c r="B360" s="1" t="s">
        <v>392</v>
      </c>
      <c r="C360" s="1" t="s">
        <v>12</v>
      </c>
      <c r="D360" s="1" t="s">
        <v>30</v>
      </c>
      <c r="E360" s="1" t="s">
        <v>14</v>
      </c>
      <c r="F360" s="1">
        <v>9</v>
      </c>
      <c r="G360" s="4">
        <v>1401</v>
      </c>
    </row>
    <row r="361" spans="1:7" x14ac:dyDescent="0.3">
      <c r="A361" s="3">
        <v>46142</v>
      </c>
      <c r="B361" s="1" t="s">
        <v>393</v>
      </c>
      <c r="C361" s="1" t="s">
        <v>74</v>
      </c>
      <c r="D361" s="1" t="s">
        <v>9</v>
      </c>
      <c r="E361" s="1" t="s">
        <v>22</v>
      </c>
      <c r="F361" s="1">
        <v>12</v>
      </c>
      <c r="G361" s="4">
        <v>3169.53</v>
      </c>
    </row>
    <row r="362" spans="1:7" x14ac:dyDescent="0.3">
      <c r="A362" s="3">
        <v>46200</v>
      </c>
      <c r="B362" s="1" t="s">
        <v>394</v>
      </c>
      <c r="C362" s="1" t="s">
        <v>18</v>
      </c>
      <c r="D362" s="1" t="s">
        <v>25</v>
      </c>
      <c r="E362" s="1" t="s">
        <v>14</v>
      </c>
      <c r="F362" s="1">
        <v>7</v>
      </c>
      <c r="G362" s="4">
        <v>2709.66</v>
      </c>
    </row>
    <row r="363" spans="1:7" x14ac:dyDescent="0.3">
      <c r="A363" s="3">
        <v>46173</v>
      </c>
      <c r="B363" s="1" t="s">
        <v>395</v>
      </c>
      <c r="C363" s="1" t="s">
        <v>38</v>
      </c>
      <c r="D363" s="1" t="s">
        <v>43</v>
      </c>
      <c r="E363" s="1" t="s">
        <v>32</v>
      </c>
      <c r="F363" s="1">
        <v>5</v>
      </c>
      <c r="G363" s="4">
        <v>1634.48</v>
      </c>
    </row>
    <row r="364" spans="1:7" x14ac:dyDescent="0.3">
      <c r="A364" s="3">
        <v>46195</v>
      </c>
      <c r="B364" s="1" t="s">
        <v>396</v>
      </c>
      <c r="C364" s="1" t="s">
        <v>74</v>
      </c>
      <c r="D364" s="1" t="s">
        <v>9</v>
      </c>
      <c r="E364" s="1" t="s">
        <v>22</v>
      </c>
      <c r="F364" s="1">
        <v>4</v>
      </c>
      <c r="G364" s="4">
        <v>1048.08</v>
      </c>
    </row>
    <row r="365" spans="1:7" x14ac:dyDescent="0.3">
      <c r="A365" s="3">
        <v>46117</v>
      </c>
      <c r="B365" s="1" t="s">
        <v>397</v>
      </c>
      <c r="C365" s="1" t="s">
        <v>18</v>
      </c>
      <c r="D365" s="1" t="s">
        <v>16</v>
      </c>
      <c r="E365" s="1" t="s">
        <v>14</v>
      </c>
      <c r="F365" s="1">
        <v>1</v>
      </c>
      <c r="G365" s="4">
        <v>272.91000000000003</v>
      </c>
    </row>
    <row r="366" spans="1:7" x14ac:dyDescent="0.3">
      <c r="A366" s="3">
        <v>46163</v>
      </c>
      <c r="B366" s="1" t="s">
        <v>398</v>
      </c>
      <c r="C366" s="1" t="s">
        <v>38</v>
      </c>
      <c r="D366" s="1" t="s">
        <v>53</v>
      </c>
      <c r="E366" s="1" t="s">
        <v>26</v>
      </c>
      <c r="F366" s="1">
        <v>1</v>
      </c>
      <c r="G366" s="4">
        <v>349.61</v>
      </c>
    </row>
    <row r="367" spans="1:7" x14ac:dyDescent="0.3">
      <c r="A367" s="3">
        <v>46185</v>
      </c>
      <c r="B367" s="1" t="s">
        <v>399</v>
      </c>
      <c r="C367" s="1" t="s">
        <v>29</v>
      </c>
      <c r="D367" s="1" t="s">
        <v>9</v>
      </c>
      <c r="E367" s="1" t="s">
        <v>26</v>
      </c>
      <c r="F367" s="1">
        <v>5</v>
      </c>
      <c r="G367" s="4">
        <v>1323.67</v>
      </c>
    </row>
    <row r="368" spans="1:7" x14ac:dyDescent="0.3">
      <c r="A368" s="3">
        <v>46195</v>
      </c>
      <c r="B368" s="1" t="s">
        <v>400</v>
      </c>
      <c r="C368" s="1" t="s">
        <v>8</v>
      </c>
      <c r="D368" s="1" t="s">
        <v>13</v>
      </c>
      <c r="E368" s="1" t="s">
        <v>10</v>
      </c>
      <c r="F368" s="1">
        <v>3</v>
      </c>
      <c r="G368" s="4">
        <v>1050.51</v>
      </c>
    </row>
    <row r="369" spans="1:7" x14ac:dyDescent="0.3">
      <c r="A369" s="15" t="s">
        <v>401</v>
      </c>
      <c r="B369" s="1" t="s">
        <v>402</v>
      </c>
      <c r="C369" s="1" t="s">
        <v>24</v>
      </c>
      <c r="D369" s="1" t="s">
        <v>30</v>
      </c>
      <c r="E369" s="1" t="s">
        <v>26</v>
      </c>
      <c r="F369" s="1">
        <v>3</v>
      </c>
      <c r="G369" s="4">
        <v>437.89</v>
      </c>
    </row>
    <row r="370" spans="1:7" x14ac:dyDescent="0.3">
      <c r="A370" s="3">
        <v>46195</v>
      </c>
      <c r="B370" s="1" t="s">
        <v>403</v>
      </c>
      <c r="C370" s="1" t="s">
        <v>24</v>
      </c>
      <c r="D370" s="1" t="s">
        <v>19</v>
      </c>
      <c r="E370" s="1" t="s">
        <v>26</v>
      </c>
      <c r="F370" s="1">
        <v>12</v>
      </c>
      <c r="G370" s="4">
        <v>2648.35</v>
      </c>
    </row>
    <row r="371" spans="1:7" x14ac:dyDescent="0.3">
      <c r="A371" s="3">
        <v>46150</v>
      </c>
      <c r="B371" s="1" t="s">
        <v>404</v>
      </c>
      <c r="C371" s="1" t="s">
        <v>29</v>
      </c>
      <c r="D371" s="1" t="s">
        <v>43</v>
      </c>
      <c r="E371" s="1" t="s">
        <v>10</v>
      </c>
      <c r="F371" s="1">
        <v>3</v>
      </c>
      <c r="G371" s="4">
        <v>945.22</v>
      </c>
    </row>
    <row r="372" spans="1:7" x14ac:dyDescent="0.3">
      <c r="A372" s="3">
        <v>46194</v>
      </c>
      <c r="B372" s="1" t="s">
        <v>405</v>
      </c>
      <c r="C372" s="1" t="s">
        <v>46</v>
      </c>
      <c r="D372" s="1" t="s">
        <v>16</v>
      </c>
      <c r="E372" s="1" t="s">
        <v>32</v>
      </c>
      <c r="F372" s="1">
        <v>2</v>
      </c>
      <c r="G372" s="4">
        <v>590.17999999999995</v>
      </c>
    </row>
    <row r="373" spans="1:7" x14ac:dyDescent="0.3">
      <c r="A373" s="3">
        <v>46125</v>
      </c>
      <c r="B373" s="1" t="s">
        <v>406</v>
      </c>
      <c r="C373" s="1" t="s">
        <v>18</v>
      </c>
      <c r="D373" s="1" t="s">
        <v>53</v>
      </c>
      <c r="E373" s="1" t="s">
        <v>14</v>
      </c>
      <c r="F373" s="1">
        <v>4</v>
      </c>
      <c r="G373" s="4">
        <v>1398.85</v>
      </c>
    </row>
    <row r="374" spans="1:7" x14ac:dyDescent="0.3">
      <c r="A374" s="3">
        <v>46162</v>
      </c>
      <c r="B374" s="1" t="s">
        <v>407</v>
      </c>
      <c r="C374" s="1" t="s">
        <v>12</v>
      </c>
      <c r="D374" s="1" t="s">
        <v>48</v>
      </c>
      <c r="E374" s="1" t="s">
        <v>14</v>
      </c>
      <c r="F374" s="1">
        <v>6</v>
      </c>
      <c r="G374" s="4">
        <v>1503.48</v>
      </c>
    </row>
    <row r="375" spans="1:7" x14ac:dyDescent="0.3">
      <c r="A375" s="3">
        <v>46186</v>
      </c>
      <c r="B375" s="1" t="s">
        <v>408</v>
      </c>
      <c r="C375" s="1" t="s">
        <v>74</v>
      </c>
      <c r="D375" s="1" t="s">
        <v>82</v>
      </c>
      <c r="E375" s="1" t="s">
        <v>22</v>
      </c>
      <c r="F375" s="1">
        <v>12</v>
      </c>
      <c r="G375" s="4">
        <v>1399.17</v>
      </c>
    </row>
    <row r="376" spans="1:7" x14ac:dyDescent="0.3">
      <c r="A376" s="3">
        <v>46198</v>
      </c>
      <c r="B376" s="1" t="s">
        <v>409</v>
      </c>
      <c r="C376" s="1" t="s">
        <v>21</v>
      </c>
      <c r="D376" s="1" t="s">
        <v>48</v>
      </c>
      <c r="E376" s="1" t="s">
        <v>22</v>
      </c>
      <c r="F376" s="1">
        <v>7</v>
      </c>
      <c r="G376" s="4">
        <v>1670.16</v>
      </c>
    </row>
    <row r="377" spans="1:7" x14ac:dyDescent="0.3">
      <c r="A377" s="3">
        <v>46203</v>
      </c>
      <c r="B377" s="1" t="s">
        <v>410</v>
      </c>
      <c r="C377" s="1" t="s">
        <v>24</v>
      </c>
      <c r="D377" s="1" t="s">
        <v>19</v>
      </c>
      <c r="E377" s="1" t="s">
        <v>26</v>
      </c>
      <c r="F377" s="1">
        <v>5</v>
      </c>
      <c r="G377" s="4">
        <v>1099.28</v>
      </c>
    </row>
    <row r="378" spans="1:7" x14ac:dyDescent="0.3">
      <c r="A378" s="3">
        <v>46141</v>
      </c>
      <c r="B378" s="1" t="s">
        <v>411</v>
      </c>
      <c r="C378" s="1" t="s">
        <v>12</v>
      </c>
      <c r="D378" s="1" t="s">
        <v>53</v>
      </c>
      <c r="E378" s="1" t="s">
        <v>14</v>
      </c>
      <c r="F378" s="1">
        <v>8</v>
      </c>
      <c r="G378" s="4">
        <v>2548.7600000000002</v>
      </c>
    </row>
    <row r="379" spans="1:7" x14ac:dyDescent="0.3">
      <c r="A379" s="3">
        <v>46190</v>
      </c>
      <c r="B379" s="1" t="s">
        <v>412</v>
      </c>
      <c r="C379" s="1" t="s">
        <v>40</v>
      </c>
      <c r="D379" s="1" t="s">
        <v>16</v>
      </c>
      <c r="E379" s="1" t="s">
        <v>26</v>
      </c>
      <c r="F379" s="1">
        <v>8</v>
      </c>
      <c r="G379" s="4">
        <v>2254.61</v>
      </c>
    </row>
    <row r="380" spans="1:7" x14ac:dyDescent="0.3">
      <c r="A380" s="3">
        <v>46198</v>
      </c>
      <c r="B380" s="1" t="s">
        <v>413</v>
      </c>
      <c r="C380" s="1" t="s">
        <v>12</v>
      </c>
      <c r="D380" s="1" t="s">
        <v>30</v>
      </c>
      <c r="E380" s="1" t="s">
        <v>14</v>
      </c>
      <c r="F380" s="1">
        <v>10</v>
      </c>
      <c r="G380" s="4">
        <v>1432.36</v>
      </c>
    </row>
    <row r="381" spans="1:7" x14ac:dyDescent="0.3">
      <c r="A381" s="3">
        <v>46123</v>
      </c>
      <c r="B381" s="1" t="s">
        <v>414</v>
      </c>
      <c r="C381" s="1" t="s">
        <v>8</v>
      </c>
      <c r="D381" s="1" t="s">
        <v>48</v>
      </c>
      <c r="E381" s="1" t="s">
        <v>10</v>
      </c>
      <c r="F381" s="1">
        <v>6</v>
      </c>
      <c r="G381" s="4">
        <v>1545.38</v>
      </c>
    </row>
    <row r="382" spans="1:7" x14ac:dyDescent="0.3">
      <c r="A382" s="3">
        <v>46185</v>
      </c>
      <c r="B382" s="1" t="s">
        <v>415</v>
      </c>
      <c r="C382" s="1" t="s">
        <v>21</v>
      </c>
      <c r="D382" s="1" t="s">
        <v>25</v>
      </c>
      <c r="E382" s="1" t="s">
        <v>10</v>
      </c>
      <c r="F382" s="1">
        <v>4</v>
      </c>
      <c r="G382" s="4">
        <v>1564.54</v>
      </c>
    </row>
    <row r="383" spans="1:7" x14ac:dyDescent="0.3">
      <c r="A383" s="3">
        <v>46132</v>
      </c>
      <c r="B383" s="1" t="s">
        <v>416</v>
      </c>
      <c r="C383" s="1" t="s">
        <v>18</v>
      </c>
      <c r="D383" s="1" t="s">
        <v>34</v>
      </c>
      <c r="E383" s="1" t="s">
        <v>32</v>
      </c>
      <c r="F383" s="1">
        <v>2</v>
      </c>
      <c r="G383" s="4">
        <v>202.04</v>
      </c>
    </row>
    <row r="384" spans="1:7" x14ac:dyDescent="0.3">
      <c r="A384" s="3">
        <v>46187</v>
      </c>
      <c r="B384" s="1" t="s">
        <v>417</v>
      </c>
      <c r="C384" s="1" t="s">
        <v>38</v>
      </c>
      <c r="D384" s="1" t="s">
        <v>9</v>
      </c>
      <c r="E384" s="1" t="s">
        <v>32</v>
      </c>
      <c r="F384" s="1">
        <v>1</v>
      </c>
      <c r="G384" s="4">
        <v>264.76</v>
      </c>
    </row>
    <row r="385" spans="1:7" x14ac:dyDescent="0.3">
      <c r="A385" s="3">
        <v>46178</v>
      </c>
      <c r="B385" s="1" t="s">
        <v>418</v>
      </c>
      <c r="C385" s="1" t="s">
        <v>46</v>
      </c>
      <c r="D385" s="1" t="s">
        <v>48</v>
      </c>
      <c r="E385" s="1" t="s">
        <v>32</v>
      </c>
      <c r="F385" s="1">
        <v>9</v>
      </c>
      <c r="G385" s="4">
        <v>2210.16</v>
      </c>
    </row>
    <row r="386" spans="1:7" x14ac:dyDescent="0.3">
      <c r="A386" s="3">
        <v>46152</v>
      </c>
      <c r="B386" s="1" t="s">
        <v>419</v>
      </c>
      <c r="C386" s="1" t="s">
        <v>74</v>
      </c>
      <c r="D386" s="1" t="s">
        <v>16</v>
      </c>
      <c r="E386" s="1" t="s">
        <v>22</v>
      </c>
      <c r="F386" s="1">
        <v>1</v>
      </c>
      <c r="G386" s="4">
        <v>282.26</v>
      </c>
    </row>
    <row r="387" spans="1:7" x14ac:dyDescent="0.3">
      <c r="A387" s="3">
        <v>46187</v>
      </c>
      <c r="B387" s="1" t="s">
        <v>420</v>
      </c>
      <c r="C387" s="1" t="s">
        <v>21</v>
      </c>
      <c r="D387" s="1" t="s">
        <v>25</v>
      </c>
      <c r="E387" s="1" t="s">
        <v>22</v>
      </c>
      <c r="F387" s="1">
        <v>12</v>
      </c>
      <c r="G387" s="4">
        <v>5001.4399999999996</v>
      </c>
    </row>
    <row r="388" spans="1:7" x14ac:dyDescent="0.3">
      <c r="A388" s="3">
        <v>46120</v>
      </c>
      <c r="B388" s="1" t="s">
        <v>421</v>
      </c>
      <c r="C388" s="1" t="s">
        <v>21</v>
      </c>
      <c r="D388" s="1" t="s">
        <v>48</v>
      </c>
      <c r="E388" s="1" t="s">
        <v>22</v>
      </c>
      <c r="F388" s="1">
        <v>7</v>
      </c>
      <c r="G388" s="4">
        <v>1780.69</v>
      </c>
    </row>
    <row r="389" spans="1:7" x14ac:dyDescent="0.3">
      <c r="A389" s="3">
        <v>46130</v>
      </c>
      <c r="B389" s="1" t="s">
        <v>422</v>
      </c>
      <c r="C389" s="1" t="s">
        <v>46</v>
      </c>
      <c r="D389" s="1" t="s">
        <v>34</v>
      </c>
      <c r="E389" s="1" t="s">
        <v>32</v>
      </c>
      <c r="F389" s="1">
        <v>8</v>
      </c>
      <c r="G389" s="4">
        <v>788.17</v>
      </c>
    </row>
    <row r="390" spans="1:7" x14ac:dyDescent="0.3">
      <c r="A390" s="3">
        <v>46161</v>
      </c>
      <c r="B390" s="1" t="s">
        <v>423</v>
      </c>
      <c r="C390" s="1" t="s">
        <v>46</v>
      </c>
      <c r="D390" s="1" t="s">
        <v>9</v>
      </c>
      <c r="E390" s="1" t="s">
        <v>32</v>
      </c>
      <c r="F390" s="1">
        <v>11</v>
      </c>
      <c r="G390" s="4">
        <v>2756.76</v>
      </c>
    </row>
    <row r="391" spans="1:7" x14ac:dyDescent="0.3">
      <c r="A391" s="3">
        <v>46130</v>
      </c>
      <c r="B391" s="1" t="s">
        <v>424</v>
      </c>
      <c r="C391" s="1" t="s">
        <v>40</v>
      </c>
      <c r="D391" s="1" t="s">
        <v>9</v>
      </c>
      <c r="E391" s="1" t="s">
        <v>26</v>
      </c>
      <c r="F391" s="1">
        <v>9</v>
      </c>
      <c r="G391" s="4">
        <v>2401.14</v>
      </c>
    </row>
    <row r="392" spans="1:7" x14ac:dyDescent="0.3">
      <c r="A392" s="3">
        <v>46129</v>
      </c>
      <c r="B392" s="1" t="s">
        <v>425</v>
      </c>
      <c r="C392" s="1" t="s">
        <v>12</v>
      </c>
      <c r="D392" s="1" t="s">
        <v>25</v>
      </c>
      <c r="E392" s="1" t="s">
        <v>14</v>
      </c>
      <c r="F392" s="1">
        <v>5</v>
      </c>
      <c r="G392" s="4">
        <v>1983.32</v>
      </c>
    </row>
    <row r="393" spans="1:7" x14ac:dyDescent="0.3">
      <c r="A393" s="3">
        <v>46182</v>
      </c>
      <c r="B393" s="1" t="s">
        <v>426</v>
      </c>
      <c r="C393" s="1" t="s">
        <v>46</v>
      </c>
      <c r="D393" s="1" t="s">
        <v>13</v>
      </c>
      <c r="E393" s="1" t="s">
        <v>32</v>
      </c>
      <c r="F393" s="1">
        <v>4</v>
      </c>
      <c r="G393" s="4">
        <v>1513.67</v>
      </c>
    </row>
    <row r="394" spans="1:7" x14ac:dyDescent="0.3">
      <c r="A394" s="3">
        <v>46157</v>
      </c>
      <c r="B394" s="1" t="s">
        <v>427</v>
      </c>
      <c r="C394" s="1" t="s">
        <v>18</v>
      </c>
      <c r="D394" s="1" t="s">
        <v>82</v>
      </c>
      <c r="E394" s="1" t="s">
        <v>14</v>
      </c>
      <c r="F394" s="1">
        <v>12</v>
      </c>
      <c r="G394" s="4">
        <v>1307.72</v>
      </c>
    </row>
    <row r="395" spans="1:7" x14ac:dyDescent="0.3">
      <c r="A395" s="3">
        <v>46117</v>
      </c>
      <c r="B395" s="1" t="s">
        <v>428</v>
      </c>
      <c r="C395" s="1" t="s">
        <v>46</v>
      </c>
      <c r="D395" s="1" t="s">
        <v>36</v>
      </c>
      <c r="E395" s="1" t="s">
        <v>32</v>
      </c>
      <c r="F395" s="1">
        <v>1</v>
      </c>
      <c r="G395" s="4">
        <v>184.51</v>
      </c>
    </row>
    <row r="396" spans="1:7" x14ac:dyDescent="0.3">
      <c r="A396" s="3">
        <v>46121</v>
      </c>
      <c r="B396" s="1" t="s">
        <v>429</v>
      </c>
      <c r="C396" s="1" t="s">
        <v>21</v>
      </c>
      <c r="D396" s="1" t="s">
        <v>36</v>
      </c>
      <c r="E396" s="1" t="s">
        <v>22</v>
      </c>
      <c r="F396" s="1">
        <v>10</v>
      </c>
      <c r="G396" s="4">
        <v>1746.78</v>
      </c>
    </row>
    <row r="397" spans="1:7" x14ac:dyDescent="0.3">
      <c r="A397" s="3">
        <v>46119</v>
      </c>
      <c r="B397" s="1" t="s">
        <v>430</v>
      </c>
      <c r="C397" s="1" t="s">
        <v>12</v>
      </c>
      <c r="D397" s="1" t="s">
        <v>19</v>
      </c>
      <c r="E397" s="1" t="s">
        <v>14</v>
      </c>
      <c r="F397" s="1">
        <v>8</v>
      </c>
      <c r="G397" s="4">
        <v>1788.26</v>
      </c>
    </row>
    <row r="398" spans="1:7" x14ac:dyDescent="0.3">
      <c r="A398" s="3">
        <v>46140</v>
      </c>
      <c r="B398" s="1" t="s">
        <v>431</v>
      </c>
      <c r="C398" s="1" t="s">
        <v>74</v>
      </c>
      <c r="D398" s="1" t="s">
        <v>53</v>
      </c>
      <c r="E398" s="1" t="s">
        <v>22</v>
      </c>
      <c r="F398" s="1">
        <v>5</v>
      </c>
      <c r="G398" s="4">
        <v>1700.83</v>
      </c>
    </row>
    <row r="399" spans="1:7" x14ac:dyDescent="0.3">
      <c r="A399" s="3">
        <v>46186</v>
      </c>
      <c r="B399" s="1" t="s">
        <v>432</v>
      </c>
      <c r="C399" s="1" t="s">
        <v>40</v>
      </c>
      <c r="D399" s="1" t="s">
        <v>36</v>
      </c>
      <c r="E399" s="1" t="s">
        <v>26</v>
      </c>
      <c r="F399" s="1">
        <v>11</v>
      </c>
      <c r="G399" s="4">
        <v>1884.75</v>
      </c>
    </row>
    <row r="400" spans="1:7" x14ac:dyDescent="0.3">
      <c r="A400" s="3">
        <v>46143</v>
      </c>
      <c r="B400" s="1" t="s">
        <v>433</v>
      </c>
      <c r="C400" s="1" t="s">
        <v>24</v>
      </c>
      <c r="D400" s="1" t="s">
        <v>53</v>
      </c>
      <c r="E400" s="1" t="s">
        <v>10</v>
      </c>
      <c r="F400" s="1">
        <v>4</v>
      </c>
      <c r="G400" s="4">
        <v>1330.52</v>
      </c>
    </row>
    <row r="401" spans="1:7" x14ac:dyDescent="0.3">
      <c r="A401" s="3">
        <v>46148</v>
      </c>
      <c r="B401" s="1" t="s">
        <v>434</v>
      </c>
      <c r="C401" s="1" t="s">
        <v>74</v>
      </c>
      <c r="D401" s="1" t="s">
        <v>13</v>
      </c>
      <c r="E401" s="1" t="s">
        <v>14</v>
      </c>
      <c r="F401" s="1">
        <v>11</v>
      </c>
      <c r="G401" s="4">
        <v>3940.58</v>
      </c>
    </row>
    <row r="402" spans="1:7" x14ac:dyDescent="0.3">
      <c r="A402" s="3">
        <v>46184</v>
      </c>
      <c r="B402" s="1" t="s">
        <v>435</v>
      </c>
      <c r="C402" s="1" t="s">
        <v>38</v>
      </c>
      <c r="D402" s="1" t="s">
        <v>25</v>
      </c>
      <c r="E402" s="1" t="s">
        <v>32</v>
      </c>
      <c r="F402" s="1">
        <v>9</v>
      </c>
      <c r="G402" s="4">
        <v>3635.42</v>
      </c>
    </row>
    <row r="403" spans="1:7" x14ac:dyDescent="0.3">
      <c r="A403" s="3">
        <v>46166</v>
      </c>
      <c r="B403" s="1" t="s">
        <v>436</v>
      </c>
      <c r="C403" s="1" t="s">
        <v>46</v>
      </c>
      <c r="D403" s="1" t="s">
        <v>53</v>
      </c>
      <c r="E403" s="1" t="s">
        <v>32</v>
      </c>
      <c r="F403" s="1">
        <v>3</v>
      </c>
      <c r="G403" s="4">
        <v>954.94</v>
      </c>
    </row>
    <row r="404" spans="1:7" x14ac:dyDescent="0.3">
      <c r="A404" s="3">
        <v>46173</v>
      </c>
      <c r="B404" s="1" t="s">
        <v>437</v>
      </c>
      <c r="C404" s="1" t="s">
        <v>12</v>
      </c>
      <c r="D404" s="1" t="s">
        <v>30</v>
      </c>
      <c r="E404" s="1" t="s">
        <v>14</v>
      </c>
      <c r="F404" s="1">
        <v>12</v>
      </c>
      <c r="G404" s="4">
        <v>1886.74</v>
      </c>
    </row>
    <row r="405" spans="1:7" x14ac:dyDescent="0.3">
      <c r="A405" s="3">
        <v>46172</v>
      </c>
      <c r="B405" s="1" t="s">
        <v>438</v>
      </c>
      <c r="C405" s="1" t="s">
        <v>74</v>
      </c>
      <c r="D405" s="1" t="s">
        <v>13</v>
      </c>
      <c r="E405" s="1" t="s">
        <v>22</v>
      </c>
      <c r="F405" s="1">
        <v>7</v>
      </c>
      <c r="G405" s="4">
        <v>2547.4299999999998</v>
      </c>
    </row>
    <row r="406" spans="1:7" x14ac:dyDescent="0.3">
      <c r="A406" s="3">
        <v>46130</v>
      </c>
      <c r="B406" s="1" t="s">
        <v>439</v>
      </c>
      <c r="C406" s="1" t="s">
        <v>46</v>
      </c>
      <c r="D406" s="1" t="s">
        <v>30</v>
      </c>
      <c r="E406" s="1" t="s">
        <v>32</v>
      </c>
      <c r="F406" s="1">
        <v>6</v>
      </c>
      <c r="G406" s="4">
        <v>885.5</v>
      </c>
    </row>
    <row r="407" spans="1:7" x14ac:dyDescent="0.3">
      <c r="A407" s="3">
        <v>46170</v>
      </c>
      <c r="B407" s="1" t="s">
        <v>440</v>
      </c>
      <c r="C407" s="1" t="s">
        <v>40</v>
      </c>
      <c r="D407" s="1" t="s">
        <v>9</v>
      </c>
      <c r="E407" s="1" t="s">
        <v>26</v>
      </c>
      <c r="F407" s="1">
        <v>4</v>
      </c>
      <c r="G407" s="4">
        <v>1113.07</v>
      </c>
    </row>
    <row r="408" spans="1:7" x14ac:dyDescent="0.3">
      <c r="A408" s="3">
        <v>46161</v>
      </c>
      <c r="B408" s="1" t="s">
        <v>441</v>
      </c>
      <c r="C408" s="1" t="s">
        <v>29</v>
      </c>
      <c r="D408" s="1" t="s">
        <v>36</v>
      </c>
      <c r="E408" s="1" t="s">
        <v>10</v>
      </c>
      <c r="F408" s="1">
        <v>2</v>
      </c>
      <c r="G408" s="4">
        <v>371.42</v>
      </c>
    </row>
    <row r="409" spans="1:7" x14ac:dyDescent="0.3">
      <c r="A409" s="3">
        <v>46188</v>
      </c>
      <c r="B409" s="1" t="s">
        <v>442</v>
      </c>
      <c r="C409" s="1" t="s">
        <v>8</v>
      </c>
      <c r="D409" s="1" t="s">
        <v>30</v>
      </c>
      <c r="E409" s="1" t="s">
        <v>10</v>
      </c>
      <c r="F409" s="1">
        <v>6</v>
      </c>
      <c r="G409" s="4">
        <v>925.07</v>
      </c>
    </row>
    <row r="410" spans="1:7" x14ac:dyDescent="0.3">
      <c r="A410" s="3">
        <v>46114</v>
      </c>
      <c r="B410" s="1" t="s">
        <v>443</v>
      </c>
      <c r="C410" s="1" t="s">
        <v>12</v>
      </c>
      <c r="D410" s="1" t="s">
        <v>30</v>
      </c>
      <c r="E410" s="1" t="s">
        <v>22</v>
      </c>
      <c r="F410" s="1">
        <v>12</v>
      </c>
      <c r="G410" s="4">
        <v>1689.7</v>
      </c>
    </row>
    <row r="411" spans="1:7" x14ac:dyDescent="0.3">
      <c r="A411" s="3">
        <v>46174</v>
      </c>
      <c r="B411" s="1" t="s">
        <v>444</v>
      </c>
      <c r="C411" s="1" t="s">
        <v>12</v>
      </c>
      <c r="D411" s="1" t="s">
        <v>19</v>
      </c>
      <c r="E411" s="1" t="s">
        <v>14</v>
      </c>
      <c r="F411" s="1">
        <v>4</v>
      </c>
      <c r="G411" s="4">
        <v>876.21</v>
      </c>
    </row>
    <row r="412" spans="1:7" x14ac:dyDescent="0.3">
      <c r="A412" s="3">
        <v>46143</v>
      </c>
      <c r="B412" s="1" t="s">
        <v>445</v>
      </c>
      <c r="C412" s="1" t="s">
        <v>8</v>
      </c>
      <c r="D412" s="1" t="s">
        <v>34</v>
      </c>
      <c r="E412" s="1" t="s">
        <v>10</v>
      </c>
      <c r="F412" s="1">
        <v>7</v>
      </c>
      <c r="G412" s="4">
        <v>726.92</v>
      </c>
    </row>
    <row r="413" spans="1:7" x14ac:dyDescent="0.3">
      <c r="A413" s="3">
        <v>46196</v>
      </c>
      <c r="B413" s="1" t="s">
        <v>446</v>
      </c>
      <c r="C413" s="1" t="s">
        <v>40</v>
      </c>
      <c r="D413" s="1" t="s">
        <v>82</v>
      </c>
      <c r="E413" s="1" t="s">
        <v>26</v>
      </c>
      <c r="F413" s="1">
        <v>9</v>
      </c>
      <c r="G413" s="4">
        <v>965.59</v>
      </c>
    </row>
    <row r="414" spans="1:7" x14ac:dyDescent="0.3">
      <c r="A414" s="3">
        <v>46172</v>
      </c>
      <c r="B414" s="1" t="s">
        <v>447</v>
      </c>
      <c r="C414" s="1" t="s">
        <v>21</v>
      </c>
      <c r="D414" s="1" t="s">
        <v>19</v>
      </c>
      <c r="E414" s="1" t="s">
        <v>22</v>
      </c>
      <c r="F414" s="1">
        <v>6</v>
      </c>
      <c r="G414" s="4">
        <v>1228.5899999999999</v>
      </c>
    </row>
    <row r="415" spans="1:7" x14ac:dyDescent="0.3">
      <c r="A415" s="3">
        <v>46160</v>
      </c>
      <c r="B415" s="1" t="s">
        <v>448</v>
      </c>
      <c r="C415" s="1" t="s">
        <v>40</v>
      </c>
      <c r="D415" s="1" t="s">
        <v>16</v>
      </c>
      <c r="E415" s="1" t="s">
        <v>26</v>
      </c>
      <c r="F415" s="1">
        <v>4</v>
      </c>
      <c r="G415" s="4">
        <v>1129.7</v>
      </c>
    </row>
    <row r="416" spans="1:7" x14ac:dyDescent="0.3">
      <c r="A416" s="3">
        <v>46115</v>
      </c>
      <c r="B416" s="1" t="s">
        <v>449</v>
      </c>
      <c r="C416" s="1" t="s">
        <v>24</v>
      </c>
      <c r="D416" s="1" t="s">
        <v>13</v>
      </c>
      <c r="E416" s="1" t="s">
        <v>10</v>
      </c>
      <c r="F416" s="1">
        <v>12</v>
      </c>
      <c r="G416" s="4">
        <v>4445.49</v>
      </c>
    </row>
    <row r="417" spans="1:7" x14ac:dyDescent="0.3">
      <c r="A417" s="3">
        <v>46132</v>
      </c>
      <c r="B417" s="1" t="s">
        <v>450</v>
      </c>
      <c r="C417" s="1" t="s">
        <v>12</v>
      </c>
      <c r="D417" s="1" t="s">
        <v>34</v>
      </c>
      <c r="E417" s="1" t="s">
        <v>14</v>
      </c>
      <c r="F417" s="1">
        <v>10</v>
      </c>
      <c r="G417" s="4">
        <v>990</v>
      </c>
    </row>
    <row r="418" spans="1:7" x14ac:dyDescent="0.3">
      <c r="A418" s="3">
        <v>46176</v>
      </c>
      <c r="B418" s="1" t="s">
        <v>451</v>
      </c>
      <c r="C418" s="1" t="s">
        <v>8</v>
      </c>
      <c r="D418" s="1" t="s">
        <v>43</v>
      </c>
      <c r="E418" s="1" t="s">
        <v>26</v>
      </c>
      <c r="F418" s="1">
        <v>5</v>
      </c>
      <c r="G418" s="4">
        <v>1544.27</v>
      </c>
    </row>
    <row r="419" spans="1:7" x14ac:dyDescent="0.3">
      <c r="A419" s="3">
        <v>46175</v>
      </c>
      <c r="B419" s="1" t="s">
        <v>452</v>
      </c>
      <c r="C419" s="1" t="s">
        <v>38</v>
      </c>
      <c r="D419" s="1" t="s">
        <v>48</v>
      </c>
      <c r="E419" s="1" t="s">
        <v>32</v>
      </c>
      <c r="F419" s="1">
        <v>6</v>
      </c>
      <c r="G419" s="4">
        <v>1528.31</v>
      </c>
    </row>
    <row r="420" spans="1:7" x14ac:dyDescent="0.3">
      <c r="A420" s="3">
        <v>46182</v>
      </c>
      <c r="B420" s="1" t="s">
        <v>453</v>
      </c>
      <c r="C420" s="1" t="s">
        <v>38</v>
      </c>
      <c r="D420" s="1" t="s">
        <v>53</v>
      </c>
      <c r="E420" s="1" t="s">
        <v>10</v>
      </c>
      <c r="F420" s="1">
        <v>11</v>
      </c>
      <c r="G420" s="4">
        <v>3407.76</v>
      </c>
    </row>
    <row r="421" spans="1:7" x14ac:dyDescent="0.3">
      <c r="A421" s="3">
        <v>46180</v>
      </c>
      <c r="B421" s="1" t="s">
        <v>454</v>
      </c>
      <c r="C421" s="1" t="s">
        <v>74</v>
      </c>
      <c r="D421" s="1" t="s">
        <v>9</v>
      </c>
      <c r="E421" s="1" t="s">
        <v>22</v>
      </c>
      <c r="F421" s="1">
        <v>1</v>
      </c>
      <c r="G421" s="4">
        <v>266.14</v>
      </c>
    </row>
    <row r="422" spans="1:7" x14ac:dyDescent="0.3">
      <c r="A422" s="3">
        <v>46193</v>
      </c>
      <c r="B422" s="1" t="s">
        <v>455</v>
      </c>
      <c r="C422" s="1" t="s">
        <v>12</v>
      </c>
      <c r="D422" s="1" t="s">
        <v>9</v>
      </c>
      <c r="E422" s="1" t="s">
        <v>14</v>
      </c>
      <c r="F422" s="1">
        <v>1</v>
      </c>
      <c r="G422" s="4">
        <v>272.64999999999998</v>
      </c>
    </row>
    <row r="423" spans="1:7" x14ac:dyDescent="0.3">
      <c r="A423" s="3">
        <v>46171</v>
      </c>
      <c r="B423" s="1" t="s">
        <v>456</v>
      </c>
      <c r="C423" s="1" t="s">
        <v>457</v>
      </c>
      <c r="D423" s="1" t="s">
        <v>25</v>
      </c>
      <c r="E423" s="1" t="s">
        <v>26</v>
      </c>
      <c r="F423" s="1">
        <v>11</v>
      </c>
      <c r="G423" s="4">
        <v>4102.24</v>
      </c>
    </row>
    <row r="424" spans="1:7" x14ac:dyDescent="0.3">
      <c r="A424" s="3">
        <v>46174</v>
      </c>
      <c r="B424" s="1" t="s">
        <v>458</v>
      </c>
      <c r="C424" s="1" t="s">
        <v>38</v>
      </c>
      <c r="D424" s="1" t="s">
        <v>25</v>
      </c>
      <c r="E424" s="1" t="s">
        <v>32</v>
      </c>
      <c r="F424" s="1">
        <v>9</v>
      </c>
      <c r="G424" s="4">
        <v>3593.42</v>
      </c>
    </row>
    <row r="425" spans="1:7" x14ac:dyDescent="0.3">
      <c r="A425" s="3">
        <v>46115</v>
      </c>
      <c r="B425" s="1" t="s">
        <v>459</v>
      </c>
      <c r="C425" s="1" t="s">
        <v>8</v>
      </c>
      <c r="D425" s="1" t="s">
        <v>19</v>
      </c>
      <c r="E425" s="1" t="s">
        <v>10</v>
      </c>
      <c r="F425" s="1">
        <v>5</v>
      </c>
      <c r="G425" s="4">
        <v>1147.6300000000001</v>
      </c>
    </row>
    <row r="426" spans="1:7" x14ac:dyDescent="0.3">
      <c r="A426" s="3">
        <v>46202</v>
      </c>
      <c r="B426" s="1" t="s">
        <v>460</v>
      </c>
      <c r="C426" s="1" t="s">
        <v>46</v>
      </c>
      <c r="D426" s="1" t="s">
        <v>53</v>
      </c>
      <c r="E426" s="1" t="s">
        <v>32</v>
      </c>
      <c r="F426" s="1">
        <v>2</v>
      </c>
      <c r="G426" s="4">
        <v>655.95</v>
      </c>
    </row>
    <row r="427" spans="1:7" x14ac:dyDescent="0.3">
      <c r="A427" s="3">
        <v>46143</v>
      </c>
      <c r="B427" s="1" t="s">
        <v>461</v>
      </c>
      <c r="C427" s="1" t="s">
        <v>12</v>
      </c>
      <c r="D427" s="1" t="s">
        <v>36</v>
      </c>
      <c r="E427" s="1" t="s">
        <v>14</v>
      </c>
      <c r="F427" s="1">
        <v>6</v>
      </c>
      <c r="G427" s="4">
        <v>1103.43</v>
      </c>
    </row>
    <row r="428" spans="1:7" x14ac:dyDescent="0.3">
      <c r="A428" s="3">
        <v>46163</v>
      </c>
      <c r="B428" s="1" t="s">
        <v>462</v>
      </c>
      <c r="C428" s="1" t="s">
        <v>21</v>
      </c>
      <c r="D428" s="1" t="s">
        <v>34</v>
      </c>
      <c r="E428" s="1" t="s">
        <v>32</v>
      </c>
      <c r="F428" s="1">
        <v>10</v>
      </c>
      <c r="G428" s="4">
        <v>1067.9000000000001</v>
      </c>
    </row>
    <row r="429" spans="1:7" x14ac:dyDescent="0.3">
      <c r="A429" s="3">
        <v>46202</v>
      </c>
      <c r="B429" s="1" t="s">
        <v>463</v>
      </c>
      <c r="C429" s="1" t="s">
        <v>12</v>
      </c>
      <c r="D429" s="1" t="s">
        <v>82</v>
      </c>
      <c r="E429" s="1" t="s">
        <v>14</v>
      </c>
      <c r="F429" s="1">
        <v>2</v>
      </c>
      <c r="G429" s="4">
        <v>221.17</v>
      </c>
    </row>
    <row r="430" spans="1:7" x14ac:dyDescent="0.3">
      <c r="A430" s="3">
        <v>46196</v>
      </c>
      <c r="B430" s="1" t="s">
        <v>464</v>
      </c>
      <c r="C430" s="1" t="s">
        <v>74</v>
      </c>
      <c r="D430" s="1" t="s">
        <v>9</v>
      </c>
      <c r="E430" s="1" t="s">
        <v>22</v>
      </c>
      <c r="F430" s="1">
        <v>7</v>
      </c>
      <c r="G430" s="4">
        <v>1830</v>
      </c>
    </row>
    <row r="431" spans="1:7" x14ac:dyDescent="0.3">
      <c r="A431" s="3">
        <v>46120</v>
      </c>
      <c r="B431" s="1" t="s">
        <v>465</v>
      </c>
      <c r="C431" s="1" t="s">
        <v>74</v>
      </c>
      <c r="D431" s="1" t="s">
        <v>19</v>
      </c>
      <c r="E431" s="1" t="s">
        <v>22</v>
      </c>
      <c r="F431" s="1">
        <v>8</v>
      </c>
      <c r="G431" s="4">
        <v>1653.35</v>
      </c>
    </row>
    <row r="432" spans="1:7" x14ac:dyDescent="0.3">
      <c r="A432" s="3">
        <v>46195</v>
      </c>
      <c r="B432" s="1" t="s">
        <v>466</v>
      </c>
      <c r="C432" s="1" t="s">
        <v>40</v>
      </c>
      <c r="D432" s="1" t="s">
        <v>36</v>
      </c>
      <c r="E432" s="1" t="s">
        <v>22</v>
      </c>
      <c r="F432" s="1">
        <v>9</v>
      </c>
      <c r="G432" s="4">
        <v>1521.39</v>
      </c>
    </row>
    <row r="433" spans="1:7" x14ac:dyDescent="0.3">
      <c r="A433" s="3">
        <v>46142</v>
      </c>
      <c r="B433" s="1" t="s">
        <v>467</v>
      </c>
      <c r="C433" s="1" t="s">
        <v>12</v>
      </c>
      <c r="D433" s="1" t="s">
        <v>19</v>
      </c>
      <c r="E433" s="1" t="s">
        <v>32</v>
      </c>
      <c r="F433" s="1">
        <v>5</v>
      </c>
      <c r="G433" s="4">
        <v>1143.57</v>
      </c>
    </row>
    <row r="434" spans="1:7" x14ac:dyDescent="0.3">
      <c r="A434" s="3">
        <v>46122</v>
      </c>
      <c r="B434" s="1" t="s">
        <v>468</v>
      </c>
      <c r="C434" s="1" t="s">
        <v>24</v>
      </c>
      <c r="D434" s="1" t="s">
        <v>13</v>
      </c>
      <c r="E434" s="1" t="s">
        <v>26</v>
      </c>
      <c r="F434" s="1">
        <v>1</v>
      </c>
      <c r="G434" s="4">
        <v>381.61</v>
      </c>
    </row>
    <row r="435" spans="1:7" x14ac:dyDescent="0.3">
      <c r="A435" s="3">
        <v>46153</v>
      </c>
      <c r="B435" s="1" t="s">
        <v>469</v>
      </c>
      <c r="C435" s="1" t="s">
        <v>74</v>
      </c>
      <c r="D435" s="1" t="s">
        <v>30</v>
      </c>
      <c r="E435" s="1" t="s">
        <v>22</v>
      </c>
      <c r="F435" s="1">
        <v>12</v>
      </c>
      <c r="G435" s="4">
        <v>1730.86</v>
      </c>
    </row>
    <row r="436" spans="1:7" x14ac:dyDescent="0.3">
      <c r="A436" s="3">
        <v>46122</v>
      </c>
      <c r="B436" s="1" t="s">
        <v>470</v>
      </c>
      <c r="C436" s="1" t="s">
        <v>24</v>
      </c>
      <c r="D436" s="1" t="s">
        <v>53</v>
      </c>
      <c r="E436" s="1" t="s">
        <v>26</v>
      </c>
      <c r="F436" s="1">
        <v>10</v>
      </c>
      <c r="G436" s="4">
        <v>3149.45</v>
      </c>
    </row>
    <row r="437" spans="1:7" x14ac:dyDescent="0.3">
      <c r="A437" s="3">
        <v>46162</v>
      </c>
      <c r="B437" s="1" t="s">
        <v>471</v>
      </c>
      <c r="C437" s="1" t="s">
        <v>8</v>
      </c>
      <c r="D437" s="1" t="s">
        <v>34</v>
      </c>
      <c r="E437" s="1" t="s">
        <v>10</v>
      </c>
      <c r="F437" s="1">
        <v>12</v>
      </c>
      <c r="G437" s="4">
        <v>1297.83</v>
      </c>
    </row>
    <row r="438" spans="1:7" x14ac:dyDescent="0.3">
      <c r="A438" s="3">
        <v>46201</v>
      </c>
      <c r="B438" s="1" t="s">
        <v>472</v>
      </c>
      <c r="C438" s="1" t="s">
        <v>21</v>
      </c>
      <c r="D438" s="1" t="s">
        <v>13</v>
      </c>
      <c r="E438" s="1" t="s">
        <v>22</v>
      </c>
      <c r="F438" s="1">
        <v>6</v>
      </c>
      <c r="G438" s="4">
        <v>2324.92</v>
      </c>
    </row>
    <row r="439" spans="1:7" x14ac:dyDescent="0.3">
      <c r="A439" s="3">
        <v>46168</v>
      </c>
      <c r="B439" s="1" t="s">
        <v>473</v>
      </c>
      <c r="C439" s="1" t="s">
        <v>12</v>
      </c>
      <c r="D439" s="1" t="s">
        <v>9</v>
      </c>
      <c r="E439" s="1" t="s">
        <v>14</v>
      </c>
      <c r="F439" s="1">
        <v>10</v>
      </c>
      <c r="G439" s="4">
        <v>2479.17</v>
      </c>
    </row>
    <row r="440" spans="1:7" x14ac:dyDescent="0.3">
      <c r="A440" s="3">
        <v>46163</v>
      </c>
      <c r="B440" s="1" t="s">
        <v>474</v>
      </c>
      <c r="C440" s="1" t="s">
        <v>40</v>
      </c>
      <c r="D440" s="1" t="s">
        <v>25</v>
      </c>
      <c r="E440" s="1" t="s">
        <v>26</v>
      </c>
      <c r="F440" s="1">
        <v>8</v>
      </c>
      <c r="G440" s="4">
        <v>3162.19</v>
      </c>
    </row>
    <row r="441" spans="1:7" x14ac:dyDescent="0.3">
      <c r="A441" s="3">
        <v>46158</v>
      </c>
      <c r="B441" s="1" t="s">
        <v>475</v>
      </c>
      <c r="C441" s="1" t="s">
        <v>8</v>
      </c>
      <c r="D441" s="1" t="s">
        <v>16</v>
      </c>
      <c r="E441" s="1" t="s">
        <v>10</v>
      </c>
      <c r="F441" s="1">
        <v>11</v>
      </c>
      <c r="G441" s="4">
        <v>3170.26</v>
      </c>
    </row>
    <row r="442" spans="1:7" x14ac:dyDescent="0.3">
      <c r="A442" s="3">
        <v>46161</v>
      </c>
      <c r="B442" s="1" t="s">
        <v>476</v>
      </c>
      <c r="C442" s="1" t="s">
        <v>21</v>
      </c>
      <c r="D442" s="1" t="s">
        <v>36</v>
      </c>
      <c r="E442" s="1" t="s">
        <v>22</v>
      </c>
      <c r="F442" s="1">
        <v>4</v>
      </c>
      <c r="G442" s="4">
        <v>694.96</v>
      </c>
    </row>
    <row r="443" spans="1:7" x14ac:dyDescent="0.3">
      <c r="A443" s="3">
        <v>46123</v>
      </c>
      <c r="B443" s="1" t="s">
        <v>477</v>
      </c>
      <c r="C443" s="1" t="s">
        <v>24</v>
      </c>
      <c r="D443" s="1" t="s">
        <v>53</v>
      </c>
      <c r="E443" s="1" t="s">
        <v>26</v>
      </c>
      <c r="F443" s="1">
        <v>11</v>
      </c>
      <c r="G443" s="4">
        <v>3778.72</v>
      </c>
    </row>
    <row r="444" spans="1:7" x14ac:dyDescent="0.3">
      <c r="A444" s="3">
        <v>46162</v>
      </c>
      <c r="B444" s="1" t="s">
        <v>478</v>
      </c>
      <c r="C444" s="1" t="s">
        <v>40</v>
      </c>
      <c r="D444" s="1" t="s">
        <v>34</v>
      </c>
      <c r="E444" s="1" t="s">
        <v>26</v>
      </c>
      <c r="F444" s="1">
        <v>1</v>
      </c>
      <c r="G444" s="4">
        <v>97.55</v>
      </c>
    </row>
    <row r="445" spans="1:7" x14ac:dyDescent="0.3">
      <c r="A445" s="3">
        <v>46169</v>
      </c>
      <c r="B445" s="1" t="s">
        <v>479</v>
      </c>
      <c r="C445" s="1" t="s">
        <v>40</v>
      </c>
      <c r="D445" s="1" t="s">
        <v>82</v>
      </c>
      <c r="E445" s="1" t="s">
        <v>26</v>
      </c>
      <c r="F445" s="1">
        <v>2</v>
      </c>
      <c r="G445" s="4">
        <v>234.6</v>
      </c>
    </row>
    <row r="446" spans="1:7" x14ac:dyDescent="0.3">
      <c r="A446" s="3">
        <v>46170</v>
      </c>
      <c r="B446" s="1" t="s">
        <v>480</v>
      </c>
      <c r="C446" s="1" t="s">
        <v>8</v>
      </c>
      <c r="D446" s="1" t="s">
        <v>13</v>
      </c>
      <c r="E446" s="1" t="s">
        <v>10</v>
      </c>
      <c r="F446" s="1">
        <v>2</v>
      </c>
      <c r="G446" s="4">
        <v>777.54</v>
      </c>
    </row>
    <row r="447" spans="1:7" x14ac:dyDescent="0.3">
      <c r="A447" s="3">
        <v>46158</v>
      </c>
      <c r="B447" s="1" t="s">
        <v>481</v>
      </c>
      <c r="C447" s="1" t="s">
        <v>8</v>
      </c>
      <c r="D447" s="1" t="s">
        <v>9</v>
      </c>
      <c r="E447" s="1" t="s">
        <v>10</v>
      </c>
      <c r="F447" s="1">
        <v>6</v>
      </c>
      <c r="G447" s="4">
        <v>1505.87</v>
      </c>
    </row>
    <row r="448" spans="1:7" x14ac:dyDescent="0.3">
      <c r="A448" s="3">
        <v>46114</v>
      </c>
      <c r="B448" s="1" t="s">
        <v>482</v>
      </c>
      <c r="C448" s="1" t="s">
        <v>24</v>
      </c>
      <c r="D448" s="1" t="s">
        <v>16</v>
      </c>
      <c r="E448" s="1" t="s">
        <v>26</v>
      </c>
      <c r="F448" s="1">
        <v>2</v>
      </c>
      <c r="G448" s="4">
        <v>566.07000000000005</v>
      </c>
    </row>
    <row r="449" spans="1:7" x14ac:dyDescent="0.3">
      <c r="A449" s="3">
        <v>46184</v>
      </c>
      <c r="B449" s="1" t="s">
        <v>483</v>
      </c>
      <c r="C449" s="1" t="s">
        <v>12</v>
      </c>
      <c r="D449" s="1" t="s">
        <v>36</v>
      </c>
      <c r="E449" s="1" t="s">
        <v>14</v>
      </c>
      <c r="F449" s="1">
        <v>11</v>
      </c>
      <c r="G449" s="4">
        <v>1994.51</v>
      </c>
    </row>
    <row r="450" spans="1:7" x14ac:dyDescent="0.3">
      <c r="A450" s="3">
        <v>46130</v>
      </c>
      <c r="B450" s="1" t="s">
        <v>484</v>
      </c>
      <c r="C450" s="1" t="s">
        <v>24</v>
      </c>
      <c r="D450" s="1" t="s">
        <v>82</v>
      </c>
      <c r="E450" s="1" t="s">
        <v>26</v>
      </c>
      <c r="F450" s="1">
        <v>3</v>
      </c>
      <c r="G450" s="4">
        <v>357.27</v>
      </c>
    </row>
    <row r="451" spans="1:7" x14ac:dyDescent="0.3">
      <c r="A451" s="3">
        <v>46168</v>
      </c>
      <c r="B451" s="1" t="s">
        <v>485</v>
      </c>
      <c r="C451" s="1" t="s">
        <v>24</v>
      </c>
      <c r="D451" s="1" t="s">
        <v>16</v>
      </c>
      <c r="E451" s="1" t="s">
        <v>26</v>
      </c>
      <c r="F451" s="1">
        <v>2</v>
      </c>
      <c r="G451" s="4">
        <v>593.13</v>
      </c>
    </row>
    <row r="452" spans="1:7" x14ac:dyDescent="0.3">
      <c r="A452" s="3">
        <v>46144</v>
      </c>
      <c r="B452" s="1" t="s">
        <v>486</v>
      </c>
      <c r="C452" s="1" t="s">
        <v>38</v>
      </c>
      <c r="D452" s="1" t="s">
        <v>36</v>
      </c>
      <c r="E452" s="1" t="s">
        <v>32</v>
      </c>
      <c r="F452" s="1">
        <v>8</v>
      </c>
      <c r="G452" s="4">
        <v>1500.49</v>
      </c>
    </row>
    <row r="453" spans="1:7" x14ac:dyDescent="0.3">
      <c r="A453" s="3">
        <v>46151</v>
      </c>
      <c r="B453" s="1" t="s">
        <v>487</v>
      </c>
      <c r="C453" s="1" t="s">
        <v>74</v>
      </c>
      <c r="D453" s="1" t="s">
        <v>16</v>
      </c>
      <c r="E453" s="1" t="s">
        <v>22</v>
      </c>
      <c r="F453" s="1">
        <v>10</v>
      </c>
      <c r="G453" s="4">
        <v>2958.68</v>
      </c>
    </row>
    <row r="454" spans="1:7" x14ac:dyDescent="0.3">
      <c r="A454" s="3">
        <v>46155</v>
      </c>
      <c r="B454" s="1" t="s">
        <v>488</v>
      </c>
      <c r="C454" s="1" t="s">
        <v>38</v>
      </c>
      <c r="D454" s="1" t="s">
        <v>34</v>
      </c>
      <c r="E454" s="1" t="s">
        <v>32</v>
      </c>
      <c r="F454" s="1">
        <v>11</v>
      </c>
      <c r="G454" s="4">
        <v>1068.54</v>
      </c>
    </row>
    <row r="455" spans="1:7" x14ac:dyDescent="0.3">
      <c r="A455" s="3">
        <v>46130</v>
      </c>
      <c r="B455" s="1" t="s">
        <v>489</v>
      </c>
      <c r="C455" s="1" t="s">
        <v>24</v>
      </c>
      <c r="D455" s="1" t="s">
        <v>34</v>
      </c>
      <c r="E455" s="1" t="s">
        <v>26</v>
      </c>
      <c r="F455" s="1">
        <v>12</v>
      </c>
      <c r="G455" s="4">
        <v>1288.19</v>
      </c>
    </row>
    <row r="456" spans="1:7" x14ac:dyDescent="0.3">
      <c r="A456" s="3">
        <v>46153</v>
      </c>
      <c r="B456" s="1" t="s">
        <v>490</v>
      </c>
      <c r="C456" s="1" t="s">
        <v>18</v>
      </c>
      <c r="D456" s="1" t="s">
        <v>16</v>
      </c>
      <c r="E456" s="1" t="s">
        <v>26</v>
      </c>
      <c r="F456" s="1">
        <v>12</v>
      </c>
      <c r="G456" s="4">
        <v>3409.77</v>
      </c>
    </row>
    <row r="457" spans="1:7" x14ac:dyDescent="0.3">
      <c r="A457" s="3">
        <v>46175</v>
      </c>
      <c r="B457" s="1" t="s">
        <v>491</v>
      </c>
      <c r="C457" s="1" t="s">
        <v>29</v>
      </c>
      <c r="D457" s="1" t="s">
        <v>492</v>
      </c>
      <c r="E457" s="1" t="s">
        <v>10</v>
      </c>
      <c r="F457" s="1">
        <v>5</v>
      </c>
      <c r="G457" s="4">
        <v>721.62</v>
      </c>
    </row>
    <row r="458" spans="1:7" x14ac:dyDescent="0.3">
      <c r="A458" s="3">
        <v>46163</v>
      </c>
      <c r="B458" s="1" t="s">
        <v>493</v>
      </c>
      <c r="C458" s="1" t="s">
        <v>40</v>
      </c>
      <c r="D458" s="1" t="s">
        <v>9</v>
      </c>
      <c r="E458" s="1" t="s">
        <v>14</v>
      </c>
      <c r="F458" s="1">
        <v>10</v>
      </c>
      <c r="G458" s="4">
        <v>2464.92</v>
      </c>
    </row>
    <row r="459" spans="1:7" x14ac:dyDescent="0.3">
      <c r="A459" s="3">
        <v>46136</v>
      </c>
      <c r="B459" s="1" t="s">
        <v>494</v>
      </c>
      <c r="C459" s="1" t="s">
        <v>8</v>
      </c>
      <c r="D459" s="1" t="s">
        <v>25</v>
      </c>
      <c r="E459" s="1" t="s">
        <v>32</v>
      </c>
      <c r="F459" s="1">
        <v>12</v>
      </c>
      <c r="G459" s="4">
        <v>4913.2</v>
      </c>
    </row>
    <row r="460" spans="1:7" x14ac:dyDescent="0.3">
      <c r="A460" s="3">
        <v>46150</v>
      </c>
      <c r="B460" s="1" t="s">
        <v>495</v>
      </c>
      <c r="C460" s="1" t="s">
        <v>21</v>
      </c>
      <c r="D460" s="1" t="s">
        <v>16</v>
      </c>
      <c r="E460" s="1" t="s">
        <v>22</v>
      </c>
      <c r="F460" s="1">
        <v>3</v>
      </c>
      <c r="G460" s="4">
        <v>859.32</v>
      </c>
    </row>
    <row r="461" spans="1:7" x14ac:dyDescent="0.3">
      <c r="A461" s="3">
        <v>46143</v>
      </c>
      <c r="B461" s="1" t="s">
        <v>496</v>
      </c>
      <c r="C461" s="1" t="s">
        <v>24</v>
      </c>
      <c r="D461" s="1" t="s">
        <v>43</v>
      </c>
      <c r="E461" s="1" t="s">
        <v>26</v>
      </c>
      <c r="F461" s="1">
        <v>7</v>
      </c>
      <c r="G461" s="4">
        <v>2154.64</v>
      </c>
    </row>
    <row r="462" spans="1:7" x14ac:dyDescent="0.3">
      <c r="A462" s="3">
        <v>46122</v>
      </c>
      <c r="B462" s="1" t="s">
        <v>497</v>
      </c>
      <c r="C462" s="1" t="s">
        <v>38</v>
      </c>
      <c r="D462" s="1" t="s">
        <v>36</v>
      </c>
      <c r="E462" s="1" t="s">
        <v>32</v>
      </c>
      <c r="F462" s="1">
        <v>7</v>
      </c>
      <c r="G462" s="4">
        <v>1244.71</v>
      </c>
    </row>
    <row r="463" spans="1:7" x14ac:dyDescent="0.3">
      <c r="A463" s="3">
        <v>46201</v>
      </c>
      <c r="B463" s="1" t="s">
        <v>498</v>
      </c>
      <c r="C463" s="1" t="s">
        <v>46</v>
      </c>
      <c r="D463" s="1" t="s">
        <v>13</v>
      </c>
      <c r="E463" s="1" t="s">
        <v>32</v>
      </c>
      <c r="F463" s="1">
        <v>6</v>
      </c>
      <c r="G463" s="4">
        <v>2142.98</v>
      </c>
    </row>
    <row r="464" spans="1:7" x14ac:dyDescent="0.3">
      <c r="A464" s="3">
        <v>46181</v>
      </c>
      <c r="B464" s="1" t="s">
        <v>499</v>
      </c>
      <c r="C464" s="1" t="s">
        <v>29</v>
      </c>
      <c r="D464" s="1" t="s">
        <v>43</v>
      </c>
      <c r="E464" s="1" t="s">
        <v>22</v>
      </c>
      <c r="F464" s="1">
        <v>4</v>
      </c>
      <c r="G464" s="4">
        <v>1252.68</v>
      </c>
    </row>
    <row r="465" spans="1:7" x14ac:dyDescent="0.3">
      <c r="A465" s="3">
        <v>46158</v>
      </c>
      <c r="B465" s="1" t="s">
        <v>500</v>
      </c>
      <c r="C465" s="1" t="s">
        <v>18</v>
      </c>
      <c r="D465" s="1" t="s">
        <v>43</v>
      </c>
      <c r="E465" s="1" t="s">
        <v>14</v>
      </c>
      <c r="F465" s="1">
        <v>10</v>
      </c>
      <c r="G465" s="4">
        <v>2998.69</v>
      </c>
    </row>
    <row r="466" spans="1:7" x14ac:dyDescent="0.3">
      <c r="A466" s="3">
        <v>46199</v>
      </c>
      <c r="B466" s="1" t="s">
        <v>501</v>
      </c>
      <c r="C466" s="1" t="s">
        <v>46</v>
      </c>
      <c r="D466" s="1" t="s">
        <v>34</v>
      </c>
      <c r="E466" s="1" t="s">
        <v>32</v>
      </c>
      <c r="F466" s="1">
        <v>2</v>
      </c>
      <c r="G466" s="4">
        <v>219.72</v>
      </c>
    </row>
    <row r="467" spans="1:7" x14ac:dyDescent="0.3">
      <c r="A467" s="3">
        <v>46146</v>
      </c>
      <c r="B467" s="1" t="s">
        <v>502</v>
      </c>
      <c r="C467" s="1" t="s">
        <v>12</v>
      </c>
      <c r="D467" s="1" t="s">
        <v>13</v>
      </c>
      <c r="E467" s="1" t="s">
        <v>14</v>
      </c>
      <c r="F467" s="1">
        <v>9</v>
      </c>
      <c r="G467" s="4">
        <v>3265.49</v>
      </c>
    </row>
    <row r="468" spans="1:7" x14ac:dyDescent="0.3">
      <c r="A468" s="3">
        <v>46186</v>
      </c>
      <c r="B468" s="1" t="s">
        <v>503</v>
      </c>
      <c r="C468" s="1" t="s">
        <v>12</v>
      </c>
      <c r="D468" s="1" t="s">
        <v>48</v>
      </c>
      <c r="E468" s="1" t="s">
        <v>14</v>
      </c>
      <c r="F468" s="1">
        <v>8</v>
      </c>
      <c r="G468" s="4">
        <v>1887.22</v>
      </c>
    </row>
    <row r="469" spans="1:7" x14ac:dyDescent="0.3">
      <c r="A469" s="3">
        <v>46188</v>
      </c>
      <c r="B469" s="1" t="s">
        <v>504</v>
      </c>
      <c r="C469" s="1" t="s">
        <v>8</v>
      </c>
      <c r="D469" s="1" t="s">
        <v>53</v>
      </c>
      <c r="E469" s="1" t="s">
        <v>10</v>
      </c>
      <c r="F469" s="1">
        <v>1</v>
      </c>
      <c r="G469" s="4">
        <v>329.72</v>
      </c>
    </row>
    <row r="470" spans="1:7" x14ac:dyDescent="0.3">
      <c r="A470" s="3">
        <v>46150</v>
      </c>
      <c r="B470" s="1" t="s">
        <v>505</v>
      </c>
      <c r="C470" s="1" t="s">
        <v>46</v>
      </c>
      <c r="D470" s="1" t="s">
        <v>9</v>
      </c>
      <c r="E470" s="1" t="s">
        <v>32</v>
      </c>
      <c r="F470" s="1">
        <v>12</v>
      </c>
      <c r="G470" s="4">
        <v>3302.88</v>
      </c>
    </row>
    <row r="471" spans="1:7" x14ac:dyDescent="0.3">
      <c r="A471" s="3">
        <v>46152</v>
      </c>
      <c r="B471" s="1" t="s">
        <v>506</v>
      </c>
      <c r="C471" s="1" t="s">
        <v>40</v>
      </c>
      <c r="D471" s="1" t="s">
        <v>48</v>
      </c>
      <c r="E471" s="1" t="s">
        <v>10</v>
      </c>
      <c r="F471" s="1">
        <v>8</v>
      </c>
      <c r="G471" s="4">
        <v>1993.06</v>
      </c>
    </row>
    <row r="472" spans="1:7" x14ac:dyDescent="0.3">
      <c r="A472" s="3">
        <v>46125</v>
      </c>
      <c r="B472" s="1" t="s">
        <v>507</v>
      </c>
      <c r="C472" s="1" t="s">
        <v>38</v>
      </c>
      <c r="D472" s="1" t="s">
        <v>19</v>
      </c>
      <c r="E472" s="1" t="s">
        <v>32</v>
      </c>
      <c r="F472" s="1">
        <v>6</v>
      </c>
      <c r="G472" s="4">
        <v>1368.88</v>
      </c>
    </row>
    <row r="473" spans="1:7" x14ac:dyDescent="0.3">
      <c r="A473" s="3">
        <v>46118</v>
      </c>
      <c r="B473" s="1" t="s">
        <v>508</v>
      </c>
      <c r="C473" s="1" t="s">
        <v>21</v>
      </c>
      <c r="D473" s="1" t="s">
        <v>25</v>
      </c>
      <c r="E473" s="1" t="s">
        <v>22</v>
      </c>
      <c r="F473" s="1">
        <v>11</v>
      </c>
      <c r="G473" s="4">
        <v>4176.45</v>
      </c>
    </row>
    <row r="474" spans="1:7" x14ac:dyDescent="0.3">
      <c r="A474" s="3">
        <v>46144</v>
      </c>
      <c r="B474" s="1" t="s">
        <v>509</v>
      </c>
      <c r="C474" s="1" t="s">
        <v>8</v>
      </c>
      <c r="D474" s="1" t="s">
        <v>53</v>
      </c>
      <c r="E474" s="1" t="s">
        <v>10</v>
      </c>
      <c r="F474" s="1">
        <v>6</v>
      </c>
      <c r="G474" s="4">
        <v>1958.92</v>
      </c>
    </row>
    <row r="475" spans="1:7" x14ac:dyDescent="0.3">
      <c r="A475" s="3">
        <v>46172</v>
      </c>
      <c r="B475" s="1" t="s">
        <v>510</v>
      </c>
      <c r="C475" s="1" t="s">
        <v>12</v>
      </c>
      <c r="D475" s="1" t="s">
        <v>16</v>
      </c>
      <c r="E475" s="1" t="s">
        <v>14</v>
      </c>
      <c r="F475" s="1">
        <v>3</v>
      </c>
      <c r="G475" s="4">
        <v>858.52</v>
      </c>
    </row>
    <row r="476" spans="1:7" x14ac:dyDescent="0.3">
      <c r="A476" s="3">
        <v>46168</v>
      </c>
      <c r="B476" s="1" t="s">
        <v>511</v>
      </c>
      <c r="C476" s="1" t="s">
        <v>46</v>
      </c>
      <c r="D476" s="1" t="s">
        <v>25</v>
      </c>
      <c r="E476" s="1" t="s">
        <v>32</v>
      </c>
      <c r="F476" s="1">
        <v>4</v>
      </c>
      <c r="G476" s="4">
        <v>1589.37</v>
      </c>
    </row>
    <row r="477" spans="1:7" x14ac:dyDescent="0.3">
      <c r="A477" s="3">
        <v>46167</v>
      </c>
      <c r="B477" s="1" t="s">
        <v>512</v>
      </c>
      <c r="C477" s="1" t="s">
        <v>46</v>
      </c>
      <c r="D477" s="1" t="s">
        <v>25</v>
      </c>
      <c r="E477" s="1" t="s">
        <v>32</v>
      </c>
      <c r="F477" s="1">
        <v>4</v>
      </c>
      <c r="G477" s="4">
        <v>1623.89</v>
      </c>
    </row>
    <row r="478" spans="1:7" x14ac:dyDescent="0.3">
      <c r="A478" s="3">
        <v>46203</v>
      </c>
      <c r="B478" s="1" t="s">
        <v>513</v>
      </c>
      <c r="C478" s="1" t="s">
        <v>21</v>
      </c>
      <c r="D478" s="1" t="s">
        <v>36</v>
      </c>
      <c r="E478" s="1" t="s">
        <v>22</v>
      </c>
      <c r="F478" s="1">
        <v>9</v>
      </c>
      <c r="G478" s="4">
        <v>1671.64</v>
      </c>
    </row>
    <row r="479" spans="1:7" x14ac:dyDescent="0.3">
      <c r="A479" s="3">
        <v>46154</v>
      </c>
      <c r="B479" s="1" t="s">
        <v>514</v>
      </c>
      <c r="C479" s="1" t="s">
        <v>12</v>
      </c>
      <c r="D479" s="1" t="s">
        <v>48</v>
      </c>
      <c r="E479" s="1" t="s">
        <v>14</v>
      </c>
      <c r="F479" s="1">
        <v>11</v>
      </c>
      <c r="G479" s="4">
        <v>2563.94</v>
      </c>
    </row>
    <row r="480" spans="1:7" x14ac:dyDescent="0.3">
      <c r="A480" s="3">
        <v>46180</v>
      </c>
      <c r="B480" s="1" t="s">
        <v>515</v>
      </c>
      <c r="C480" s="1" t="s">
        <v>40</v>
      </c>
      <c r="D480" s="1" t="s">
        <v>36</v>
      </c>
      <c r="E480" s="1" t="s">
        <v>26</v>
      </c>
      <c r="F480" s="1">
        <v>7</v>
      </c>
      <c r="G480" s="4">
        <v>1236.31</v>
      </c>
    </row>
    <row r="481" spans="1:7" x14ac:dyDescent="0.3">
      <c r="A481" s="3">
        <v>46157</v>
      </c>
      <c r="B481" s="1" t="s">
        <v>516</v>
      </c>
      <c r="C481" s="1" t="s">
        <v>40</v>
      </c>
      <c r="D481" s="1" t="s">
        <v>48</v>
      </c>
      <c r="E481" s="1" t="s">
        <v>26</v>
      </c>
      <c r="F481" s="1">
        <v>11</v>
      </c>
      <c r="G481" s="4">
        <v>2617.6999999999998</v>
      </c>
    </row>
    <row r="482" spans="1:7" x14ac:dyDescent="0.3">
      <c r="A482" s="3">
        <v>46151</v>
      </c>
      <c r="B482" s="1" t="s">
        <v>517</v>
      </c>
      <c r="C482" s="1" t="s">
        <v>29</v>
      </c>
      <c r="D482" s="1" t="s">
        <v>36</v>
      </c>
      <c r="E482" s="1" t="s">
        <v>10</v>
      </c>
      <c r="F482" s="1">
        <v>3</v>
      </c>
      <c r="G482" s="4">
        <v>548.58000000000004</v>
      </c>
    </row>
    <row r="483" spans="1:7" x14ac:dyDescent="0.3">
      <c r="A483" s="3">
        <v>46143</v>
      </c>
      <c r="B483" s="1" t="s">
        <v>518</v>
      </c>
      <c r="C483" s="1" t="s">
        <v>24</v>
      </c>
      <c r="D483" s="1" t="s">
        <v>9</v>
      </c>
      <c r="E483" s="1" t="s">
        <v>26</v>
      </c>
      <c r="F483" s="1">
        <v>12</v>
      </c>
      <c r="G483" s="4">
        <v>3303</v>
      </c>
    </row>
    <row r="484" spans="1:7" x14ac:dyDescent="0.3">
      <c r="A484" s="3">
        <v>46162</v>
      </c>
      <c r="B484" s="1" t="s">
        <v>519</v>
      </c>
      <c r="C484" s="1" t="s">
        <v>46</v>
      </c>
      <c r="D484" s="1" t="s">
        <v>36</v>
      </c>
      <c r="E484" s="1" t="s">
        <v>32</v>
      </c>
      <c r="F484" s="1">
        <v>7</v>
      </c>
      <c r="G484" s="4">
        <v>1262.48</v>
      </c>
    </row>
    <row r="485" spans="1:7" x14ac:dyDescent="0.3">
      <c r="A485" s="3">
        <v>46175</v>
      </c>
      <c r="B485" s="1" t="s">
        <v>520</v>
      </c>
      <c r="C485" s="1" t="s">
        <v>8</v>
      </c>
      <c r="D485" s="1" t="s">
        <v>19</v>
      </c>
      <c r="E485" s="1" t="s">
        <v>14</v>
      </c>
      <c r="F485" s="1">
        <v>9</v>
      </c>
      <c r="G485" s="4">
        <v>2028.55</v>
      </c>
    </row>
    <row r="486" spans="1:7" x14ac:dyDescent="0.3">
      <c r="A486" s="3">
        <v>46149</v>
      </c>
      <c r="B486" s="1" t="s">
        <v>521</v>
      </c>
      <c r="C486" s="1" t="s">
        <v>18</v>
      </c>
      <c r="D486" s="1" t="s">
        <v>53</v>
      </c>
      <c r="E486" s="1" t="s">
        <v>14</v>
      </c>
      <c r="F486" s="1">
        <v>8</v>
      </c>
      <c r="G486" s="4">
        <v>2591.88</v>
      </c>
    </row>
    <row r="487" spans="1:7" x14ac:dyDescent="0.3">
      <c r="A487" s="3">
        <v>46158</v>
      </c>
      <c r="B487" s="1" t="s">
        <v>522</v>
      </c>
      <c r="C487" s="1" t="s">
        <v>74</v>
      </c>
      <c r="D487" s="1" t="s">
        <v>48</v>
      </c>
      <c r="E487" s="1" t="s">
        <v>22</v>
      </c>
      <c r="F487" s="1">
        <v>7</v>
      </c>
      <c r="G487" s="4">
        <v>1609.5</v>
      </c>
    </row>
    <row r="488" spans="1:7" x14ac:dyDescent="0.3">
      <c r="A488" s="3">
        <v>46177</v>
      </c>
      <c r="B488" s="1" t="s">
        <v>523</v>
      </c>
      <c r="C488" s="1" t="s">
        <v>38</v>
      </c>
      <c r="D488" s="1" t="s">
        <v>16</v>
      </c>
      <c r="E488" s="1" t="s">
        <v>32</v>
      </c>
      <c r="F488" s="1">
        <v>7</v>
      </c>
      <c r="G488" s="4">
        <v>1985.08</v>
      </c>
    </row>
    <row r="489" spans="1:7" x14ac:dyDescent="0.3">
      <c r="A489" s="3">
        <v>46169</v>
      </c>
      <c r="B489" s="1" t="s">
        <v>524</v>
      </c>
      <c r="C489" s="1" t="s">
        <v>38</v>
      </c>
      <c r="D489" s="1" t="s">
        <v>53</v>
      </c>
      <c r="E489" s="1" t="s">
        <v>32</v>
      </c>
      <c r="F489" s="1">
        <v>1</v>
      </c>
      <c r="G489" s="4">
        <v>316.57</v>
      </c>
    </row>
    <row r="490" spans="1:7" x14ac:dyDescent="0.3">
      <c r="A490" s="3">
        <v>46141</v>
      </c>
      <c r="B490" s="1" t="s">
        <v>525</v>
      </c>
      <c r="C490" s="1" t="s">
        <v>24</v>
      </c>
      <c r="D490" s="1" t="s">
        <v>25</v>
      </c>
      <c r="E490" s="1" t="s">
        <v>26</v>
      </c>
      <c r="F490" s="1">
        <v>9</v>
      </c>
      <c r="G490" s="4">
        <v>3649.06</v>
      </c>
    </row>
    <row r="491" spans="1:7" x14ac:dyDescent="0.3">
      <c r="A491" s="3">
        <v>46171</v>
      </c>
      <c r="B491" s="1" t="s">
        <v>526</v>
      </c>
      <c r="C491" s="1" t="s">
        <v>29</v>
      </c>
      <c r="D491" s="1" t="s">
        <v>19</v>
      </c>
      <c r="E491" s="1" t="s">
        <v>10</v>
      </c>
      <c r="F491" s="1">
        <v>8</v>
      </c>
      <c r="G491" s="4">
        <v>1718.62</v>
      </c>
    </row>
    <row r="492" spans="1:7" x14ac:dyDescent="0.3">
      <c r="A492" s="3">
        <v>46127</v>
      </c>
      <c r="B492" s="1" t="s">
        <v>527</v>
      </c>
      <c r="C492" s="1" t="s">
        <v>29</v>
      </c>
      <c r="D492" s="1" t="s">
        <v>9</v>
      </c>
      <c r="E492" s="1" t="s">
        <v>10</v>
      </c>
      <c r="F492" s="1">
        <v>9</v>
      </c>
      <c r="G492" s="4">
        <v>2271.04</v>
      </c>
    </row>
    <row r="493" spans="1:7" x14ac:dyDescent="0.3">
      <c r="A493" s="3">
        <v>46159</v>
      </c>
      <c r="B493" s="1" t="s">
        <v>528</v>
      </c>
      <c r="C493" s="1" t="s">
        <v>8</v>
      </c>
      <c r="D493" s="1" t="s">
        <v>25</v>
      </c>
      <c r="E493" s="1" t="s">
        <v>10</v>
      </c>
      <c r="F493" s="1">
        <v>8</v>
      </c>
      <c r="G493" s="4">
        <v>3139.71</v>
      </c>
    </row>
    <row r="494" spans="1:7" x14ac:dyDescent="0.3">
      <c r="A494" s="3">
        <v>46167</v>
      </c>
      <c r="B494" s="1" t="s">
        <v>529</v>
      </c>
      <c r="C494" s="1" t="s">
        <v>21</v>
      </c>
      <c r="D494" s="1" t="s">
        <v>19</v>
      </c>
      <c r="E494" s="1" t="s">
        <v>14</v>
      </c>
      <c r="F494" s="1">
        <v>5</v>
      </c>
      <c r="G494" s="4">
        <v>1029.28</v>
      </c>
    </row>
    <row r="495" spans="1:7" x14ac:dyDescent="0.3">
      <c r="A495" s="3">
        <v>46117</v>
      </c>
      <c r="B495" s="1" t="s">
        <v>530</v>
      </c>
      <c r="C495" s="1" t="s">
        <v>38</v>
      </c>
      <c r="D495" s="1" t="s">
        <v>82</v>
      </c>
      <c r="E495" s="1" t="s">
        <v>32</v>
      </c>
      <c r="F495" s="1">
        <v>2</v>
      </c>
      <c r="G495" s="4">
        <v>227.35</v>
      </c>
    </row>
    <row r="496" spans="1:7" x14ac:dyDescent="0.3">
      <c r="A496" s="3">
        <v>46128</v>
      </c>
      <c r="B496" s="1" t="s">
        <v>531</v>
      </c>
      <c r="C496" s="1" t="s">
        <v>12</v>
      </c>
      <c r="D496" s="1" t="s">
        <v>30</v>
      </c>
      <c r="E496" s="1" t="s">
        <v>10</v>
      </c>
      <c r="F496" s="1">
        <v>12</v>
      </c>
      <c r="G496" s="4">
        <v>1839.21</v>
      </c>
    </row>
    <row r="497" spans="1:7" x14ac:dyDescent="0.3">
      <c r="A497" s="3">
        <v>46203</v>
      </c>
      <c r="B497" s="1" t="s">
        <v>532</v>
      </c>
      <c r="C497" s="1" t="s">
        <v>29</v>
      </c>
      <c r="D497" s="1" t="s">
        <v>43</v>
      </c>
      <c r="E497" s="1" t="s">
        <v>10</v>
      </c>
      <c r="F497" s="1">
        <v>10</v>
      </c>
      <c r="G497" s="4">
        <v>3343.19</v>
      </c>
    </row>
    <row r="498" spans="1:7" x14ac:dyDescent="0.3">
      <c r="A498" s="3">
        <v>46139</v>
      </c>
      <c r="B498" s="1" t="s">
        <v>533</v>
      </c>
      <c r="C498" s="1" t="s">
        <v>12</v>
      </c>
      <c r="D498" s="1" t="s">
        <v>25</v>
      </c>
      <c r="E498" s="1" t="s">
        <v>14</v>
      </c>
      <c r="F498" s="1">
        <v>9</v>
      </c>
      <c r="G498" s="4">
        <v>3652.5</v>
      </c>
    </row>
    <row r="499" spans="1:7" x14ac:dyDescent="0.3">
      <c r="A499" s="3">
        <v>46181</v>
      </c>
      <c r="B499" s="1" t="s">
        <v>534</v>
      </c>
      <c r="C499" s="1" t="s">
        <v>18</v>
      </c>
      <c r="D499" s="1" t="s">
        <v>34</v>
      </c>
      <c r="E499" s="1" t="s">
        <v>26</v>
      </c>
      <c r="F499" s="1">
        <v>5</v>
      </c>
      <c r="G499" s="4">
        <v>512.20000000000005</v>
      </c>
    </row>
    <row r="500" spans="1:7" x14ac:dyDescent="0.3">
      <c r="A500" s="3">
        <v>46178</v>
      </c>
      <c r="B500" s="1" t="s">
        <v>535</v>
      </c>
      <c r="C500" s="1" t="s">
        <v>21</v>
      </c>
      <c r="D500" s="1" t="s">
        <v>53</v>
      </c>
      <c r="E500" s="1" t="s">
        <v>32</v>
      </c>
      <c r="F500" s="1">
        <v>1</v>
      </c>
      <c r="G500" s="4">
        <v>308.32</v>
      </c>
    </row>
    <row r="501" spans="1:7" x14ac:dyDescent="0.3">
      <c r="A501" s="3">
        <v>46196</v>
      </c>
      <c r="B501" s="1" t="s">
        <v>535</v>
      </c>
      <c r="C501" s="1" t="s">
        <v>18</v>
      </c>
      <c r="D501" s="1" t="s">
        <v>19</v>
      </c>
      <c r="E501" s="1" t="s">
        <v>14</v>
      </c>
      <c r="F501" s="1">
        <v>5</v>
      </c>
      <c r="G501" s="4">
        <v>631.1</v>
      </c>
    </row>
    <row r="502" spans="1:7" x14ac:dyDescent="0.3">
      <c r="A502" s="3">
        <v>46144</v>
      </c>
      <c r="B502" s="1" t="s">
        <v>536</v>
      </c>
      <c r="C502" s="1" t="s">
        <v>46</v>
      </c>
      <c r="D502" s="1" t="s">
        <v>48</v>
      </c>
      <c r="E502" s="1" t="s">
        <v>32</v>
      </c>
      <c r="F502" s="1">
        <v>11</v>
      </c>
      <c r="G502" s="4">
        <v>2767.78</v>
      </c>
    </row>
    <row r="503" spans="1:7" x14ac:dyDescent="0.3">
      <c r="A503" s="3">
        <v>46166</v>
      </c>
      <c r="B503" s="1" t="s">
        <v>537</v>
      </c>
      <c r="C503" s="1" t="s">
        <v>46</v>
      </c>
      <c r="D503" s="1" t="s">
        <v>48</v>
      </c>
      <c r="E503" s="1" t="s">
        <v>32</v>
      </c>
      <c r="F503" s="1">
        <v>2</v>
      </c>
      <c r="G503" s="4">
        <v>494.86</v>
      </c>
    </row>
    <row r="504" spans="1:7" x14ac:dyDescent="0.3">
      <c r="A504" s="3">
        <v>46148</v>
      </c>
      <c r="B504" s="1" t="s">
        <v>538</v>
      </c>
      <c r="C504" s="1" t="s">
        <v>40</v>
      </c>
      <c r="D504" s="1" t="s">
        <v>48</v>
      </c>
      <c r="E504" s="1" t="s">
        <v>26</v>
      </c>
      <c r="F504" s="1">
        <v>10</v>
      </c>
      <c r="G504" s="4">
        <v>2599.23</v>
      </c>
    </row>
    <row r="505" spans="1:7" x14ac:dyDescent="0.3">
      <c r="A505" s="3">
        <v>46124</v>
      </c>
      <c r="B505" s="1" t="s">
        <v>539</v>
      </c>
      <c r="C505" s="1" t="s">
        <v>38</v>
      </c>
      <c r="D505" s="1" t="s">
        <v>43</v>
      </c>
      <c r="E505" s="1" t="s">
        <v>32</v>
      </c>
      <c r="F505" s="1">
        <v>6</v>
      </c>
      <c r="G505" s="4">
        <v>1831.89</v>
      </c>
    </row>
    <row r="506" spans="1:7" x14ac:dyDescent="0.3">
      <c r="A506" s="3">
        <v>46181</v>
      </c>
      <c r="B506" s="1" t="s">
        <v>540</v>
      </c>
      <c r="C506" s="1" t="s">
        <v>46</v>
      </c>
      <c r="D506" s="1" t="s">
        <v>30</v>
      </c>
      <c r="E506" s="1" t="s">
        <v>14</v>
      </c>
      <c r="F506" s="1">
        <v>8</v>
      </c>
      <c r="G506" s="4">
        <v>1238.75</v>
      </c>
    </row>
    <row r="507" spans="1:7" x14ac:dyDescent="0.3">
      <c r="A507" s="3">
        <v>46149</v>
      </c>
      <c r="B507" s="1" t="s">
        <v>541</v>
      </c>
      <c r="C507" s="1" t="s">
        <v>40</v>
      </c>
      <c r="D507" s="1" t="s">
        <v>13</v>
      </c>
      <c r="E507" s="1" t="s">
        <v>26</v>
      </c>
      <c r="F507" s="1">
        <v>10</v>
      </c>
      <c r="G507" s="4">
        <v>3501.07</v>
      </c>
    </row>
    <row r="508" spans="1:7" x14ac:dyDescent="0.3">
      <c r="A508" s="3">
        <v>46156</v>
      </c>
      <c r="B508" s="1" t="s">
        <v>542</v>
      </c>
      <c r="C508" s="1" t="s">
        <v>74</v>
      </c>
      <c r="D508" s="1" t="s">
        <v>25</v>
      </c>
      <c r="E508" s="1" t="s">
        <v>22</v>
      </c>
      <c r="F508" s="1">
        <v>8</v>
      </c>
      <c r="G508" s="4">
        <v>3353.44</v>
      </c>
    </row>
    <row r="509" spans="1:7" x14ac:dyDescent="0.3">
      <c r="A509" s="3">
        <v>46133</v>
      </c>
      <c r="B509" s="1" t="s">
        <v>543</v>
      </c>
      <c r="C509" s="1" t="s">
        <v>38</v>
      </c>
      <c r="D509" s="1" t="s">
        <v>48</v>
      </c>
      <c r="E509" s="1" t="s">
        <v>32</v>
      </c>
      <c r="F509" s="1">
        <v>7</v>
      </c>
      <c r="G509" s="4">
        <v>1775.81</v>
      </c>
    </row>
    <row r="510" spans="1:7" x14ac:dyDescent="0.3">
      <c r="A510" s="3">
        <v>46201</v>
      </c>
      <c r="B510" s="1" t="s">
        <v>544</v>
      </c>
      <c r="C510" s="1" t="s">
        <v>18</v>
      </c>
      <c r="D510" s="1" t="s">
        <v>43</v>
      </c>
      <c r="E510" s="1" t="s">
        <v>14</v>
      </c>
      <c r="F510" s="1">
        <v>5</v>
      </c>
      <c r="G510" s="4">
        <v>1680.96</v>
      </c>
    </row>
    <row r="511" spans="1:7" x14ac:dyDescent="0.3">
      <c r="A511" s="3">
        <v>46159</v>
      </c>
      <c r="B511" s="1" t="s">
        <v>545</v>
      </c>
      <c r="C511" s="1" t="s">
        <v>24</v>
      </c>
      <c r="D511" s="1" t="s">
        <v>9</v>
      </c>
      <c r="E511" s="1" t="s">
        <v>26</v>
      </c>
      <c r="F511" s="1">
        <v>11</v>
      </c>
      <c r="G511" s="4">
        <v>3018.82</v>
      </c>
    </row>
    <row r="512" spans="1:7" x14ac:dyDescent="0.3">
      <c r="A512" s="3">
        <v>46163</v>
      </c>
      <c r="B512" s="1" t="s">
        <v>546</v>
      </c>
      <c r="C512" s="1" t="s">
        <v>24</v>
      </c>
      <c r="D512" s="1" t="s">
        <v>19</v>
      </c>
      <c r="E512" s="1" t="s">
        <v>26</v>
      </c>
      <c r="F512" s="1">
        <v>4</v>
      </c>
      <c r="G512" s="4">
        <v>872.61</v>
      </c>
    </row>
    <row r="513" spans="1:7" x14ac:dyDescent="0.3">
      <c r="A513" s="3">
        <v>46124</v>
      </c>
      <c r="B513" s="1" t="s">
        <v>547</v>
      </c>
      <c r="C513" s="1" t="s">
        <v>21</v>
      </c>
      <c r="D513" s="1" t="s">
        <v>25</v>
      </c>
      <c r="E513" s="1" t="s">
        <v>22</v>
      </c>
      <c r="F513" s="1">
        <v>2</v>
      </c>
      <c r="G513" s="4">
        <v>826.62</v>
      </c>
    </row>
    <row r="514" spans="1:7" x14ac:dyDescent="0.3">
      <c r="A514" s="3">
        <v>46141</v>
      </c>
      <c r="B514" s="1" t="s">
        <v>548</v>
      </c>
      <c r="C514" s="1" t="s">
        <v>8</v>
      </c>
      <c r="D514" s="1" t="s">
        <v>43</v>
      </c>
      <c r="E514" s="1" t="s">
        <v>10</v>
      </c>
      <c r="F514" s="1">
        <v>1</v>
      </c>
      <c r="G514" s="4">
        <v>311.62</v>
      </c>
    </row>
    <row r="515" spans="1:7" x14ac:dyDescent="0.3">
      <c r="A515" s="3">
        <v>46128</v>
      </c>
      <c r="B515" s="1" t="s">
        <v>549</v>
      </c>
      <c r="C515" s="1" t="s">
        <v>46</v>
      </c>
      <c r="D515" s="1" t="s">
        <v>19</v>
      </c>
      <c r="E515" s="1" t="s">
        <v>32</v>
      </c>
      <c r="F515" s="1">
        <v>2</v>
      </c>
      <c r="G515" s="4">
        <v>447.36</v>
      </c>
    </row>
    <row r="516" spans="1:7" x14ac:dyDescent="0.3">
      <c r="A516" s="3">
        <v>46124</v>
      </c>
      <c r="B516" s="1" t="s">
        <v>550</v>
      </c>
      <c r="C516" s="1" t="s">
        <v>21</v>
      </c>
      <c r="D516" s="1" t="s">
        <v>9</v>
      </c>
      <c r="E516" s="1" t="s">
        <v>22</v>
      </c>
      <c r="F516" s="1">
        <v>5</v>
      </c>
      <c r="G516" s="4">
        <v>1376.96</v>
      </c>
    </row>
    <row r="517" spans="1:7" x14ac:dyDescent="0.3">
      <c r="A517" s="3">
        <v>46130</v>
      </c>
      <c r="B517" s="1" t="s">
        <v>551</v>
      </c>
      <c r="C517" s="1" t="s">
        <v>18</v>
      </c>
      <c r="D517" s="1" t="s">
        <v>9</v>
      </c>
      <c r="E517" s="1" t="s">
        <v>14</v>
      </c>
      <c r="F517" s="1">
        <v>1</v>
      </c>
      <c r="G517" s="4">
        <v>259.49</v>
      </c>
    </row>
    <row r="518" spans="1:7" x14ac:dyDescent="0.3">
      <c r="A518" s="3">
        <v>46134</v>
      </c>
      <c r="B518" s="1" t="s">
        <v>552</v>
      </c>
      <c r="C518" s="1" t="s">
        <v>38</v>
      </c>
      <c r="D518" s="1" t="s">
        <v>34</v>
      </c>
      <c r="E518" s="1" t="s">
        <v>32</v>
      </c>
      <c r="F518" s="1">
        <v>11</v>
      </c>
      <c r="G518" s="4">
        <v>1101.3499999999999</v>
      </c>
    </row>
    <row r="519" spans="1:7" x14ac:dyDescent="0.3">
      <c r="A519" s="3">
        <v>46165</v>
      </c>
      <c r="B519" s="1" t="s">
        <v>553</v>
      </c>
      <c r="C519" s="1" t="s">
        <v>29</v>
      </c>
      <c r="D519" s="1" t="s">
        <v>43</v>
      </c>
      <c r="E519" s="1" t="s">
        <v>10</v>
      </c>
      <c r="F519" s="1">
        <v>4</v>
      </c>
      <c r="G519" s="4">
        <v>1345.85</v>
      </c>
    </row>
    <row r="520" spans="1:7" x14ac:dyDescent="0.3">
      <c r="A520" s="3">
        <v>46125</v>
      </c>
      <c r="B520" s="1" t="s">
        <v>554</v>
      </c>
      <c r="C520" s="1" t="s">
        <v>18</v>
      </c>
      <c r="D520" s="1" t="s">
        <v>9</v>
      </c>
      <c r="E520" s="1" t="s">
        <v>14</v>
      </c>
      <c r="F520" s="1">
        <v>7</v>
      </c>
      <c r="G520" s="4">
        <v>1877.32</v>
      </c>
    </row>
    <row r="521" spans="1:7" x14ac:dyDescent="0.3">
      <c r="A521" s="3">
        <v>46167</v>
      </c>
      <c r="B521" s="1" t="s">
        <v>555</v>
      </c>
      <c r="C521" s="1" t="s">
        <v>40</v>
      </c>
      <c r="D521" s="1" t="s">
        <v>53</v>
      </c>
      <c r="E521" s="1" t="s">
        <v>26</v>
      </c>
      <c r="F521" s="1">
        <v>11</v>
      </c>
      <c r="G521" s="4">
        <v>3811.08</v>
      </c>
    </row>
    <row r="522" spans="1:7" x14ac:dyDescent="0.3">
      <c r="A522" s="3">
        <v>46183</v>
      </c>
      <c r="B522" s="1" t="s">
        <v>556</v>
      </c>
      <c r="C522" s="1" t="s">
        <v>29</v>
      </c>
      <c r="D522" s="1" t="s">
        <v>36</v>
      </c>
      <c r="E522" s="1" t="s">
        <v>10</v>
      </c>
      <c r="F522" s="1">
        <v>5</v>
      </c>
      <c r="G522" s="4">
        <v>861.2</v>
      </c>
    </row>
    <row r="523" spans="1:7" x14ac:dyDescent="0.3">
      <c r="A523" s="3">
        <v>46201</v>
      </c>
      <c r="B523" s="1" t="s">
        <v>557</v>
      </c>
      <c r="C523" s="1" t="s">
        <v>74</v>
      </c>
      <c r="D523" s="1" t="s">
        <v>43</v>
      </c>
      <c r="E523" s="1" t="s">
        <v>14</v>
      </c>
      <c r="F523" s="1">
        <v>9</v>
      </c>
      <c r="G523" s="4">
        <v>2837.14</v>
      </c>
    </row>
    <row r="524" spans="1:7" x14ac:dyDescent="0.3">
      <c r="A524" s="3">
        <v>46137</v>
      </c>
      <c r="B524" s="1" t="s">
        <v>558</v>
      </c>
      <c r="C524" s="1" t="s">
        <v>46</v>
      </c>
      <c r="D524" s="1" t="s">
        <v>82</v>
      </c>
      <c r="E524" s="1" t="s">
        <v>32</v>
      </c>
      <c r="F524" s="1">
        <v>4</v>
      </c>
      <c r="G524" s="4">
        <v>451.49</v>
      </c>
    </row>
    <row r="525" spans="1:7" x14ac:dyDescent="0.3">
      <c r="A525" s="3">
        <v>46127</v>
      </c>
      <c r="B525" s="1" t="s">
        <v>559</v>
      </c>
      <c r="C525" s="1" t="s">
        <v>12</v>
      </c>
      <c r="D525" s="1" t="s">
        <v>48</v>
      </c>
      <c r="E525" s="1" t="s">
        <v>14</v>
      </c>
      <c r="F525" s="1">
        <v>2</v>
      </c>
      <c r="G525" s="4">
        <v>487.03</v>
      </c>
    </row>
    <row r="526" spans="1:7" x14ac:dyDescent="0.3">
      <c r="A526" s="3">
        <v>46114</v>
      </c>
      <c r="B526" s="1" t="s">
        <v>560</v>
      </c>
      <c r="C526" s="1" t="s">
        <v>40</v>
      </c>
      <c r="D526" s="1" t="s">
        <v>34</v>
      </c>
      <c r="E526" s="1" t="s">
        <v>26</v>
      </c>
      <c r="F526" s="1">
        <v>10</v>
      </c>
      <c r="G526" s="4">
        <v>1044.45</v>
      </c>
    </row>
    <row r="527" spans="1:7" x14ac:dyDescent="0.3">
      <c r="A527" s="3">
        <v>46182</v>
      </c>
      <c r="B527" s="1" t="s">
        <v>561</v>
      </c>
      <c r="C527" s="1" t="s">
        <v>18</v>
      </c>
      <c r="D527" s="1" t="s">
        <v>48</v>
      </c>
      <c r="E527" s="1" t="s">
        <v>22</v>
      </c>
      <c r="F527" s="1">
        <v>1</v>
      </c>
      <c r="G527" s="4">
        <v>241.67</v>
      </c>
    </row>
    <row r="528" spans="1:7" x14ac:dyDescent="0.3">
      <c r="A528" s="3">
        <v>46114</v>
      </c>
      <c r="B528" s="1" t="s">
        <v>562</v>
      </c>
      <c r="C528" s="1" t="s">
        <v>24</v>
      </c>
      <c r="D528" s="1" t="s">
        <v>30</v>
      </c>
      <c r="E528" s="1" t="s">
        <v>26</v>
      </c>
      <c r="F528" s="1">
        <v>1</v>
      </c>
      <c r="G528" s="4">
        <v>141.79</v>
      </c>
    </row>
    <row r="529" spans="1:7" x14ac:dyDescent="0.3">
      <c r="A529" s="3">
        <v>46163</v>
      </c>
      <c r="B529" s="1" t="s">
        <v>563</v>
      </c>
      <c r="C529" s="1" t="s">
        <v>8</v>
      </c>
      <c r="D529" s="1" t="s">
        <v>82</v>
      </c>
      <c r="E529" s="1" t="s">
        <v>10</v>
      </c>
      <c r="F529" s="1">
        <v>9</v>
      </c>
      <c r="G529" s="4">
        <v>980.58</v>
      </c>
    </row>
    <row r="530" spans="1:7" x14ac:dyDescent="0.3">
      <c r="A530" s="3">
        <v>46167</v>
      </c>
      <c r="B530" s="1" t="s">
        <v>564</v>
      </c>
      <c r="C530" s="1" t="s">
        <v>46</v>
      </c>
      <c r="D530" s="1" t="s">
        <v>9</v>
      </c>
      <c r="E530" s="1" t="s">
        <v>32</v>
      </c>
      <c r="F530" s="1">
        <v>9</v>
      </c>
      <c r="G530" s="4">
        <v>2333.71</v>
      </c>
    </row>
    <row r="531" spans="1:7" x14ac:dyDescent="0.3">
      <c r="A531" s="3">
        <v>46148</v>
      </c>
      <c r="B531" s="1" t="s">
        <v>565</v>
      </c>
      <c r="C531" s="1" t="s">
        <v>21</v>
      </c>
      <c r="D531" s="1" t="s">
        <v>82</v>
      </c>
      <c r="E531" s="1" t="s">
        <v>22</v>
      </c>
      <c r="F531" s="1">
        <v>4</v>
      </c>
      <c r="G531" s="4">
        <v>423.88</v>
      </c>
    </row>
    <row r="532" spans="1:7" x14ac:dyDescent="0.3">
      <c r="A532" s="3">
        <v>46132</v>
      </c>
      <c r="B532" s="1" t="s">
        <v>566</v>
      </c>
      <c r="C532" s="1" t="s">
        <v>8</v>
      </c>
      <c r="D532" s="1" t="s">
        <v>34</v>
      </c>
      <c r="E532" s="1" t="s">
        <v>10</v>
      </c>
      <c r="F532" s="1">
        <v>-3</v>
      </c>
      <c r="G532" s="4">
        <v>1099.18</v>
      </c>
    </row>
    <row r="533" spans="1:7" x14ac:dyDescent="0.3">
      <c r="A533" s="3">
        <v>46196</v>
      </c>
      <c r="B533" s="1" t="s">
        <v>567</v>
      </c>
      <c r="C533" s="1" t="s">
        <v>21</v>
      </c>
      <c r="D533" s="1" t="s">
        <v>82</v>
      </c>
      <c r="E533" s="1" t="s">
        <v>22</v>
      </c>
      <c r="F533" s="1">
        <v>12</v>
      </c>
      <c r="G533" s="4">
        <v>1275.25</v>
      </c>
    </row>
    <row r="534" spans="1:7" x14ac:dyDescent="0.3">
      <c r="A534" s="3">
        <v>46143</v>
      </c>
      <c r="B534" s="1" t="s">
        <v>568</v>
      </c>
      <c r="C534" s="1" t="s">
        <v>74</v>
      </c>
      <c r="D534" s="1" t="s">
        <v>30</v>
      </c>
      <c r="E534" s="1" t="s">
        <v>22</v>
      </c>
      <c r="F534" s="1">
        <v>7</v>
      </c>
      <c r="G534" s="4">
        <v>1104.4100000000001</v>
      </c>
    </row>
    <row r="535" spans="1:7" x14ac:dyDescent="0.3">
      <c r="A535" s="3">
        <v>46191</v>
      </c>
      <c r="B535" s="1" t="s">
        <v>569</v>
      </c>
      <c r="C535" s="1" t="s">
        <v>29</v>
      </c>
      <c r="D535" s="1" t="s">
        <v>25</v>
      </c>
      <c r="E535" s="1" t="s">
        <v>10</v>
      </c>
      <c r="F535" s="1">
        <v>12</v>
      </c>
      <c r="G535" s="4">
        <v>4642.01</v>
      </c>
    </row>
    <row r="536" spans="1:7" x14ac:dyDescent="0.3">
      <c r="A536" s="3">
        <v>46135</v>
      </c>
      <c r="B536" s="1" t="s">
        <v>570</v>
      </c>
      <c r="C536" s="1" t="s">
        <v>21</v>
      </c>
      <c r="D536" s="1" t="s">
        <v>25</v>
      </c>
      <c r="E536" s="1" t="s">
        <v>22</v>
      </c>
      <c r="F536" s="1">
        <v>12</v>
      </c>
      <c r="G536" s="4">
        <v>5033.1400000000003</v>
      </c>
    </row>
    <row r="537" spans="1:7" x14ac:dyDescent="0.3">
      <c r="A537" s="3">
        <v>46176</v>
      </c>
      <c r="B537" s="1" t="s">
        <v>571</v>
      </c>
      <c r="C537" s="1" t="s">
        <v>40</v>
      </c>
      <c r="D537" s="1" t="s">
        <v>13</v>
      </c>
      <c r="E537" s="1" t="s">
        <v>26</v>
      </c>
      <c r="F537" s="1">
        <v>12</v>
      </c>
      <c r="G537" s="4">
        <v>4534.41</v>
      </c>
    </row>
    <row r="538" spans="1:7" x14ac:dyDescent="0.3">
      <c r="A538" s="3">
        <v>46160</v>
      </c>
      <c r="B538" s="1" t="s">
        <v>572</v>
      </c>
      <c r="C538" s="1" t="s">
        <v>18</v>
      </c>
      <c r="D538" s="1" t="s">
        <v>19</v>
      </c>
      <c r="E538" s="1" t="s">
        <v>26</v>
      </c>
      <c r="F538" s="1">
        <v>12</v>
      </c>
      <c r="G538" s="4">
        <v>2466.42</v>
      </c>
    </row>
    <row r="539" spans="1:7" x14ac:dyDescent="0.3">
      <c r="A539" s="3">
        <v>46116</v>
      </c>
      <c r="B539" s="1" t="s">
        <v>573</v>
      </c>
      <c r="C539" s="1" t="s">
        <v>40</v>
      </c>
      <c r="D539" s="1" t="s">
        <v>16</v>
      </c>
      <c r="E539" s="1" t="s">
        <v>26</v>
      </c>
      <c r="F539" s="1">
        <v>2</v>
      </c>
      <c r="G539" s="4">
        <v>600.44000000000005</v>
      </c>
    </row>
    <row r="540" spans="1:7" x14ac:dyDescent="0.3">
      <c r="A540" s="3">
        <v>46186</v>
      </c>
      <c r="B540" s="1" t="s">
        <v>574</v>
      </c>
      <c r="C540" s="1" t="s">
        <v>21</v>
      </c>
      <c r="D540" s="1" t="s">
        <v>48</v>
      </c>
      <c r="E540" s="1" t="s">
        <v>22</v>
      </c>
      <c r="F540" s="1">
        <v>6</v>
      </c>
      <c r="G540" s="4">
        <v>1549.62</v>
      </c>
    </row>
    <row r="541" spans="1:7" x14ac:dyDescent="0.3">
      <c r="A541" s="3">
        <v>46185</v>
      </c>
      <c r="B541" s="1" t="s">
        <v>575</v>
      </c>
      <c r="C541" s="1" t="s">
        <v>18</v>
      </c>
      <c r="D541" s="1" t="s">
        <v>34</v>
      </c>
      <c r="E541" s="1" t="s">
        <v>14</v>
      </c>
      <c r="F541" s="1">
        <v>2</v>
      </c>
      <c r="G541" s="4">
        <v>196.39</v>
      </c>
    </row>
    <row r="542" spans="1:7" x14ac:dyDescent="0.3">
      <c r="A542" s="3">
        <v>46199</v>
      </c>
      <c r="B542" s="1" t="s">
        <v>576</v>
      </c>
      <c r="C542" s="1" t="s">
        <v>21</v>
      </c>
      <c r="D542" s="1" t="s">
        <v>30</v>
      </c>
      <c r="E542" s="1" t="s">
        <v>22</v>
      </c>
      <c r="F542" s="1">
        <v>1</v>
      </c>
      <c r="G542" s="4">
        <v>159.15</v>
      </c>
    </row>
    <row r="543" spans="1:7" x14ac:dyDescent="0.3">
      <c r="A543" s="3">
        <v>46114</v>
      </c>
      <c r="B543" s="1" t="s">
        <v>577</v>
      </c>
      <c r="C543" s="1" t="s">
        <v>12</v>
      </c>
      <c r="D543" s="1" t="s">
        <v>25</v>
      </c>
      <c r="E543" s="1" t="s">
        <v>14</v>
      </c>
      <c r="F543" s="1">
        <v>7</v>
      </c>
      <c r="G543" s="4">
        <v>2615.34</v>
      </c>
    </row>
    <row r="544" spans="1:7" x14ac:dyDescent="0.3">
      <c r="A544" s="3">
        <v>46135</v>
      </c>
      <c r="B544" s="1" t="s">
        <v>578</v>
      </c>
      <c r="C544" s="1" t="s">
        <v>74</v>
      </c>
      <c r="D544" s="1" t="s">
        <v>13</v>
      </c>
      <c r="E544" s="1" t="s">
        <v>32</v>
      </c>
      <c r="F544" s="1">
        <v>4</v>
      </c>
      <c r="G544" s="4">
        <v>1499.76</v>
      </c>
    </row>
    <row r="545" spans="1:7" x14ac:dyDescent="0.3">
      <c r="A545" s="3">
        <v>46166</v>
      </c>
      <c r="B545" s="1" t="s">
        <v>579</v>
      </c>
      <c r="C545" s="1" t="s">
        <v>40</v>
      </c>
      <c r="D545" s="1" t="s">
        <v>82</v>
      </c>
      <c r="E545" s="1" t="s">
        <v>10</v>
      </c>
      <c r="F545" s="1">
        <v>6</v>
      </c>
      <c r="G545" s="4">
        <v>709.68</v>
      </c>
    </row>
    <row r="546" spans="1:7" x14ac:dyDescent="0.3">
      <c r="A546" s="3">
        <v>46199</v>
      </c>
      <c r="B546" s="1" t="s">
        <v>580</v>
      </c>
      <c r="C546" s="1" t="s">
        <v>74</v>
      </c>
      <c r="D546" s="1" t="s">
        <v>53</v>
      </c>
      <c r="E546" s="1" t="s">
        <v>22</v>
      </c>
      <c r="F546" s="1">
        <v>9</v>
      </c>
      <c r="G546" s="4">
        <v>2779.03</v>
      </c>
    </row>
    <row r="547" spans="1:7" x14ac:dyDescent="0.3">
      <c r="A547" s="3">
        <v>46164</v>
      </c>
      <c r="B547" s="1" t="s">
        <v>581</v>
      </c>
      <c r="C547" s="1" t="s">
        <v>21</v>
      </c>
      <c r="D547" s="1" t="s">
        <v>48</v>
      </c>
      <c r="E547" s="1" t="s">
        <v>26</v>
      </c>
      <c r="F547" s="1">
        <v>6</v>
      </c>
      <c r="G547" s="4">
        <v>1543.83</v>
      </c>
    </row>
    <row r="548" spans="1:7" x14ac:dyDescent="0.3">
      <c r="A548" s="3">
        <v>46171</v>
      </c>
      <c r="B548" s="1" t="s">
        <v>582</v>
      </c>
      <c r="C548" s="1" t="s">
        <v>74</v>
      </c>
      <c r="D548" s="1" t="s">
        <v>34</v>
      </c>
      <c r="E548" s="1" t="s">
        <v>22</v>
      </c>
      <c r="F548" s="1">
        <v>10</v>
      </c>
      <c r="G548" s="4">
        <v>996.45</v>
      </c>
    </row>
    <row r="549" spans="1:7" x14ac:dyDescent="0.3">
      <c r="A549" s="3">
        <v>46192</v>
      </c>
      <c r="B549" s="1" t="s">
        <v>583</v>
      </c>
      <c r="C549" s="1" t="s">
        <v>12</v>
      </c>
      <c r="D549" s="1" t="s">
        <v>48</v>
      </c>
      <c r="E549" s="1" t="s">
        <v>14</v>
      </c>
      <c r="F549" s="1">
        <v>8</v>
      </c>
      <c r="G549" s="4">
        <v>1830.95</v>
      </c>
    </row>
    <row r="550" spans="1:7" x14ac:dyDescent="0.3">
      <c r="A550" s="3">
        <v>46138</v>
      </c>
      <c r="B550" s="1" t="s">
        <v>584</v>
      </c>
      <c r="C550" s="1" t="s">
        <v>8</v>
      </c>
      <c r="D550" s="1" t="s">
        <v>30</v>
      </c>
      <c r="E550" s="1" t="s">
        <v>10</v>
      </c>
      <c r="F550" s="1">
        <v>7</v>
      </c>
      <c r="G550" s="4">
        <v>1116.79</v>
      </c>
    </row>
    <row r="551" spans="1:7" x14ac:dyDescent="0.3">
      <c r="A551" s="3">
        <v>46182</v>
      </c>
      <c r="B551" s="1" t="s">
        <v>585</v>
      </c>
      <c r="C551" s="1" t="s">
        <v>40</v>
      </c>
      <c r="D551" s="1" t="s">
        <v>43</v>
      </c>
      <c r="E551" s="1" t="s">
        <v>22</v>
      </c>
      <c r="F551" s="1">
        <v>6</v>
      </c>
      <c r="G551" s="4">
        <v>2039.64</v>
      </c>
    </row>
    <row r="552" spans="1:7" x14ac:dyDescent="0.3">
      <c r="A552" s="3">
        <v>46197</v>
      </c>
      <c r="B552" s="1" t="s">
        <v>586</v>
      </c>
      <c r="C552" s="1" t="s">
        <v>46</v>
      </c>
      <c r="D552" s="1" t="s">
        <v>19</v>
      </c>
      <c r="E552" s="1" t="s">
        <v>32</v>
      </c>
      <c r="F552" s="1">
        <v>2</v>
      </c>
      <c r="G552" s="4">
        <v>448.67</v>
      </c>
    </row>
    <row r="553" spans="1:7" x14ac:dyDescent="0.3">
      <c r="A553" s="3">
        <v>46143</v>
      </c>
      <c r="B553" s="1" t="s">
        <v>587</v>
      </c>
      <c r="C553" s="1" t="s">
        <v>46</v>
      </c>
      <c r="D553" s="1" t="s">
        <v>48</v>
      </c>
      <c r="E553" s="1" t="s">
        <v>14</v>
      </c>
      <c r="F553" s="1">
        <v>12</v>
      </c>
      <c r="G553" s="4">
        <v>3015.23</v>
      </c>
    </row>
    <row r="554" spans="1:7" x14ac:dyDescent="0.3">
      <c r="A554" s="3">
        <v>46118</v>
      </c>
      <c r="B554" s="1" t="s">
        <v>588</v>
      </c>
      <c r="C554" s="1" t="s">
        <v>12</v>
      </c>
      <c r="D554" s="1" t="s">
        <v>13</v>
      </c>
      <c r="E554" s="1" t="s">
        <v>14</v>
      </c>
      <c r="F554" s="1">
        <v>6</v>
      </c>
      <c r="G554" s="4">
        <v>2211.2600000000002</v>
      </c>
    </row>
    <row r="555" spans="1:7" x14ac:dyDescent="0.3">
      <c r="A555" s="3">
        <v>46123</v>
      </c>
      <c r="B555" s="1" t="s">
        <v>589</v>
      </c>
      <c r="C555" s="1" t="s">
        <v>29</v>
      </c>
      <c r="D555" s="1" t="s">
        <v>9</v>
      </c>
      <c r="E555" s="1" t="s">
        <v>10</v>
      </c>
      <c r="F555" s="1">
        <v>11</v>
      </c>
      <c r="G555" s="4">
        <v>2776.94</v>
      </c>
    </row>
    <row r="556" spans="1:7" x14ac:dyDescent="0.3">
      <c r="A556" s="3">
        <v>46122</v>
      </c>
      <c r="B556" s="1" t="s">
        <v>590</v>
      </c>
      <c r="C556" s="1" t="s">
        <v>29</v>
      </c>
      <c r="D556" s="1" t="s">
        <v>36</v>
      </c>
      <c r="E556" s="1" t="s">
        <v>10</v>
      </c>
      <c r="F556" s="1">
        <v>11</v>
      </c>
      <c r="G556" s="4">
        <v>1848.17</v>
      </c>
    </row>
    <row r="557" spans="1:7" x14ac:dyDescent="0.3">
      <c r="A557" s="3">
        <v>46143</v>
      </c>
      <c r="B557" s="1" t="s">
        <v>591</v>
      </c>
      <c r="C557" s="1" t="s">
        <v>24</v>
      </c>
      <c r="D557" s="1" t="s">
        <v>82</v>
      </c>
      <c r="E557" s="1" t="s">
        <v>32</v>
      </c>
      <c r="F557" s="1">
        <v>12</v>
      </c>
      <c r="G557" s="4">
        <v>1296.25</v>
      </c>
    </row>
    <row r="558" spans="1:7" x14ac:dyDescent="0.3">
      <c r="A558" s="3">
        <v>46154</v>
      </c>
      <c r="B558" s="1" t="s">
        <v>592</v>
      </c>
      <c r="C558" s="1" t="s">
        <v>40</v>
      </c>
      <c r="D558" s="1" t="s">
        <v>48</v>
      </c>
      <c r="E558" s="1" t="s">
        <v>26</v>
      </c>
      <c r="F558" s="1">
        <v>2</v>
      </c>
      <c r="G558" s="4">
        <v>461.12</v>
      </c>
    </row>
    <row r="559" spans="1:7" x14ac:dyDescent="0.3">
      <c r="A559" s="3">
        <v>46130</v>
      </c>
      <c r="B559" s="1" t="s">
        <v>593</v>
      </c>
      <c r="C559" s="1" t="s">
        <v>29</v>
      </c>
      <c r="D559" s="1" t="s">
        <v>9</v>
      </c>
      <c r="E559" s="1" t="s">
        <v>10</v>
      </c>
      <c r="F559" s="1">
        <v>3</v>
      </c>
      <c r="G559" s="4">
        <v>794.68</v>
      </c>
    </row>
    <row r="560" spans="1:7" x14ac:dyDescent="0.3">
      <c r="A560" s="3">
        <v>46153</v>
      </c>
      <c r="B560" s="1" t="s">
        <v>594</v>
      </c>
      <c r="C560" s="1" t="s">
        <v>46</v>
      </c>
      <c r="D560" s="1" t="s">
        <v>9</v>
      </c>
      <c r="E560" s="1" t="s">
        <v>32</v>
      </c>
      <c r="F560" s="1">
        <v>4</v>
      </c>
      <c r="G560" s="4">
        <v>1059.26</v>
      </c>
    </row>
    <row r="561" spans="1:7" x14ac:dyDescent="0.3">
      <c r="A561" s="3">
        <v>46172</v>
      </c>
      <c r="B561" s="1" t="s">
        <v>595</v>
      </c>
      <c r="C561" s="1" t="s">
        <v>24</v>
      </c>
      <c r="D561" s="1" t="s">
        <v>9</v>
      </c>
      <c r="E561" s="1" t="s">
        <v>26</v>
      </c>
      <c r="F561" s="1">
        <v>11</v>
      </c>
      <c r="G561" s="4">
        <v>2967.56</v>
      </c>
    </row>
    <row r="562" spans="1:7" x14ac:dyDescent="0.3">
      <c r="A562" s="3">
        <v>46203</v>
      </c>
      <c r="B562" s="1" t="s">
        <v>596</v>
      </c>
      <c r="C562" s="1" t="s">
        <v>29</v>
      </c>
      <c r="D562" s="1" t="s">
        <v>25</v>
      </c>
      <c r="E562" s="1" t="s">
        <v>10</v>
      </c>
      <c r="F562" s="1">
        <v>6</v>
      </c>
      <c r="G562" s="4">
        <v>2475.15</v>
      </c>
    </row>
    <row r="563" spans="1:7" x14ac:dyDescent="0.3">
      <c r="A563" s="3">
        <v>46144</v>
      </c>
      <c r="B563" s="1" t="s">
        <v>597</v>
      </c>
      <c r="C563" s="1" t="s">
        <v>40</v>
      </c>
      <c r="D563" s="1" t="s">
        <v>16</v>
      </c>
      <c r="E563" s="1" t="s">
        <v>26</v>
      </c>
      <c r="F563" s="1">
        <v>11</v>
      </c>
      <c r="G563" s="4">
        <v>3287.71</v>
      </c>
    </row>
    <row r="564" spans="1:7" x14ac:dyDescent="0.3">
      <c r="A564" s="3">
        <v>46135</v>
      </c>
      <c r="B564" s="1" t="s">
        <v>598</v>
      </c>
      <c r="C564" s="1" t="s">
        <v>74</v>
      </c>
      <c r="D564" s="1" t="s">
        <v>16</v>
      </c>
      <c r="E564" s="1" t="s">
        <v>10</v>
      </c>
      <c r="F564" s="1">
        <v>12</v>
      </c>
      <c r="G564" s="4">
        <v>3474.43</v>
      </c>
    </row>
    <row r="565" spans="1:7" x14ac:dyDescent="0.3">
      <c r="A565" s="3">
        <v>46125</v>
      </c>
      <c r="B565" s="1" t="s">
        <v>599</v>
      </c>
      <c r="C565" s="1" t="s">
        <v>38</v>
      </c>
      <c r="D565" s="1" t="s">
        <v>9</v>
      </c>
      <c r="E565" s="1" t="s">
        <v>14</v>
      </c>
      <c r="F565" s="1">
        <v>2</v>
      </c>
      <c r="G565" s="4">
        <v>559.20000000000005</v>
      </c>
    </row>
    <row r="566" spans="1:7" x14ac:dyDescent="0.3">
      <c r="A566" s="3">
        <v>46141</v>
      </c>
      <c r="B566" s="1" t="s">
        <v>600</v>
      </c>
      <c r="C566" s="1" t="s">
        <v>18</v>
      </c>
      <c r="D566" s="1" t="s">
        <v>30</v>
      </c>
      <c r="E566" s="1" t="s">
        <v>26</v>
      </c>
      <c r="F566" s="1">
        <v>11</v>
      </c>
      <c r="G566" s="4">
        <v>1626.88</v>
      </c>
    </row>
    <row r="567" spans="1:7" x14ac:dyDescent="0.3">
      <c r="A567" s="3">
        <v>46195</v>
      </c>
      <c r="B567" s="1" t="s">
        <v>601</v>
      </c>
      <c r="C567" s="1" t="s">
        <v>21</v>
      </c>
      <c r="D567" s="1" t="s">
        <v>36</v>
      </c>
      <c r="E567" s="1" t="s">
        <v>22</v>
      </c>
      <c r="F567" s="1">
        <v>2</v>
      </c>
      <c r="G567" s="4">
        <v>379.01</v>
      </c>
    </row>
    <row r="568" spans="1:7" x14ac:dyDescent="0.3">
      <c r="A568" s="3">
        <v>46121</v>
      </c>
      <c r="B568" s="1" t="s">
        <v>602</v>
      </c>
      <c r="C568" s="1" t="s">
        <v>12</v>
      </c>
      <c r="D568" s="1" t="s">
        <v>43</v>
      </c>
      <c r="E568" s="1" t="s">
        <v>14</v>
      </c>
      <c r="F568" s="1">
        <v>3</v>
      </c>
      <c r="G568" s="4">
        <v>1008.74</v>
      </c>
    </row>
    <row r="569" spans="1:7" x14ac:dyDescent="0.3">
      <c r="A569" s="3">
        <v>46155</v>
      </c>
      <c r="B569" s="1" t="s">
        <v>603</v>
      </c>
      <c r="C569" s="1" t="s">
        <v>21</v>
      </c>
      <c r="D569" s="1" t="s">
        <v>25</v>
      </c>
      <c r="E569" s="1" t="s">
        <v>22</v>
      </c>
      <c r="F569" s="1">
        <v>3</v>
      </c>
      <c r="G569" s="4">
        <v>1120.27</v>
      </c>
    </row>
    <row r="570" spans="1:7" x14ac:dyDescent="0.3">
      <c r="A570" s="3">
        <v>46168</v>
      </c>
      <c r="B570" s="1" t="s">
        <v>604</v>
      </c>
      <c r="C570" s="1" t="s">
        <v>46</v>
      </c>
      <c r="D570" s="1" t="s">
        <v>48</v>
      </c>
      <c r="E570" s="1" t="s">
        <v>32</v>
      </c>
      <c r="F570" s="1">
        <v>11</v>
      </c>
      <c r="G570" s="4">
        <v>2713.57</v>
      </c>
    </row>
    <row r="571" spans="1:7" x14ac:dyDescent="0.3">
      <c r="A571" s="3">
        <v>46158</v>
      </c>
      <c r="B571" s="1" t="s">
        <v>605</v>
      </c>
      <c r="C571" s="1" t="s">
        <v>12</v>
      </c>
      <c r="D571" s="1" t="s">
        <v>53</v>
      </c>
      <c r="E571" s="1" t="s">
        <v>14</v>
      </c>
      <c r="F571" s="1">
        <v>8</v>
      </c>
      <c r="G571" s="4">
        <v>2503.17</v>
      </c>
    </row>
    <row r="572" spans="1:7" x14ac:dyDescent="0.3">
      <c r="A572" s="3">
        <v>46117</v>
      </c>
      <c r="B572" s="1" t="s">
        <v>606</v>
      </c>
      <c r="C572" s="1" t="s">
        <v>29</v>
      </c>
      <c r="D572" s="1" t="s">
        <v>36</v>
      </c>
      <c r="E572" s="1" t="s">
        <v>10</v>
      </c>
      <c r="F572" s="1">
        <v>11</v>
      </c>
      <c r="G572" s="4">
        <v>2015.99</v>
      </c>
    </row>
    <row r="573" spans="1:7" x14ac:dyDescent="0.3">
      <c r="A573" s="3">
        <v>46165</v>
      </c>
      <c r="B573" s="1" t="s">
        <v>607</v>
      </c>
      <c r="C573" s="1" t="s">
        <v>8</v>
      </c>
      <c r="D573" s="1" t="s">
        <v>48</v>
      </c>
      <c r="E573" s="1" t="s">
        <v>10</v>
      </c>
      <c r="F573" s="1">
        <v>5</v>
      </c>
      <c r="G573" s="4">
        <v>1240.25</v>
      </c>
    </row>
    <row r="574" spans="1:7" x14ac:dyDescent="0.3">
      <c r="A574" s="3">
        <v>46166</v>
      </c>
      <c r="B574" s="1" t="s">
        <v>608</v>
      </c>
      <c r="C574" s="1" t="s">
        <v>12</v>
      </c>
      <c r="D574" s="1" t="s">
        <v>43</v>
      </c>
      <c r="E574" s="1"/>
      <c r="F574" s="1">
        <v>4</v>
      </c>
      <c r="G574" s="4">
        <v>1257.06</v>
      </c>
    </row>
    <row r="575" spans="1:7" x14ac:dyDescent="0.3">
      <c r="A575" s="3">
        <v>46182</v>
      </c>
      <c r="B575" s="1" t="s">
        <v>609</v>
      </c>
      <c r="C575" s="1" t="s">
        <v>74</v>
      </c>
      <c r="D575" s="1" t="s">
        <v>16</v>
      </c>
      <c r="E575" s="1" t="s">
        <v>26</v>
      </c>
      <c r="F575" s="1">
        <v>8</v>
      </c>
      <c r="G575" s="4">
        <v>2317.9499999999998</v>
      </c>
    </row>
    <row r="576" spans="1:7" x14ac:dyDescent="0.3">
      <c r="A576" s="3">
        <v>46175</v>
      </c>
      <c r="B576" s="1" t="s">
        <v>610</v>
      </c>
      <c r="C576" s="1" t="s">
        <v>40</v>
      </c>
      <c r="D576" s="1" t="s">
        <v>36</v>
      </c>
      <c r="E576" s="1" t="s">
        <v>26</v>
      </c>
      <c r="F576" s="1">
        <v>7</v>
      </c>
      <c r="G576" s="4">
        <v>1286.8399999999999</v>
      </c>
    </row>
    <row r="577" spans="1:7" x14ac:dyDescent="0.3">
      <c r="A577" s="3">
        <v>46116</v>
      </c>
      <c r="B577" s="1" t="s">
        <v>611</v>
      </c>
      <c r="C577" s="1" t="s">
        <v>40</v>
      </c>
      <c r="D577" s="1" t="s">
        <v>36</v>
      </c>
      <c r="E577" s="1" t="s">
        <v>26</v>
      </c>
      <c r="F577" s="1">
        <v>5</v>
      </c>
      <c r="G577" s="4">
        <v>943.32</v>
      </c>
    </row>
    <row r="578" spans="1:7" x14ac:dyDescent="0.3">
      <c r="A578" s="3">
        <v>46173</v>
      </c>
      <c r="B578" s="1" t="s">
        <v>612</v>
      </c>
      <c r="C578" s="1" t="s">
        <v>8</v>
      </c>
      <c r="D578" s="1" t="s">
        <v>34</v>
      </c>
      <c r="E578" s="1" t="s">
        <v>10</v>
      </c>
      <c r="F578" s="1">
        <v>4</v>
      </c>
      <c r="G578" s="4">
        <v>388.57</v>
      </c>
    </row>
    <row r="579" spans="1:7" x14ac:dyDescent="0.3">
      <c r="A579" s="3">
        <v>46125</v>
      </c>
      <c r="B579" s="1" t="s">
        <v>613</v>
      </c>
      <c r="C579" s="1" t="s">
        <v>12</v>
      </c>
      <c r="D579" s="1" t="s">
        <v>43</v>
      </c>
      <c r="E579" s="1" t="s">
        <v>14</v>
      </c>
      <c r="F579" s="1">
        <v>9</v>
      </c>
      <c r="G579" s="4">
        <v>2760.26</v>
      </c>
    </row>
    <row r="580" spans="1:7" x14ac:dyDescent="0.3">
      <c r="A580" s="3">
        <v>46120</v>
      </c>
      <c r="B580" s="1" t="s">
        <v>614</v>
      </c>
      <c r="C580" s="1" t="s">
        <v>12</v>
      </c>
      <c r="D580" s="1" t="s">
        <v>36</v>
      </c>
      <c r="E580" s="1" t="s">
        <v>32</v>
      </c>
      <c r="F580" s="1">
        <v>6</v>
      </c>
      <c r="G580" s="4">
        <v>1012.06</v>
      </c>
    </row>
    <row r="581" spans="1:7" x14ac:dyDescent="0.3">
      <c r="A581" s="3">
        <v>46135</v>
      </c>
      <c r="B581" s="1" t="s">
        <v>615</v>
      </c>
      <c r="C581" s="1" t="s">
        <v>18</v>
      </c>
      <c r="D581" s="1" t="s">
        <v>30</v>
      </c>
      <c r="E581" s="1" t="s">
        <v>14</v>
      </c>
      <c r="F581" s="1">
        <v>12</v>
      </c>
      <c r="G581" s="4">
        <v>1759.27</v>
      </c>
    </row>
    <row r="582" spans="1:7" x14ac:dyDescent="0.3">
      <c r="A582" s="3">
        <v>46188</v>
      </c>
      <c r="B582" s="1" t="s">
        <v>616</v>
      </c>
      <c r="C582" s="1" t="s">
        <v>74</v>
      </c>
      <c r="D582" s="1" t="s">
        <v>19</v>
      </c>
      <c r="E582" s="1" t="s">
        <v>22</v>
      </c>
      <c r="F582" s="1">
        <v>10</v>
      </c>
      <c r="G582" s="4">
        <v>2144.44</v>
      </c>
    </row>
    <row r="583" spans="1:7" x14ac:dyDescent="0.3">
      <c r="A583" s="3">
        <v>46185</v>
      </c>
      <c r="B583" s="1" t="s">
        <v>617</v>
      </c>
      <c r="C583" s="1" t="s">
        <v>12</v>
      </c>
      <c r="D583" s="1" t="s">
        <v>48</v>
      </c>
      <c r="E583" s="1" t="s">
        <v>14</v>
      </c>
      <c r="F583" s="1">
        <v>3</v>
      </c>
      <c r="G583" s="4">
        <v>734.1</v>
      </c>
    </row>
    <row r="584" spans="1:7" x14ac:dyDescent="0.3">
      <c r="A584" s="3">
        <v>46124</v>
      </c>
      <c r="B584" s="1" t="s">
        <v>618</v>
      </c>
      <c r="C584" s="1" t="s">
        <v>74</v>
      </c>
      <c r="D584" s="1" t="s">
        <v>30</v>
      </c>
      <c r="E584" s="1" t="s">
        <v>22</v>
      </c>
      <c r="F584" s="1">
        <v>1</v>
      </c>
      <c r="G584" s="4">
        <v>149.88999999999999</v>
      </c>
    </row>
    <row r="585" spans="1:7" x14ac:dyDescent="0.3">
      <c r="A585" s="3">
        <v>46113</v>
      </c>
      <c r="B585" s="1" t="s">
        <v>619</v>
      </c>
      <c r="C585" s="1" t="s">
        <v>40</v>
      </c>
      <c r="D585" s="1" t="s">
        <v>36</v>
      </c>
      <c r="E585" s="1" t="s">
        <v>26</v>
      </c>
      <c r="F585" s="1">
        <v>3</v>
      </c>
      <c r="G585" s="4">
        <v>546.69000000000005</v>
      </c>
    </row>
    <row r="586" spans="1:7" x14ac:dyDescent="0.3">
      <c r="A586" s="3">
        <v>46135</v>
      </c>
      <c r="B586" s="1" t="s">
        <v>620</v>
      </c>
      <c r="C586" s="1" t="s">
        <v>40</v>
      </c>
      <c r="D586" s="1" t="s">
        <v>25</v>
      </c>
      <c r="E586" s="1" t="s">
        <v>26</v>
      </c>
      <c r="F586" s="1">
        <v>10</v>
      </c>
      <c r="G586" s="4">
        <v>3844.83</v>
      </c>
    </row>
    <row r="587" spans="1:7" x14ac:dyDescent="0.3">
      <c r="A587" s="3">
        <v>46131</v>
      </c>
      <c r="B587" s="1" t="s">
        <v>621</v>
      </c>
      <c r="C587" s="1" t="s">
        <v>21</v>
      </c>
      <c r="D587" s="1" t="s">
        <v>13</v>
      </c>
      <c r="E587" s="1" t="s">
        <v>22</v>
      </c>
      <c r="F587" s="1">
        <v>6</v>
      </c>
      <c r="G587" s="4">
        <v>2142.17</v>
      </c>
    </row>
    <row r="588" spans="1:7" x14ac:dyDescent="0.3">
      <c r="A588" s="3">
        <v>46197</v>
      </c>
      <c r="B588" s="1" t="s">
        <v>622</v>
      </c>
      <c r="C588" s="1" t="s">
        <v>46</v>
      </c>
      <c r="D588" s="1" t="s">
        <v>36</v>
      </c>
      <c r="E588" s="1" t="s">
        <v>32</v>
      </c>
      <c r="F588" s="1">
        <v>5</v>
      </c>
      <c r="G588" s="4">
        <v>913.22</v>
      </c>
    </row>
    <row r="589" spans="1:7" x14ac:dyDescent="0.3">
      <c r="A589" s="3">
        <v>46133</v>
      </c>
      <c r="B589" s="1" t="s">
        <v>623</v>
      </c>
      <c r="C589" s="1" t="s">
        <v>46</v>
      </c>
      <c r="D589" s="1" t="s">
        <v>43</v>
      </c>
      <c r="E589" s="1" t="s">
        <v>26</v>
      </c>
      <c r="F589" s="1">
        <v>3</v>
      </c>
      <c r="G589" s="4">
        <v>933.44</v>
      </c>
    </row>
    <row r="590" spans="1:7" x14ac:dyDescent="0.3">
      <c r="A590" s="3">
        <v>46184</v>
      </c>
      <c r="B590" s="1" t="s">
        <v>624</v>
      </c>
      <c r="C590" s="1" t="s">
        <v>29</v>
      </c>
      <c r="D590" s="1" t="s">
        <v>34</v>
      </c>
      <c r="E590" s="1" t="s">
        <v>10</v>
      </c>
      <c r="F590" s="1">
        <v>10</v>
      </c>
      <c r="G590" s="4">
        <v>992.49</v>
      </c>
    </row>
    <row r="591" spans="1:7" x14ac:dyDescent="0.3">
      <c r="A591" s="3">
        <v>46161</v>
      </c>
      <c r="B591" s="1" t="s">
        <v>625</v>
      </c>
      <c r="C591" s="1" t="s">
        <v>24</v>
      </c>
      <c r="D591" s="1" t="s">
        <v>19</v>
      </c>
      <c r="E591" s="1" t="s">
        <v>26</v>
      </c>
      <c r="F591" s="1">
        <v>3</v>
      </c>
      <c r="G591" s="4">
        <v>675.29</v>
      </c>
    </row>
    <row r="592" spans="1:7" x14ac:dyDescent="0.3">
      <c r="A592" s="3">
        <v>46113</v>
      </c>
      <c r="B592" s="1" t="s">
        <v>626</v>
      </c>
      <c r="C592" s="1" t="s">
        <v>29</v>
      </c>
      <c r="D592" s="1" t="s">
        <v>16</v>
      </c>
      <c r="E592" s="1" t="s">
        <v>10</v>
      </c>
      <c r="F592" s="1">
        <v>1</v>
      </c>
      <c r="G592" s="4">
        <v>303.23</v>
      </c>
    </row>
    <row r="593" spans="1:7" x14ac:dyDescent="0.3">
      <c r="A593" s="3">
        <v>46153</v>
      </c>
      <c r="B593" s="1" t="s">
        <v>627</v>
      </c>
      <c r="C593" s="1" t="s">
        <v>29</v>
      </c>
      <c r="D593" s="1" t="s">
        <v>30</v>
      </c>
      <c r="E593" s="1" t="s">
        <v>10</v>
      </c>
      <c r="F593" s="1">
        <v>2</v>
      </c>
      <c r="G593" s="4">
        <v>284.02999999999997</v>
      </c>
    </row>
    <row r="594" spans="1:7" x14ac:dyDescent="0.3">
      <c r="A594" s="3">
        <v>46131</v>
      </c>
      <c r="B594" s="1" t="s">
        <v>628</v>
      </c>
      <c r="C594" s="1" t="s">
        <v>40</v>
      </c>
      <c r="D594" s="1" t="s">
        <v>19</v>
      </c>
      <c r="E594" s="1" t="s">
        <v>26</v>
      </c>
      <c r="F594" s="1">
        <v>6</v>
      </c>
      <c r="G594" s="4">
        <v>1217.32</v>
      </c>
    </row>
    <row r="595" spans="1:7" x14ac:dyDescent="0.3">
      <c r="A595" s="3">
        <v>46134</v>
      </c>
      <c r="B595" s="1" t="s">
        <v>629</v>
      </c>
      <c r="C595" s="1" t="s">
        <v>21</v>
      </c>
      <c r="D595" s="1" t="s">
        <v>19</v>
      </c>
      <c r="E595" s="1" t="s">
        <v>22</v>
      </c>
      <c r="F595" s="1">
        <v>12</v>
      </c>
      <c r="G595" s="4">
        <v>2466.34</v>
      </c>
    </row>
    <row r="596" spans="1:7" x14ac:dyDescent="0.3">
      <c r="A596" s="3">
        <v>46170</v>
      </c>
      <c r="B596" s="1" t="s">
        <v>630</v>
      </c>
      <c r="C596" s="1" t="s">
        <v>74</v>
      </c>
      <c r="D596" s="1" t="s">
        <v>82</v>
      </c>
      <c r="E596" s="1" t="s">
        <v>22</v>
      </c>
      <c r="F596" s="1">
        <v>12</v>
      </c>
      <c r="G596" s="4">
        <v>1428.29</v>
      </c>
    </row>
    <row r="597" spans="1:7" x14ac:dyDescent="0.3">
      <c r="A597" s="3">
        <v>46145</v>
      </c>
      <c r="B597" s="1" t="s">
        <v>631</v>
      </c>
      <c r="C597" s="1" t="s">
        <v>21</v>
      </c>
      <c r="D597" s="1" t="s">
        <v>19</v>
      </c>
      <c r="E597" s="1" t="s">
        <v>22</v>
      </c>
      <c r="F597" s="1">
        <v>7</v>
      </c>
      <c r="G597" s="4">
        <v>1525.34</v>
      </c>
    </row>
    <row r="598" spans="1:7" x14ac:dyDescent="0.3">
      <c r="A598" s="3">
        <v>46166</v>
      </c>
      <c r="B598" s="1" t="s">
        <v>632</v>
      </c>
      <c r="C598" s="1" t="s">
        <v>18</v>
      </c>
      <c r="D598" s="1" t="s">
        <v>16</v>
      </c>
      <c r="E598" s="1" t="s">
        <v>14</v>
      </c>
      <c r="F598" s="1">
        <v>7</v>
      </c>
      <c r="G598" s="4">
        <v>2078.54</v>
      </c>
    </row>
    <row r="599" spans="1:7" x14ac:dyDescent="0.3">
      <c r="A599" s="3">
        <v>46161</v>
      </c>
      <c r="B599" s="1" t="s">
        <v>633</v>
      </c>
      <c r="C599" s="1" t="s">
        <v>21</v>
      </c>
      <c r="D599" s="1" t="s">
        <v>48</v>
      </c>
      <c r="E599" s="1" t="s">
        <v>10</v>
      </c>
      <c r="F599" s="1">
        <v>11</v>
      </c>
      <c r="G599" s="4">
        <v>2599.77</v>
      </c>
    </row>
    <row r="600" spans="1:7" x14ac:dyDescent="0.3">
      <c r="A600" s="3">
        <v>46141</v>
      </c>
      <c r="B600" s="1" t="s">
        <v>634</v>
      </c>
      <c r="C600" s="1" t="s">
        <v>18</v>
      </c>
      <c r="D600" s="1" t="s">
        <v>48</v>
      </c>
      <c r="E600" s="1" t="s">
        <v>14</v>
      </c>
      <c r="F600" s="1">
        <v>1</v>
      </c>
      <c r="G600" s="4">
        <v>250.8</v>
      </c>
    </row>
    <row r="601" spans="1:7" x14ac:dyDescent="0.3">
      <c r="A601" s="3">
        <v>46153</v>
      </c>
      <c r="B601" s="1" t="s">
        <v>635</v>
      </c>
      <c r="C601" s="1" t="s">
        <v>24</v>
      </c>
      <c r="D601" s="1" t="s">
        <v>9</v>
      </c>
      <c r="E601" s="1" t="s">
        <v>26</v>
      </c>
      <c r="F601" s="1">
        <v>3</v>
      </c>
      <c r="G601" s="4">
        <v>750.5</v>
      </c>
    </row>
    <row r="602" spans="1:7" x14ac:dyDescent="0.3">
      <c r="A602" s="3">
        <v>46133</v>
      </c>
      <c r="B602" s="1" t="s">
        <v>636</v>
      </c>
      <c r="C602" s="1" t="s">
        <v>21</v>
      </c>
      <c r="D602" s="1" t="s">
        <v>13</v>
      </c>
      <c r="E602" s="1" t="s">
        <v>22</v>
      </c>
      <c r="F602" s="1">
        <v>6</v>
      </c>
      <c r="G602" s="4">
        <v>2173.1999999999998</v>
      </c>
    </row>
    <row r="603" spans="1:7" x14ac:dyDescent="0.3">
      <c r="A603" s="3">
        <v>46191</v>
      </c>
      <c r="B603" s="1" t="s">
        <v>637</v>
      </c>
      <c r="C603" s="1" t="s">
        <v>38</v>
      </c>
      <c r="D603" s="1" t="s">
        <v>19</v>
      </c>
      <c r="E603" s="1" t="s">
        <v>32</v>
      </c>
      <c r="F603" s="1">
        <v>11</v>
      </c>
      <c r="G603" s="4">
        <v>2479.91</v>
      </c>
    </row>
    <row r="604" spans="1:7" x14ac:dyDescent="0.3">
      <c r="A604" s="3">
        <v>46168</v>
      </c>
      <c r="B604" s="1" t="s">
        <v>638</v>
      </c>
      <c r="C604" s="1" t="s">
        <v>18</v>
      </c>
      <c r="D604" s="1" t="s">
        <v>25</v>
      </c>
      <c r="E604" s="1" t="s">
        <v>14</v>
      </c>
      <c r="F604" s="1">
        <v>4</v>
      </c>
      <c r="G604" s="4">
        <v>1483.56</v>
      </c>
    </row>
    <row r="605" spans="1:7" x14ac:dyDescent="0.3">
      <c r="A605" s="3">
        <v>46165</v>
      </c>
      <c r="B605" s="1" t="s">
        <v>639</v>
      </c>
      <c r="C605" s="1" t="s">
        <v>8</v>
      </c>
      <c r="D605" s="1" t="s">
        <v>19</v>
      </c>
      <c r="E605" s="1" t="s">
        <v>10</v>
      </c>
      <c r="F605" s="1">
        <v>5</v>
      </c>
      <c r="G605" s="4">
        <v>1058.8399999999999</v>
      </c>
    </row>
    <row r="606" spans="1:7" x14ac:dyDescent="0.3">
      <c r="A606" s="3">
        <v>46151</v>
      </c>
      <c r="B606" s="1" t="s">
        <v>640</v>
      </c>
      <c r="C606" s="1" t="s">
        <v>12</v>
      </c>
      <c r="D606" s="1" t="s">
        <v>9</v>
      </c>
      <c r="E606" s="1" t="s">
        <v>14</v>
      </c>
      <c r="F606" s="1">
        <v>10</v>
      </c>
      <c r="G606" s="4">
        <v>2615.31</v>
      </c>
    </row>
    <row r="607" spans="1:7" x14ac:dyDescent="0.3">
      <c r="A607" s="3">
        <v>46175</v>
      </c>
      <c r="B607" s="1" t="s">
        <v>641</v>
      </c>
      <c r="C607" s="1" t="s">
        <v>18</v>
      </c>
      <c r="D607" s="1" t="s">
        <v>25</v>
      </c>
      <c r="E607" s="1" t="s">
        <v>14</v>
      </c>
      <c r="F607" s="1">
        <v>7</v>
      </c>
      <c r="G607" s="4">
        <v>2909.08</v>
      </c>
    </row>
    <row r="608" spans="1:7" x14ac:dyDescent="0.3">
      <c r="A608" s="3">
        <v>46197</v>
      </c>
      <c r="B608" s="1" t="s">
        <v>642</v>
      </c>
      <c r="C608" s="1" t="s">
        <v>29</v>
      </c>
      <c r="D608" s="1" t="s">
        <v>48</v>
      </c>
      <c r="E608" s="1" t="s">
        <v>10</v>
      </c>
      <c r="F608" s="1">
        <v>1</v>
      </c>
      <c r="G608" s="4">
        <v>253.54</v>
      </c>
    </row>
    <row r="609" spans="1:7" x14ac:dyDescent="0.3">
      <c r="A609" s="3">
        <v>46194</v>
      </c>
      <c r="B609" s="1" t="s">
        <v>643</v>
      </c>
      <c r="C609" s="1" t="s">
        <v>24</v>
      </c>
      <c r="D609" s="1" t="s">
        <v>9</v>
      </c>
      <c r="E609" s="1" t="s">
        <v>26</v>
      </c>
      <c r="F609" s="1">
        <v>2</v>
      </c>
      <c r="G609" s="4">
        <v>539.28</v>
      </c>
    </row>
    <row r="610" spans="1:7" x14ac:dyDescent="0.3">
      <c r="A610" s="3">
        <v>46163</v>
      </c>
      <c r="B610" s="1" t="s">
        <v>644</v>
      </c>
      <c r="C610" s="1" t="s">
        <v>38</v>
      </c>
      <c r="D610" s="1" t="s">
        <v>48</v>
      </c>
      <c r="E610" s="1" t="s">
        <v>26</v>
      </c>
      <c r="F610" s="1">
        <v>2</v>
      </c>
      <c r="G610" s="4">
        <v>479.95</v>
      </c>
    </row>
    <row r="611" spans="1:7" x14ac:dyDescent="0.3">
      <c r="A611" s="3">
        <v>46162</v>
      </c>
      <c r="B611" s="1" t="s">
        <v>645</v>
      </c>
      <c r="C611" s="1" t="s">
        <v>18</v>
      </c>
      <c r="D611" s="1" t="s">
        <v>34</v>
      </c>
      <c r="E611" s="1" t="s">
        <v>26</v>
      </c>
      <c r="F611" s="1">
        <v>3</v>
      </c>
      <c r="G611" s="4">
        <v>312.35000000000002</v>
      </c>
    </row>
    <row r="612" spans="1:7" x14ac:dyDescent="0.3">
      <c r="A612" s="3">
        <v>46146</v>
      </c>
      <c r="B612" s="1" t="s">
        <v>646</v>
      </c>
      <c r="C612" s="1" t="s">
        <v>38</v>
      </c>
      <c r="D612" s="1" t="s">
        <v>48</v>
      </c>
      <c r="E612" s="1" t="s">
        <v>32</v>
      </c>
      <c r="F612" s="1">
        <v>5</v>
      </c>
      <c r="G612" s="4">
        <v>1211.98</v>
      </c>
    </row>
    <row r="613" spans="1:7" x14ac:dyDescent="0.3">
      <c r="A613" s="3">
        <v>46132</v>
      </c>
      <c r="B613" s="1" t="s">
        <v>647</v>
      </c>
      <c r="C613" s="1" t="s">
        <v>21</v>
      </c>
      <c r="D613" s="1" t="s">
        <v>9</v>
      </c>
      <c r="E613" s="1" t="s">
        <v>22</v>
      </c>
      <c r="F613" s="1">
        <v>9</v>
      </c>
      <c r="G613" s="4">
        <v>2394.81</v>
      </c>
    </row>
    <row r="614" spans="1:7" x14ac:dyDescent="0.3">
      <c r="A614" s="3">
        <v>46188</v>
      </c>
      <c r="B614" s="1" t="s">
        <v>648</v>
      </c>
      <c r="C614" s="1" t="s">
        <v>649</v>
      </c>
      <c r="D614" s="1" t="s">
        <v>13</v>
      </c>
      <c r="E614" s="1" t="s">
        <v>14</v>
      </c>
      <c r="F614" s="1">
        <v>7</v>
      </c>
      <c r="G614" s="4">
        <v>2461.89</v>
      </c>
    </row>
    <row r="615" spans="1:7" x14ac:dyDescent="0.3">
      <c r="A615" s="3">
        <v>46166</v>
      </c>
      <c r="B615" s="1" t="s">
        <v>650</v>
      </c>
      <c r="C615" s="1" t="s">
        <v>8</v>
      </c>
      <c r="D615" s="1" t="s">
        <v>43</v>
      </c>
      <c r="E615" s="1" t="s">
        <v>32</v>
      </c>
      <c r="F615" s="1">
        <v>10</v>
      </c>
      <c r="G615" s="4">
        <v>3040.29</v>
      </c>
    </row>
    <row r="616" spans="1:7" x14ac:dyDescent="0.3">
      <c r="A616" s="3">
        <v>46173</v>
      </c>
      <c r="B616" s="1" t="s">
        <v>651</v>
      </c>
      <c r="C616" s="1" t="s">
        <v>24</v>
      </c>
      <c r="D616" s="1" t="s">
        <v>9</v>
      </c>
      <c r="E616" s="1" t="s">
        <v>26</v>
      </c>
      <c r="F616" s="1">
        <v>12</v>
      </c>
      <c r="G616" s="4">
        <v>3346</v>
      </c>
    </row>
    <row r="617" spans="1:7" x14ac:dyDescent="0.3">
      <c r="A617" s="3">
        <v>46186</v>
      </c>
      <c r="B617" s="1" t="s">
        <v>652</v>
      </c>
      <c r="C617" s="1" t="s">
        <v>8</v>
      </c>
      <c r="D617" s="1" t="s">
        <v>36</v>
      </c>
      <c r="E617" s="1" t="s">
        <v>10</v>
      </c>
      <c r="F617" s="1">
        <v>10</v>
      </c>
      <c r="G617" s="4">
        <v>1866.38</v>
      </c>
    </row>
    <row r="618" spans="1:7" x14ac:dyDescent="0.3">
      <c r="A618" s="3">
        <v>46170</v>
      </c>
      <c r="B618" s="1" t="s">
        <v>653</v>
      </c>
      <c r="C618" s="1" t="s">
        <v>18</v>
      </c>
      <c r="D618" s="1" t="s">
        <v>53</v>
      </c>
      <c r="E618" s="1" t="s">
        <v>14</v>
      </c>
      <c r="F618" s="1">
        <v>3</v>
      </c>
      <c r="G618" s="4">
        <v>1044.6199999999999</v>
      </c>
    </row>
    <row r="619" spans="1:7" x14ac:dyDescent="0.3">
      <c r="A619" s="3">
        <v>46123</v>
      </c>
      <c r="B619" s="1" t="s">
        <v>654</v>
      </c>
      <c r="C619" s="1" t="s">
        <v>46</v>
      </c>
      <c r="D619" s="1" t="s">
        <v>30</v>
      </c>
      <c r="E619" s="1" t="s">
        <v>14</v>
      </c>
      <c r="F619" s="1">
        <v>10</v>
      </c>
      <c r="G619" s="4">
        <v>1550.49</v>
      </c>
    </row>
    <row r="620" spans="1:7" x14ac:dyDescent="0.3">
      <c r="A620" s="3">
        <v>46121</v>
      </c>
      <c r="B620" s="1" t="s">
        <v>655</v>
      </c>
      <c r="C620" s="1" t="s">
        <v>21</v>
      </c>
      <c r="D620" s="1" t="s">
        <v>16</v>
      </c>
      <c r="E620" s="1" t="s">
        <v>22</v>
      </c>
      <c r="F620" s="1">
        <v>9</v>
      </c>
      <c r="G620" s="4">
        <v>2680.81</v>
      </c>
    </row>
    <row r="621" spans="1:7" x14ac:dyDescent="0.3">
      <c r="A621" s="3">
        <v>46148</v>
      </c>
      <c r="B621" s="1" t="s">
        <v>656</v>
      </c>
      <c r="C621" s="1" t="s">
        <v>8</v>
      </c>
      <c r="D621" s="1" t="s">
        <v>48</v>
      </c>
      <c r="E621" s="1" t="s">
        <v>22</v>
      </c>
      <c r="F621" s="1">
        <v>12</v>
      </c>
      <c r="G621" s="4">
        <v>2886.73</v>
      </c>
    </row>
    <row r="622" spans="1:7" x14ac:dyDescent="0.3">
      <c r="A622" s="3">
        <v>46179</v>
      </c>
      <c r="B622" s="1" t="s">
        <v>657</v>
      </c>
      <c r="C622" s="1" t="s">
        <v>46</v>
      </c>
      <c r="D622" s="1" t="s">
        <v>9</v>
      </c>
      <c r="E622" s="1" t="s">
        <v>32</v>
      </c>
      <c r="F622" s="1">
        <v>3</v>
      </c>
      <c r="G622" s="4">
        <v>782.89</v>
      </c>
    </row>
    <row r="623" spans="1:7" x14ac:dyDescent="0.3">
      <c r="A623" s="3">
        <v>46187</v>
      </c>
      <c r="B623" s="1" t="s">
        <v>658</v>
      </c>
      <c r="C623" s="1" t="s">
        <v>21</v>
      </c>
      <c r="D623" s="1" t="s">
        <v>9</v>
      </c>
      <c r="E623" s="1" t="s">
        <v>22</v>
      </c>
      <c r="F623" s="1">
        <v>2</v>
      </c>
      <c r="G623" s="4">
        <v>507.2</v>
      </c>
    </row>
    <row r="624" spans="1:7" x14ac:dyDescent="0.3">
      <c r="A624" s="3">
        <v>46181</v>
      </c>
      <c r="B624" s="1" t="s">
        <v>659</v>
      </c>
      <c r="C624" s="1" t="s">
        <v>40</v>
      </c>
      <c r="D624" s="1" t="s">
        <v>16</v>
      </c>
      <c r="E624" s="1" t="s">
        <v>26</v>
      </c>
      <c r="F624" s="1">
        <v>11</v>
      </c>
      <c r="G624" s="4">
        <v>3211.3</v>
      </c>
    </row>
    <row r="625" spans="1:7" x14ac:dyDescent="0.3">
      <c r="A625" s="3">
        <v>46190</v>
      </c>
      <c r="B625" s="1" t="s">
        <v>660</v>
      </c>
      <c r="C625" s="1" t="s">
        <v>38</v>
      </c>
      <c r="D625" s="1" t="s">
        <v>25</v>
      </c>
      <c r="E625" s="1" t="s">
        <v>32</v>
      </c>
      <c r="F625" s="1">
        <v>7</v>
      </c>
      <c r="G625" s="1"/>
    </row>
    <row r="626" spans="1:7" x14ac:dyDescent="0.3">
      <c r="A626" s="3">
        <v>46190</v>
      </c>
      <c r="B626" s="1" t="s">
        <v>661</v>
      </c>
      <c r="C626" s="1" t="s">
        <v>46</v>
      </c>
      <c r="D626" s="1" t="s">
        <v>25</v>
      </c>
      <c r="E626" s="1" t="s">
        <v>32</v>
      </c>
      <c r="F626" s="1">
        <v>6</v>
      </c>
      <c r="G626" s="4">
        <v>2311.19</v>
      </c>
    </row>
    <row r="627" spans="1:7" x14ac:dyDescent="0.3">
      <c r="A627" s="3">
        <v>46119</v>
      </c>
      <c r="B627" s="1" t="s">
        <v>662</v>
      </c>
      <c r="C627" s="1" t="s">
        <v>38</v>
      </c>
      <c r="D627" s="1" t="s">
        <v>82</v>
      </c>
      <c r="E627" s="1" t="s">
        <v>22</v>
      </c>
      <c r="F627" s="1">
        <v>6</v>
      </c>
      <c r="G627" s="4">
        <v>649.38</v>
      </c>
    </row>
    <row r="628" spans="1:7" x14ac:dyDescent="0.3">
      <c r="A628" s="3">
        <v>46151</v>
      </c>
      <c r="B628" s="1" t="s">
        <v>663</v>
      </c>
      <c r="C628" s="1" t="s">
        <v>24</v>
      </c>
      <c r="D628" s="1" t="s">
        <v>82</v>
      </c>
      <c r="E628" s="1" t="s">
        <v>22</v>
      </c>
      <c r="F628" s="1">
        <v>4</v>
      </c>
      <c r="G628" s="4">
        <v>472.26</v>
      </c>
    </row>
    <row r="629" spans="1:7" x14ac:dyDescent="0.3">
      <c r="A629" s="3">
        <v>46169</v>
      </c>
      <c r="B629" s="1" t="s">
        <v>664</v>
      </c>
      <c r="C629" s="1" t="s">
        <v>40</v>
      </c>
      <c r="D629" s="1" t="s">
        <v>82</v>
      </c>
      <c r="E629" s="1" t="s">
        <v>26</v>
      </c>
      <c r="F629" s="1">
        <v>10</v>
      </c>
      <c r="G629" s="4">
        <v>1107.04</v>
      </c>
    </row>
    <row r="630" spans="1:7" x14ac:dyDescent="0.3">
      <c r="A630" s="3">
        <v>46137</v>
      </c>
      <c r="B630" s="1" t="s">
        <v>665</v>
      </c>
      <c r="C630" s="1" t="s">
        <v>38</v>
      </c>
      <c r="D630" s="1" t="s">
        <v>30</v>
      </c>
      <c r="E630" s="1" t="s">
        <v>32</v>
      </c>
      <c r="F630" s="1">
        <v>12</v>
      </c>
      <c r="G630" s="4">
        <v>1808.38</v>
      </c>
    </row>
    <row r="631" spans="1:7" x14ac:dyDescent="0.3">
      <c r="A631" s="3">
        <v>46179</v>
      </c>
      <c r="B631" s="1" t="s">
        <v>666</v>
      </c>
      <c r="C631" s="1" t="s">
        <v>40</v>
      </c>
      <c r="D631" s="1" t="s">
        <v>25</v>
      </c>
      <c r="E631" s="1" t="s">
        <v>26</v>
      </c>
      <c r="F631" s="1">
        <v>3</v>
      </c>
      <c r="G631" s="4">
        <v>1250.08</v>
      </c>
    </row>
    <row r="632" spans="1:7" x14ac:dyDescent="0.3">
      <c r="A632" s="3">
        <v>46203</v>
      </c>
      <c r="B632" s="1" t="s">
        <v>667</v>
      </c>
      <c r="C632" s="1" t="s">
        <v>8</v>
      </c>
      <c r="D632" s="1" t="s">
        <v>16</v>
      </c>
      <c r="E632" s="1" t="s">
        <v>10</v>
      </c>
      <c r="F632" s="1">
        <v>9</v>
      </c>
      <c r="G632" s="4">
        <v>2495.6</v>
      </c>
    </row>
    <row r="633" spans="1:7" x14ac:dyDescent="0.3">
      <c r="A633" s="3">
        <v>46116</v>
      </c>
      <c r="B633" s="1" t="s">
        <v>668</v>
      </c>
      <c r="C633" s="1" t="s">
        <v>18</v>
      </c>
      <c r="D633" s="1" t="s">
        <v>30</v>
      </c>
      <c r="E633" s="1" t="s">
        <v>14</v>
      </c>
      <c r="F633" s="1">
        <v>1</v>
      </c>
      <c r="G633" s="4">
        <v>155.21</v>
      </c>
    </row>
    <row r="634" spans="1:7" x14ac:dyDescent="0.3">
      <c r="A634" s="3">
        <v>46171</v>
      </c>
      <c r="B634" s="1" t="s">
        <v>669</v>
      </c>
      <c r="C634" s="1" t="s">
        <v>74</v>
      </c>
      <c r="D634" s="1" t="s">
        <v>34</v>
      </c>
      <c r="E634" s="1" t="s">
        <v>22</v>
      </c>
      <c r="F634" s="1">
        <v>5</v>
      </c>
      <c r="G634" s="4">
        <v>525.69000000000005</v>
      </c>
    </row>
    <row r="635" spans="1:7" x14ac:dyDescent="0.3">
      <c r="A635" s="3">
        <v>46172</v>
      </c>
      <c r="B635" s="1" t="s">
        <v>670</v>
      </c>
      <c r="C635" s="1" t="s">
        <v>8</v>
      </c>
      <c r="D635" s="1" t="s">
        <v>16</v>
      </c>
      <c r="E635" s="1" t="s">
        <v>10</v>
      </c>
      <c r="F635" s="1">
        <v>2</v>
      </c>
      <c r="G635" s="4">
        <v>569.32000000000005</v>
      </c>
    </row>
    <row r="636" spans="1:7" x14ac:dyDescent="0.3">
      <c r="A636" s="3">
        <v>46143</v>
      </c>
      <c r="B636" s="1" t="s">
        <v>671</v>
      </c>
      <c r="C636" s="1" t="s">
        <v>40</v>
      </c>
      <c r="D636" s="1" t="s">
        <v>48</v>
      </c>
      <c r="E636" s="1" t="s">
        <v>26</v>
      </c>
      <c r="F636" s="1">
        <v>3</v>
      </c>
      <c r="G636" s="4">
        <v>690.1</v>
      </c>
    </row>
    <row r="637" spans="1:7" x14ac:dyDescent="0.3">
      <c r="A637" s="3">
        <v>46173</v>
      </c>
      <c r="B637" s="1" t="s">
        <v>672</v>
      </c>
      <c r="C637" s="1" t="s">
        <v>29</v>
      </c>
      <c r="D637" s="1" t="s">
        <v>13</v>
      </c>
      <c r="E637" s="1" t="s">
        <v>10</v>
      </c>
      <c r="F637" s="1">
        <v>3</v>
      </c>
      <c r="G637" s="4">
        <v>1052.3900000000001</v>
      </c>
    </row>
    <row r="638" spans="1:7" x14ac:dyDescent="0.3">
      <c r="A638" s="3">
        <v>46146</v>
      </c>
      <c r="B638" s="1" t="s">
        <v>673</v>
      </c>
      <c r="C638" s="1" t="s">
        <v>21</v>
      </c>
      <c r="D638" s="1" t="s">
        <v>82</v>
      </c>
      <c r="E638" s="1" t="s">
        <v>22</v>
      </c>
      <c r="F638" s="1">
        <v>1</v>
      </c>
      <c r="G638" s="4">
        <v>117.65</v>
      </c>
    </row>
    <row r="639" spans="1:7" x14ac:dyDescent="0.3">
      <c r="A639" s="3">
        <v>46186</v>
      </c>
      <c r="B639" s="1" t="s">
        <v>674</v>
      </c>
      <c r="C639" s="1" t="s">
        <v>12</v>
      </c>
      <c r="D639" s="1" t="s">
        <v>30</v>
      </c>
      <c r="E639" s="1" t="s">
        <v>14</v>
      </c>
      <c r="F639" s="1">
        <v>11</v>
      </c>
      <c r="G639" s="4">
        <v>1716.34</v>
      </c>
    </row>
    <row r="640" spans="1:7" x14ac:dyDescent="0.3">
      <c r="A640" s="3">
        <v>46196</v>
      </c>
      <c r="B640" s="1" t="s">
        <v>675</v>
      </c>
      <c r="C640" s="1" t="s">
        <v>46</v>
      </c>
      <c r="D640" s="1" t="s">
        <v>13</v>
      </c>
      <c r="E640" s="1" t="s">
        <v>676</v>
      </c>
      <c r="F640" s="1">
        <v>11</v>
      </c>
      <c r="G640" s="4">
        <v>4285.42</v>
      </c>
    </row>
    <row r="641" spans="1:7" x14ac:dyDescent="0.3">
      <c r="A641" s="3">
        <v>46129</v>
      </c>
      <c r="B641" s="1" t="s">
        <v>677</v>
      </c>
      <c r="C641" s="1" t="s">
        <v>18</v>
      </c>
      <c r="D641" s="1" t="s">
        <v>36</v>
      </c>
      <c r="E641" s="1" t="s">
        <v>14</v>
      </c>
      <c r="F641" s="1">
        <v>5</v>
      </c>
      <c r="G641" s="4">
        <v>880.65</v>
      </c>
    </row>
    <row r="642" spans="1:7" x14ac:dyDescent="0.3">
      <c r="A642" s="3">
        <v>46152</v>
      </c>
      <c r="B642" s="1" t="s">
        <v>678</v>
      </c>
      <c r="C642" s="1" t="s">
        <v>24</v>
      </c>
      <c r="D642" s="1" t="s">
        <v>16</v>
      </c>
      <c r="E642" s="1" t="s">
        <v>26</v>
      </c>
      <c r="F642" s="1">
        <v>8</v>
      </c>
      <c r="G642" s="4">
        <v>2405.0100000000002</v>
      </c>
    </row>
    <row r="643" spans="1:7" x14ac:dyDescent="0.3">
      <c r="A643" s="3">
        <v>46172</v>
      </c>
      <c r="B643" s="1" t="s">
        <v>679</v>
      </c>
      <c r="C643" s="1" t="s">
        <v>24</v>
      </c>
      <c r="D643" s="1" t="s">
        <v>43</v>
      </c>
      <c r="E643" s="1" t="s">
        <v>26</v>
      </c>
      <c r="F643" s="1">
        <v>10</v>
      </c>
      <c r="G643" s="4">
        <v>3237.96</v>
      </c>
    </row>
    <row r="644" spans="1:7" x14ac:dyDescent="0.3">
      <c r="A644" s="3">
        <v>46126</v>
      </c>
      <c r="B644" s="1" t="s">
        <v>680</v>
      </c>
      <c r="C644" s="1" t="s">
        <v>74</v>
      </c>
      <c r="D644" s="1" t="s">
        <v>13</v>
      </c>
      <c r="E644" s="1" t="s">
        <v>26</v>
      </c>
      <c r="F644" s="1">
        <v>9</v>
      </c>
      <c r="G644" s="4">
        <v>3237.34</v>
      </c>
    </row>
    <row r="645" spans="1:7" x14ac:dyDescent="0.3">
      <c r="A645" s="3">
        <v>46190</v>
      </c>
      <c r="B645" s="1" t="s">
        <v>681</v>
      </c>
      <c r="C645" s="1" t="s">
        <v>24</v>
      </c>
      <c r="D645" s="1" t="s">
        <v>82</v>
      </c>
      <c r="E645" s="1" t="s">
        <v>26</v>
      </c>
      <c r="F645" s="1">
        <v>8</v>
      </c>
      <c r="G645" s="4">
        <v>952.65</v>
      </c>
    </row>
    <row r="646" spans="1:7" x14ac:dyDescent="0.3">
      <c r="A646" s="3">
        <v>46148</v>
      </c>
      <c r="B646" s="1" t="s">
        <v>682</v>
      </c>
      <c r="C646" s="1" t="s">
        <v>40</v>
      </c>
      <c r="D646" s="1" t="s">
        <v>82</v>
      </c>
      <c r="E646" s="1" t="s">
        <v>26</v>
      </c>
      <c r="F646" s="1">
        <v>12</v>
      </c>
      <c r="G646" s="4">
        <v>1275.46</v>
      </c>
    </row>
    <row r="647" spans="1:7" x14ac:dyDescent="0.3">
      <c r="A647" s="3">
        <v>46196</v>
      </c>
      <c r="B647" s="1" t="s">
        <v>683</v>
      </c>
      <c r="C647" s="1" t="s">
        <v>24</v>
      </c>
      <c r="D647" s="1" t="s">
        <v>30</v>
      </c>
      <c r="E647" s="1" t="s">
        <v>26</v>
      </c>
      <c r="F647" s="1">
        <v>4</v>
      </c>
      <c r="G647" s="4">
        <v>570.9</v>
      </c>
    </row>
    <row r="648" spans="1:7" x14ac:dyDescent="0.3">
      <c r="A648" s="3">
        <v>46189</v>
      </c>
      <c r="B648" s="1" t="s">
        <v>684</v>
      </c>
      <c r="C648" s="1" t="s">
        <v>46</v>
      </c>
      <c r="D648" s="1" t="s">
        <v>43</v>
      </c>
      <c r="E648" s="1" t="s">
        <v>32</v>
      </c>
      <c r="F648" s="1">
        <v>3</v>
      </c>
      <c r="G648" s="4">
        <v>931.71</v>
      </c>
    </row>
    <row r="649" spans="1:7" x14ac:dyDescent="0.3">
      <c r="A649" s="3">
        <v>46196</v>
      </c>
      <c r="B649" s="1" t="s">
        <v>685</v>
      </c>
      <c r="C649" s="1" t="s">
        <v>38</v>
      </c>
      <c r="D649" s="1" t="s">
        <v>82</v>
      </c>
      <c r="E649" s="1" t="s">
        <v>32</v>
      </c>
      <c r="F649" s="1">
        <v>7</v>
      </c>
      <c r="G649" s="4">
        <v>799.22</v>
      </c>
    </row>
    <row r="650" spans="1:7" x14ac:dyDescent="0.3">
      <c r="A650" s="3">
        <v>46117</v>
      </c>
      <c r="B650" s="1" t="s">
        <v>686</v>
      </c>
      <c r="C650" s="1" t="s">
        <v>29</v>
      </c>
      <c r="D650" s="1" t="s">
        <v>19</v>
      </c>
      <c r="E650" s="1" t="s">
        <v>14</v>
      </c>
      <c r="F650" s="1">
        <v>6</v>
      </c>
      <c r="G650" s="4">
        <v>1259.68</v>
      </c>
    </row>
    <row r="651" spans="1:7" x14ac:dyDescent="0.3">
      <c r="A651" s="3">
        <v>46141</v>
      </c>
      <c r="B651" s="1" t="s">
        <v>687</v>
      </c>
      <c r="C651" s="1" t="s">
        <v>8</v>
      </c>
      <c r="D651" s="1" t="s">
        <v>43</v>
      </c>
      <c r="E651" s="1" t="s">
        <v>26</v>
      </c>
      <c r="F651" s="1">
        <v>9</v>
      </c>
      <c r="G651" s="4">
        <v>2949.77</v>
      </c>
    </row>
    <row r="652" spans="1:7" x14ac:dyDescent="0.3">
      <c r="A652" s="3">
        <v>46134</v>
      </c>
      <c r="B652" s="1" t="s">
        <v>688</v>
      </c>
      <c r="C652" s="1" t="s">
        <v>8</v>
      </c>
      <c r="D652" s="1" t="s">
        <v>53</v>
      </c>
      <c r="E652" s="1" t="s">
        <v>10</v>
      </c>
      <c r="F652" s="1">
        <v>8</v>
      </c>
      <c r="G652" s="4">
        <v>2757.01</v>
      </c>
    </row>
    <row r="653" spans="1:7" x14ac:dyDescent="0.3">
      <c r="A653" s="3">
        <v>46146</v>
      </c>
      <c r="B653" s="1" t="s">
        <v>689</v>
      </c>
      <c r="C653" s="1" t="s">
        <v>8</v>
      </c>
      <c r="D653" s="1" t="s">
        <v>53</v>
      </c>
      <c r="E653" s="1" t="s">
        <v>26</v>
      </c>
      <c r="F653" s="1">
        <v>11</v>
      </c>
      <c r="G653" s="4">
        <v>3808.74</v>
      </c>
    </row>
    <row r="654" spans="1:7" x14ac:dyDescent="0.3">
      <c r="A654" s="3">
        <v>46158</v>
      </c>
      <c r="B654" s="1" t="s">
        <v>690</v>
      </c>
      <c r="C654" s="1" t="s">
        <v>12</v>
      </c>
      <c r="D654" s="1" t="s">
        <v>19</v>
      </c>
      <c r="E654" s="1" t="s">
        <v>32</v>
      </c>
      <c r="F654" s="1">
        <v>6</v>
      </c>
      <c r="G654" s="4">
        <v>1318.45</v>
      </c>
    </row>
    <row r="655" spans="1:7" x14ac:dyDescent="0.3">
      <c r="A655" s="3">
        <v>46187</v>
      </c>
      <c r="B655" s="1" t="s">
        <v>691</v>
      </c>
      <c r="C655" s="1" t="s">
        <v>24</v>
      </c>
      <c r="D655" s="1" t="s">
        <v>48</v>
      </c>
      <c r="E655" s="1" t="s">
        <v>32</v>
      </c>
      <c r="F655" s="1">
        <v>1</v>
      </c>
      <c r="G655" s="4">
        <v>232.97</v>
      </c>
    </row>
    <row r="656" spans="1:7" x14ac:dyDescent="0.3">
      <c r="A656" s="3">
        <v>46187</v>
      </c>
      <c r="B656" s="1" t="s">
        <v>692</v>
      </c>
      <c r="C656" s="1" t="s">
        <v>29</v>
      </c>
      <c r="D656" s="1" t="s">
        <v>36</v>
      </c>
      <c r="E656" s="1" t="s">
        <v>10</v>
      </c>
      <c r="F656" s="1">
        <v>4</v>
      </c>
      <c r="G656" s="4">
        <v>714.36</v>
      </c>
    </row>
    <row r="657" spans="1:7" x14ac:dyDescent="0.3">
      <c r="A657" s="3">
        <v>46200</v>
      </c>
      <c r="B657" s="1" t="s">
        <v>693</v>
      </c>
      <c r="C657" s="1" t="s">
        <v>46</v>
      </c>
      <c r="D657" s="1" t="s">
        <v>13</v>
      </c>
      <c r="E657" s="1" t="s">
        <v>32</v>
      </c>
      <c r="F657" s="1">
        <v>1</v>
      </c>
      <c r="G657" s="4">
        <v>349.24</v>
      </c>
    </row>
    <row r="658" spans="1:7" x14ac:dyDescent="0.3">
      <c r="A658" s="3">
        <v>46132</v>
      </c>
      <c r="B658" s="1" t="s">
        <v>694</v>
      </c>
      <c r="C658" s="1" t="s">
        <v>18</v>
      </c>
      <c r="D658" s="1" t="s">
        <v>30</v>
      </c>
      <c r="E658" s="1" t="s">
        <v>14</v>
      </c>
      <c r="F658" s="1">
        <v>10</v>
      </c>
      <c r="G658" s="4">
        <v>1428.57</v>
      </c>
    </row>
    <row r="659" spans="1:7" x14ac:dyDescent="0.3">
      <c r="A659" s="3">
        <v>46171</v>
      </c>
      <c r="B659" s="1" t="s">
        <v>695</v>
      </c>
      <c r="C659" s="1" t="s">
        <v>18</v>
      </c>
      <c r="D659" s="1" t="s">
        <v>34</v>
      </c>
      <c r="E659" s="1" t="s">
        <v>14</v>
      </c>
      <c r="F659" s="1">
        <v>2</v>
      </c>
      <c r="G659" s="4">
        <v>207.13</v>
      </c>
    </row>
    <row r="660" spans="1:7" x14ac:dyDescent="0.3">
      <c r="A660" s="3">
        <v>46193</v>
      </c>
      <c r="B660" s="1" t="s">
        <v>696</v>
      </c>
      <c r="C660" s="1" t="s">
        <v>18</v>
      </c>
      <c r="D660" s="1" t="s">
        <v>34</v>
      </c>
      <c r="E660" s="1" t="s">
        <v>14</v>
      </c>
      <c r="F660" s="1">
        <v>1</v>
      </c>
      <c r="G660" s="4">
        <v>104.03</v>
      </c>
    </row>
    <row r="661" spans="1:7" x14ac:dyDescent="0.3">
      <c r="A661" s="3">
        <v>46139</v>
      </c>
      <c r="B661" s="1" t="s">
        <v>697</v>
      </c>
      <c r="C661" s="1" t="s">
        <v>18</v>
      </c>
      <c r="D661" s="1" t="s">
        <v>36</v>
      </c>
      <c r="E661" s="1" t="s">
        <v>14</v>
      </c>
      <c r="F661" s="1">
        <v>8</v>
      </c>
      <c r="G661" s="4">
        <v>1376.78</v>
      </c>
    </row>
    <row r="662" spans="1:7" x14ac:dyDescent="0.3">
      <c r="A662" s="3">
        <v>46124</v>
      </c>
      <c r="B662" s="1" t="s">
        <v>698</v>
      </c>
      <c r="C662" s="1" t="s">
        <v>18</v>
      </c>
      <c r="D662" s="1" t="s">
        <v>36</v>
      </c>
      <c r="E662" s="1" t="s">
        <v>14</v>
      </c>
      <c r="F662" s="1">
        <v>7</v>
      </c>
      <c r="G662" s="4">
        <v>1265.6199999999999</v>
      </c>
    </row>
    <row r="663" spans="1:7" x14ac:dyDescent="0.3">
      <c r="A663" s="3">
        <v>46174</v>
      </c>
      <c r="B663" s="1" t="s">
        <v>699</v>
      </c>
      <c r="C663" s="1" t="s">
        <v>46</v>
      </c>
      <c r="D663" s="1" t="s">
        <v>25</v>
      </c>
      <c r="E663" s="1" t="s">
        <v>32</v>
      </c>
      <c r="F663" s="1">
        <v>4</v>
      </c>
      <c r="G663" s="4">
        <v>1532.7</v>
      </c>
    </row>
    <row r="664" spans="1:7" x14ac:dyDescent="0.3">
      <c r="A664" s="3">
        <v>46114</v>
      </c>
      <c r="B664" s="1" t="s">
        <v>700</v>
      </c>
      <c r="C664" s="1" t="s">
        <v>40</v>
      </c>
      <c r="D664" s="1" t="s">
        <v>13</v>
      </c>
      <c r="E664" s="1" t="s">
        <v>26</v>
      </c>
      <c r="F664" s="1">
        <v>11</v>
      </c>
      <c r="G664" s="4">
        <v>4287.88</v>
      </c>
    </row>
    <row r="665" spans="1:7" x14ac:dyDescent="0.3">
      <c r="A665" s="3">
        <v>46144</v>
      </c>
      <c r="B665" s="1" t="s">
        <v>701</v>
      </c>
      <c r="C665" s="1" t="s">
        <v>12</v>
      </c>
      <c r="D665" s="1" t="s">
        <v>19</v>
      </c>
      <c r="E665" s="1" t="s">
        <v>26</v>
      </c>
      <c r="F665" s="1">
        <v>3</v>
      </c>
      <c r="G665" s="4">
        <v>681.5</v>
      </c>
    </row>
    <row r="666" spans="1:7" x14ac:dyDescent="0.3">
      <c r="A666" s="3">
        <v>46177</v>
      </c>
      <c r="B666" s="1" t="s">
        <v>702</v>
      </c>
      <c r="C666" s="1" t="s">
        <v>29</v>
      </c>
      <c r="D666" s="1" t="s">
        <v>82</v>
      </c>
      <c r="E666" s="1" t="s">
        <v>10</v>
      </c>
      <c r="F666" s="1">
        <v>1</v>
      </c>
      <c r="G666" s="4">
        <v>115.71</v>
      </c>
    </row>
    <row r="667" spans="1:7" x14ac:dyDescent="0.3">
      <c r="A667" s="3">
        <v>46150</v>
      </c>
      <c r="B667" s="1" t="s">
        <v>703</v>
      </c>
      <c r="C667" s="1" t="s">
        <v>38</v>
      </c>
      <c r="D667" s="1" t="s">
        <v>19</v>
      </c>
      <c r="E667" s="1" t="s">
        <v>32</v>
      </c>
      <c r="F667" s="1">
        <v>9</v>
      </c>
      <c r="G667" s="4">
        <v>1986.08</v>
      </c>
    </row>
    <row r="668" spans="1:7" x14ac:dyDescent="0.3">
      <c r="A668" s="3">
        <v>46200</v>
      </c>
      <c r="B668" s="1" t="s">
        <v>704</v>
      </c>
      <c r="C668" s="1" t="s">
        <v>18</v>
      </c>
      <c r="D668" s="1" t="s">
        <v>34</v>
      </c>
      <c r="E668" s="1" t="s">
        <v>32</v>
      </c>
      <c r="F668" s="1">
        <v>6</v>
      </c>
      <c r="G668" s="4">
        <v>600.59</v>
      </c>
    </row>
    <row r="669" spans="1:7" x14ac:dyDescent="0.3">
      <c r="A669" s="3">
        <v>46134</v>
      </c>
      <c r="B669" s="1" t="s">
        <v>705</v>
      </c>
      <c r="C669" s="1" t="s">
        <v>46</v>
      </c>
      <c r="D669" s="1" t="s">
        <v>25</v>
      </c>
      <c r="E669" s="1" t="s">
        <v>32</v>
      </c>
      <c r="F669" s="1">
        <v>12</v>
      </c>
      <c r="G669" s="4">
        <v>4444.34</v>
      </c>
    </row>
    <row r="670" spans="1:7" x14ac:dyDescent="0.3">
      <c r="A670" s="3">
        <v>46140</v>
      </c>
      <c r="B670" s="1" t="s">
        <v>706</v>
      </c>
      <c r="C670" s="1" t="s">
        <v>74</v>
      </c>
      <c r="D670" s="1" t="s">
        <v>36</v>
      </c>
      <c r="E670" s="1" t="s">
        <v>22</v>
      </c>
      <c r="F670" s="1">
        <v>2</v>
      </c>
      <c r="G670" s="4">
        <v>363.28</v>
      </c>
    </row>
    <row r="671" spans="1:7" x14ac:dyDescent="0.3">
      <c r="A671" s="3">
        <v>46196</v>
      </c>
      <c r="B671" s="1" t="s">
        <v>707</v>
      </c>
      <c r="C671" s="1" t="s">
        <v>74</v>
      </c>
      <c r="D671" s="1" t="s">
        <v>16</v>
      </c>
      <c r="E671" s="1" t="s">
        <v>26</v>
      </c>
      <c r="F671" s="1">
        <v>9</v>
      </c>
      <c r="G671" s="4">
        <v>2581.37</v>
      </c>
    </row>
    <row r="672" spans="1:7" x14ac:dyDescent="0.3">
      <c r="A672" s="3">
        <v>46189</v>
      </c>
      <c r="B672" s="1" t="s">
        <v>708</v>
      </c>
      <c r="C672" s="1" t="s">
        <v>74</v>
      </c>
      <c r="D672" s="1" t="s">
        <v>43</v>
      </c>
      <c r="E672" s="1" t="s">
        <v>22</v>
      </c>
      <c r="F672" s="1">
        <v>1</v>
      </c>
      <c r="G672" s="4">
        <v>338.03</v>
      </c>
    </row>
    <row r="673" spans="1:7" x14ac:dyDescent="0.3">
      <c r="A673" s="3">
        <v>46127</v>
      </c>
      <c r="B673" s="1" t="s">
        <v>709</v>
      </c>
      <c r="C673" s="1" t="s">
        <v>46</v>
      </c>
      <c r="D673" s="1" t="s">
        <v>48</v>
      </c>
      <c r="E673" s="1" t="s">
        <v>32</v>
      </c>
      <c r="F673" s="1">
        <v>9</v>
      </c>
      <c r="G673" s="4">
        <v>2269.0300000000002</v>
      </c>
    </row>
    <row r="674" spans="1:7" x14ac:dyDescent="0.3">
      <c r="A674" s="3">
        <v>46202</v>
      </c>
      <c r="B674" s="1" t="s">
        <v>710</v>
      </c>
      <c r="C674" s="1" t="s">
        <v>18</v>
      </c>
      <c r="D674" s="1" t="s">
        <v>30</v>
      </c>
      <c r="E674" s="1" t="s">
        <v>14</v>
      </c>
      <c r="F674" s="1">
        <v>11</v>
      </c>
      <c r="G674" s="4">
        <v>1758.03</v>
      </c>
    </row>
    <row r="675" spans="1:7" x14ac:dyDescent="0.3">
      <c r="A675" s="3">
        <v>46166</v>
      </c>
      <c r="B675" s="1" t="s">
        <v>711</v>
      </c>
      <c r="C675" s="1" t="s">
        <v>21</v>
      </c>
      <c r="D675" s="1" t="s">
        <v>43</v>
      </c>
      <c r="E675" s="1" t="s">
        <v>22</v>
      </c>
      <c r="F675" s="1">
        <v>10</v>
      </c>
      <c r="G675" s="4">
        <v>3152.9</v>
      </c>
    </row>
    <row r="676" spans="1:7" x14ac:dyDescent="0.3">
      <c r="A676" s="3">
        <v>46130</v>
      </c>
      <c r="B676" s="1" t="s">
        <v>712</v>
      </c>
      <c r="C676" s="1" t="s">
        <v>46</v>
      </c>
      <c r="D676" s="1" t="s">
        <v>9</v>
      </c>
      <c r="E676" s="1" t="s">
        <v>32</v>
      </c>
      <c r="F676" s="1">
        <v>10</v>
      </c>
      <c r="G676" s="4">
        <v>2760.44</v>
      </c>
    </row>
    <row r="677" spans="1:7" x14ac:dyDescent="0.3">
      <c r="A677" s="3">
        <v>46127</v>
      </c>
      <c r="B677" s="1" t="s">
        <v>713</v>
      </c>
      <c r="C677" s="1" t="s">
        <v>21</v>
      </c>
      <c r="D677" s="1" t="s">
        <v>48</v>
      </c>
      <c r="E677" s="1" t="s">
        <v>22</v>
      </c>
      <c r="F677" s="1">
        <v>4</v>
      </c>
      <c r="G677" s="4">
        <v>942.91</v>
      </c>
    </row>
    <row r="678" spans="1:7" x14ac:dyDescent="0.3">
      <c r="A678" s="3">
        <v>46179</v>
      </c>
      <c r="B678" s="1" t="s">
        <v>714</v>
      </c>
      <c r="C678" s="1" t="s">
        <v>12</v>
      </c>
      <c r="D678" s="1" t="s">
        <v>34</v>
      </c>
      <c r="E678" s="1" t="s">
        <v>14</v>
      </c>
      <c r="F678" s="1">
        <v>5</v>
      </c>
      <c r="G678" s="4">
        <v>539.41999999999996</v>
      </c>
    </row>
    <row r="679" spans="1:7" x14ac:dyDescent="0.3">
      <c r="A679" s="3">
        <v>46183</v>
      </c>
      <c r="B679" s="1" t="s">
        <v>715</v>
      </c>
      <c r="C679" s="1" t="s">
        <v>38</v>
      </c>
      <c r="D679" s="1" t="s">
        <v>30</v>
      </c>
      <c r="E679" s="1" t="s">
        <v>32</v>
      </c>
      <c r="F679" s="1">
        <v>8</v>
      </c>
      <c r="G679" s="4">
        <v>1229.22</v>
      </c>
    </row>
    <row r="680" spans="1:7" x14ac:dyDescent="0.3">
      <c r="A680" s="3">
        <v>46113</v>
      </c>
      <c r="B680" s="1" t="s">
        <v>716</v>
      </c>
      <c r="C680" s="1" t="s">
        <v>74</v>
      </c>
      <c r="D680" s="1" t="s">
        <v>43</v>
      </c>
      <c r="E680" s="1" t="s">
        <v>22</v>
      </c>
      <c r="F680" s="1">
        <v>2</v>
      </c>
      <c r="G680" s="4">
        <v>611.85</v>
      </c>
    </row>
    <row r="681" spans="1:7" x14ac:dyDescent="0.3">
      <c r="A681" s="3">
        <v>46198</v>
      </c>
      <c r="B681" s="1" t="s">
        <v>717</v>
      </c>
      <c r="C681" s="1" t="s">
        <v>38</v>
      </c>
      <c r="D681" s="1" t="s">
        <v>53</v>
      </c>
      <c r="E681" s="1" t="s">
        <v>10</v>
      </c>
      <c r="F681" s="1">
        <v>2</v>
      </c>
      <c r="G681" s="4">
        <v>639.22</v>
      </c>
    </row>
    <row r="682" spans="1:7" x14ac:dyDescent="0.3">
      <c r="A682" s="3">
        <v>46125</v>
      </c>
      <c r="B682" s="1" t="s">
        <v>718</v>
      </c>
      <c r="C682" s="1" t="s">
        <v>24</v>
      </c>
      <c r="D682" s="1" t="s">
        <v>43</v>
      </c>
      <c r="E682" s="1" t="s">
        <v>26</v>
      </c>
      <c r="F682" s="1">
        <v>5</v>
      </c>
      <c r="G682" s="4">
        <v>1646.12</v>
      </c>
    </row>
    <row r="683" spans="1:7" x14ac:dyDescent="0.3">
      <c r="A683" s="3">
        <v>46119</v>
      </c>
      <c r="B683" s="1" t="s">
        <v>719</v>
      </c>
      <c r="C683" s="1" t="s">
        <v>21</v>
      </c>
      <c r="D683" s="1" t="s">
        <v>53</v>
      </c>
      <c r="E683" s="1" t="s">
        <v>26</v>
      </c>
      <c r="F683" s="1">
        <v>6</v>
      </c>
      <c r="G683" s="4">
        <v>1898</v>
      </c>
    </row>
    <row r="684" spans="1:7" x14ac:dyDescent="0.3">
      <c r="A684" s="3">
        <v>46153</v>
      </c>
      <c r="B684" s="1" t="s">
        <v>720</v>
      </c>
      <c r="C684" s="1" t="s">
        <v>46</v>
      </c>
      <c r="D684" s="1" t="s">
        <v>19</v>
      </c>
      <c r="E684" s="1" t="s">
        <v>32</v>
      </c>
      <c r="F684" s="1">
        <v>1</v>
      </c>
      <c r="G684" s="4">
        <v>229.73</v>
      </c>
    </row>
    <row r="685" spans="1:7" x14ac:dyDescent="0.3">
      <c r="A685" s="3">
        <v>46130</v>
      </c>
      <c r="B685" s="1" t="s">
        <v>721</v>
      </c>
      <c r="C685" s="1" t="s">
        <v>18</v>
      </c>
      <c r="D685" s="1" t="s">
        <v>34</v>
      </c>
      <c r="E685" s="1" t="s">
        <v>14</v>
      </c>
      <c r="F685" s="1">
        <v>8</v>
      </c>
      <c r="G685" s="4">
        <v>779.14</v>
      </c>
    </row>
    <row r="686" spans="1:7" x14ac:dyDescent="0.3">
      <c r="A686" s="3">
        <v>46147</v>
      </c>
      <c r="B686" s="1" t="s">
        <v>722</v>
      </c>
      <c r="C686" s="1" t="s">
        <v>21</v>
      </c>
      <c r="D686" s="1" t="s">
        <v>34</v>
      </c>
      <c r="E686" s="1" t="s">
        <v>14</v>
      </c>
      <c r="F686" s="1">
        <v>2</v>
      </c>
      <c r="G686" s="4">
        <v>209.42</v>
      </c>
    </row>
    <row r="687" spans="1:7" x14ac:dyDescent="0.3">
      <c r="A687" s="3">
        <v>46171</v>
      </c>
      <c r="B687" s="1" t="s">
        <v>723</v>
      </c>
      <c r="C687" s="1" t="s">
        <v>24</v>
      </c>
      <c r="D687" s="1" t="s">
        <v>16</v>
      </c>
      <c r="E687" s="1" t="s">
        <v>26</v>
      </c>
      <c r="F687" s="1">
        <v>8</v>
      </c>
      <c r="G687" s="4">
        <v>2241.9499999999998</v>
      </c>
    </row>
    <row r="688" spans="1:7" x14ac:dyDescent="0.3">
      <c r="A688" s="3">
        <v>46196</v>
      </c>
      <c r="B688" s="1" t="s">
        <v>724</v>
      </c>
      <c r="C688" s="1" t="s">
        <v>18</v>
      </c>
      <c r="D688" s="1" t="s">
        <v>9</v>
      </c>
      <c r="E688" s="1" t="s">
        <v>14</v>
      </c>
      <c r="F688" s="1">
        <v>12</v>
      </c>
      <c r="G688" s="4">
        <v>3336.35</v>
      </c>
    </row>
    <row r="689" spans="1:7" x14ac:dyDescent="0.3">
      <c r="A689" s="3">
        <v>46133</v>
      </c>
      <c r="B689" s="1" t="s">
        <v>725</v>
      </c>
      <c r="C689" s="1" t="s">
        <v>21</v>
      </c>
      <c r="D689" s="1" t="s">
        <v>16</v>
      </c>
      <c r="E689" s="1" t="s">
        <v>32</v>
      </c>
      <c r="F689" s="1">
        <v>10</v>
      </c>
      <c r="G689" s="4">
        <v>2847.64</v>
      </c>
    </row>
    <row r="690" spans="1:7" x14ac:dyDescent="0.3">
      <c r="A690" s="3">
        <v>46136</v>
      </c>
      <c r="B690" s="1" t="s">
        <v>726</v>
      </c>
      <c r="C690" s="1" t="s">
        <v>29</v>
      </c>
      <c r="D690" s="1" t="s">
        <v>16</v>
      </c>
      <c r="E690" s="1" t="s">
        <v>10</v>
      </c>
      <c r="F690" s="1">
        <v>10</v>
      </c>
      <c r="G690" s="4">
        <v>3089.28</v>
      </c>
    </row>
    <row r="691" spans="1:7" x14ac:dyDescent="0.3">
      <c r="A691" s="3">
        <v>46200</v>
      </c>
      <c r="B691" s="1" t="s">
        <v>727</v>
      </c>
      <c r="C691" s="1" t="s">
        <v>18</v>
      </c>
      <c r="D691" s="1" t="s">
        <v>48</v>
      </c>
      <c r="E691" s="1" t="s">
        <v>22</v>
      </c>
      <c r="F691" s="1">
        <v>-1</v>
      </c>
      <c r="G691" s="4">
        <v>1723.75</v>
      </c>
    </row>
    <row r="692" spans="1:7" x14ac:dyDescent="0.3">
      <c r="A692" s="3">
        <v>46121</v>
      </c>
      <c r="B692" s="1" t="s">
        <v>728</v>
      </c>
      <c r="C692" s="1" t="s">
        <v>24</v>
      </c>
      <c r="D692" s="1" t="s">
        <v>43</v>
      </c>
      <c r="E692" s="1" t="s">
        <v>26</v>
      </c>
      <c r="F692" s="1">
        <v>12</v>
      </c>
      <c r="G692" s="4">
        <v>3654.86</v>
      </c>
    </row>
    <row r="693" spans="1:7" x14ac:dyDescent="0.3">
      <c r="A693" s="3">
        <v>46180</v>
      </c>
      <c r="B693" s="1" t="s">
        <v>729</v>
      </c>
      <c r="C693" s="1" t="s">
        <v>29</v>
      </c>
      <c r="D693" s="1" t="s">
        <v>19</v>
      </c>
      <c r="E693" s="1" t="s">
        <v>10</v>
      </c>
      <c r="F693" s="1">
        <v>11</v>
      </c>
      <c r="G693" s="4">
        <v>2264.91</v>
      </c>
    </row>
    <row r="694" spans="1:7" x14ac:dyDescent="0.3">
      <c r="A694" s="3">
        <v>46179</v>
      </c>
      <c r="B694" s="1" t="s">
        <v>730</v>
      </c>
      <c r="C694" s="1" t="s">
        <v>8</v>
      </c>
      <c r="D694" s="1" t="s">
        <v>19</v>
      </c>
      <c r="E694" s="1" t="s">
        <v>10</v>
      </c>
      <c r="F694" s="1">
        <v>2</v>
      </c>
      <c r="G694" s="4">
        <v>436.11</v>
      </c>
    </row>
    <row r="695" spans="1:7" x14ac:dyDescent="0.3">
      <c r="A695" s="3">
        <v>46144</v>
      </c>
      <c r="B695" s="1" t="s">
        <v>731</v>
      </c>
      <c r="C695" s="1" t="s">
        <v>38</v>
      </c>
      <c r="D695" s="1" t="s">
        <v>34</v>
      </c>
      <c r="E695" s="1" t="s">
        <v>32</v>
      </c>
      <c r="F695" s="1">
        <v>11</v>
      </c>
      <c r="G695" s="4">
        <v>1154.1199999999999</v>
      </c>
    </row>
    <row r="696" spans="1:7" x14ac:dyDescent="0.3">
      <c r="A696" s="3">
        <v>46184</v>
      </c>
      <c r="B696" s="1" t="s">
        <v>732</v>
      </c>
      <c r="C696" s="1" t="s">
        <v>29</v>
      </c>
      <c r="D696" s="1" t="s">
        <v>25</v>
      </c>
      <c r="E696" s="1" t="s">
        <v>10</v>
      </c>
      <c r="F696" s="1">
        <v>3</v>
      </c>
      <c r="G696" s="4">
        <v>1183.56</v>
      </c>
    </row>
    <row r="697" spans="1:7" x14ac:dyDescent="0.3">
      <c r="A697" s="3">
        <v>46173</v>
      </c>
      <c r="B697" s="1" t="s">
        <v>733</v>
      </c>
      <c r="C697" s="1" t="s">
        <v>38</v>
      </c>
      <c r="D697" s="1" t="s">
        <v>53</v>
      </c>
      <c r="E697" s="1" t="s">
        <v>32</v>
      </c>
      <c r="F697" s="1">
        <v>8</v>
      </c>
      <c r="G697" s="4">
        <v>2692.27</v>
      </c>
    </row>
    <row r="698" spans="1:7" x14ac:dyDescent="0.3">
      <c r="A698" s="3">
        <v>46155</v>
      </c>
      <c r="B698" s="1" t="s">
        <v>734</v>
      </c>
      <c r="C698" s="1" t="s">
        <v>24</v>
      </c>
      <c r="D698" s="1" t="s">
        <v>25</v>
      </c>
      <c r="E698" s="1" t="s">
        <v>26</v>
      </c>
      <c r="F698" s="1">
        <v>9</v>
      </c>
      <c r="G698" s="4">
        <v>3488.19</v>
      </c>
    </row>
    <row r="699" spans="1:7" x14ac:dyDescent="0.3">
      <c r="A699" s="3">
        <v>46164</v>
      </c>
      <c r="B699" s="1" t="s">
        <v>735</v>
      </c>
      <c r="C699" s="1" t="s">
        <v>12</v>
      </c>
      <c r="D699" s="1" t="s">
        <v>9</v>
      </c>
      <c r="E699" s="1" t="s">
        <v>14</v>
      </c>
      <c r="F699" s="1">
        <v>10</v>
      </c>
      <c r="G699" s="4">
        <v>2649.44</v>
      </c>
    </row>
    <row r="700" spans="1:7" x14ac:dyDescent="0.3">
      <c r="A700" s="3">
        <v>46176</v>
      </c>
      <c r="B700" s="1" t="s">
        <v>736</v>
      </c>
      <c r="C700" s="1" t="s">
        <v>38</v>
      </c>
      <c r="D700" s="1" t="s">
        <v>34</v>
      </c>
      <c r="E700" s="1" t="s">
        <v>32</v>
      </c>
      <c r="F700" s="1">
        <v>8</v>
      </c>
      <c r="G700" s="4">
        <v>801.3</v>
      </c>
    </row>
    <row r="701" spans="1:7" x14ac:dyDescent="0.3">
      <c r="A701" s="3">
        <v>46115</v>
      </c>
      <c r="B701" s="1" t="s">
        <v>737</v>
      </c>
      <c r="C701" s="1" t="s">
        <v>21</v>
      </c>
      <c r="D701" s="1" t="s">
        <v>16</v>
      </c>
      <c r="E701" s="1" t="s">
        <v>22</v>
      </c>
      <c r="F701" s="1">
        <v>9</v>
      </c>
      <c r="G701" s="4">
        <v>2606.16</v>
      </c>
    </row>
    <row r="702" spans="1:7" x14ac:dyDescent="0.3">
      <c r="A702" s="3">
        <v>46124</v>
      </c>
      <c r="B702" s="1" t="s">
        <v>738</v>
      </c>
      <c r="C702" s="1" t="s">
        <v>29</v>
      </c>
      <c r="D702" s="1" t="s">
        <v>36</v>
      </c>
      <c r="E702" s="1" t="s">
        <v>10</v>
      </c>
      <c r="F702" s="1">
        <v>9</v>
      </c>
      <c r="G702" s="4">
        <v>1594.61</v>
      </c>
    </row>
    <row r="703" spans="1:7" x14ac:dyDescent="0.3">
      <c r="A703" s="3">
        <v>46196</v>
      </c>
      <c r="B703" s="1" t="s">
        <v>739</v>
      </c>
      <c r="C703" s="1" t="s">
        <v>38</v>
      </c>
      <c r="D703" s="1" t="s">
        <v>740</v>
      </c>
      <c r="E703" s="1" t="s">
        <v>32</v>
      </c>
      <c r="F703" s="1">
        <v>1</v>
      </c>
      <c r="G703" s="4">
        <v>99.22</v>
      </c>
    </row>
    <row r="704" spans="1:7" x14ac:dyDescent="0.3">
      <c r="A704" s="3">
        <v>46171</v>
      </c>
      <c r="B704" s="1" t="s">
        <v>741</v>
      </c>
      <c r="C704" s="1" t="s">
        <v>40</v>
      </c>
      <c r="D704" s="1" t="s">
        <v>13</v>
      </c>
      <c r="E704" s="1" t="s">
        <v>26</v>
      </c>
      <c r="F704" s="1">
        <v>10</v>
      </c>
      <c r="G704" s="4">
        <v>3678.57</v>
      </c>
    </row>
    <row r="705" spans="1:7" x14ac:dyDescent="0.3">
      <c r="A705" s="3">
        <v>46197</v>
      </c>
      <c r="B705" s="1" t="s">
        <v>742</v>
      </c>
      <c r="C705" s="1" t="s">
        <v>40</v>
      </c>
      <c r="D705" s="1" t="s">
        <v>19</v>
      </c>
      <c r="E705" s="1" t="s">
        <v>26</v>
      </c>
      <c r="F705" s="1">
        <v>2</v>
      </c>
      <c r="G705" s="4">
        <v>418.09</v>
      </c>
    </row>
    <row r="706" spans="1:7" x14ac:dyDescent="0.3">
      <c r="A706" s="3">
        <v>46141</v>
      </c>
      <c r="B706" s="1" t="s">
        <v>743</v>
      </c>
      <c r="C706" s="1" t="s">
        <v>74</v>
      </c>
      <c r="D706" s="1" t="s">
        <v>34</v>
      </c>
      <c r="E706" s="1" t="s">
        <v>22</v>
      </c>
      <c r="F706" s="1">
        <v>11</v>
      </c>
      <c r="G706" s="4">
        <v>1069.96</v>
      </c>
    </row>
    <row r="707" spans="1:7" x14ac:dyDescent="0.3">
      <c r="A707" s="3">
        <v>46150</v>
      </c>
      <c r="B707" s="1" t="s">
        <v>744</v>
      </c>
      <c r="C707" s="1" t="s">
        <v>8</v>
      </c>
      <c r="D707" s="1" t="s">
        <v>13</v>
      </c>
      <c r="E707" s="1" t="s">
        <v>10</v>
      </c>
      <c r="F707" s="1">
        <v>2</v>
      </c>
      <c r="G707" s="4">
        <v>775.72</v>
      </c>
    </row>
    <row r="708" spans="1:7" x14ac:dyDescent="0.3">
      <c r="A708" s="3">
        <v>46134</v>
      </c>
      <c r="B708" s="1" t="s">
        <v>745</v>
      </c>
      <c r="C708" s="1" t="s">
        <v>38</v>
      </c>
      <c r="D708" s="1" t="s">
        <v>53</v>
      </c>
      <c r="E708" s="1" t="s">
        <v>32</v>
      </c>
      <c r="F708" s="1">
        <v>2</v>
      </c>
      <c r="G708" s="4">
        <v>678.64</v>
      </c>
    </row>
    <row r="709" spans="1:7" x14ac:dyDescent="0.3">
      <c r="A709" s="3">
        <v>46138</v>
      </c>
      <c r="B709" s="1" t="s">
        <v>746</v>
      </c>
      <c r="C709" s="1" t="s">
        <v>12</v>
      </c>
      <c r="D709" s="1" t="s">
        <v>9</v>
      </c>
      <c r="E709" s="1" t="s">
        <v>32</v>
      </c>
      <c r="F709" s="1">
        <v>4</v>
      </c>
      <c r="G709" s="4">
        <v>1058.57</v>
      </c>
    </row>
    <row r="710" spans="1:7" x14ac:dyDescent="0.3">
      <c r="A710" s="3">
        <v>46137</v>
      </c>
      <c r="B710" s="1" t="s">
        <v>747</v>
      </c>
      <c r="C710" s="1" t="s">
        <v>40</v>
      </c>
      <c r="D710" s="1" t="s">
        <v>9</v>
      </c>
      <c r="E710" s="1" t="s">
        <v>26</v>
      </c>
      <c r="F710" s="1">
        <v>1</v>
      </c>
      <c r="G710" s="4">
        <v>248.87</v>
      </c>
    </row>
    <row r="711" spans="1:7" x14ac:dyDescent="0.3">
      <c r="A711" s="3">
        <v>46199</v>
      </c>
      <c r="B711" s="1" t="s">
        <v>748</v>
      </c>
      <c r="C711" s="1" t="s">
        <v>29</v>
      </c>
      <c r="D711" s="1" t="s">
        <v>9</v>
      </c>
      <c r="E711" s="1" t="s">
        <v>10</v>
      </c>
      <c r="F711" s="1">
        <v>8</v>
      </c>
      <c r="G711" s="4">
        <v>2117.0500000000002</v>
      </c>
    </row>
    <row r="712" spans="1:7" x14ac:dyDescent="0.3">
      <c r="A712" s="3">
        <v>46188</v>
      </c>
      <c r="B712" s="1" t="s">
        <v>749</v>
      </c>
      <c r="C712" s="1" t="s">
        <v>8</v>
      </c>
      <c r="D712" s="1" t="s">
        <v>53</v>
      </c>
      <c r="E712" s="1" t="s">
        <v>22</v>
      </c>
      <c r="F712" s="1">
        <v>9</v>
      </c>
      <c r="G712" s="4">
        <v>2871.71</v>
      </c>
    </row>
    <row r="713" spans="1:7" x14ac:dyDescent="0.3">
      <c r="A713" s="3">
        <v>46183</v>
      </c>
      <c r="B713" s="1" t="s">
        <v>750</v>
      </c>
      <c r="C713" s="1" t="s">
        <v>46</v>
      </c>
      <c r="D713" s="1" t="s">
        <v>36</v>
      </c>
      <c r="E713" s="1" t="s">
        <v>32</v>
      </c>
      <c r="F713" s="1">
        <v>9</v>
      </c>
      <c r="G713" s="4">
        <v>1549.72</v>
      </c>
    </row>
    <row r="714" spans="1:7" x14ac:dyDescent="0.3">
      <c r="A714" s="3">
        <v>46135</v>
      </c>
      <c r="B714" s="1" t="s">
        <v>751</v>
      </c>
      <c r="C714" s="1" t="s">
        <v>29</v>
      </c>
      <c r="D714" s="1" t="s">
        <v>53</v>
      </c>
      <c r="E714" s="1" t="s">
        <v>10</v>
      </c>
      <c r="F714" s="1">
        <v>3</v>
      </c>
      <c r="G714" s="4">
        <v>1036.95</v>
      </c>
    </row>
    <row r="715" spans="1:7" x14ac:dyDescent="0.3">
      <c r="A715" s="3">
        <v>46197</v>
      </c>
      <c r="B715" s="1" t="s">
        <v>752</v>
      </c>
      <c r="C715" s="1" t="s">
        <v>29</v>
      </c>
      <c r="D715" s="1" t="s">
        <v>36</v>
      </c>
      <c r="E715" s="1" t="s">
        <v>10</v>
      </c>
      <c r="F715" s="1">
        <v>7</v>
      </c>
      <c r="G715" s="4">
        <v>1263.18</v>
      </c>
    </row>
    <row r="716" spans="1:7" x14ac:dyDescent="0.3">
      <c r="A716" s="3">
        <v>46190</v>
      </c>
      <c r="B716" s="1" t="s">
        <v>753</v>
      </c>
      <c r="C716" s="1" t="s">
        <v>12</v>
      </c>
      <c r="D716" s="1" t="s">
        <v>82</v>
      </c>
      <c r="E716" s="1" t="s">
        <v>14</v>
      </c>
      <c r="F716" s="1">
        <v>6</v>
      </c>
      <c r="G716" s="4">
        <v>636.15</v>
      </c>
    </row>
    <row r="717" spans="1:7" x14ac:dyDescent="0.3">
      <c r="A717" s="3">
        <v>46170</v>
      </c>
      <c r="B717" s="1" t="s">
        <v>754</v>
      </c>
      <c r="C717" s="1" t="s">
        <v>18</v>
      </c>
      <c r="D717" s="1" t="s">
        <v>53</v>
      </c>
      <c r="E717" s="1" t="s">
        <v>14</v>
      </c>
      <c r="F717" s="1">
        <v>12</v>
      </c>
      <c r="G717" s="4">
        <v>3753.24</v>
      </c>
    </row>
    <row r="718" spans="1:7" x14ac:dyDescent="0.3">
      <c r="A718" s="3">
        <v>46178</v>
      </c>
      <c r="B718" s="1" t="s">
        <v>755</v>
      </c>
      <c r="C718" s="1" t="s">
        <v>24</v>
      </c>
      <c r="D718" s="1" t="s">
        <v>19</v>
      </c>
      <c r="E718" s="1" t="s">
        <v>26</v>
      </c>
      <c r="F718" s="1">
        <v>6</v>
      </c>
      <c r="G718" s="4">
        <v>1262.1099999999999</v>
      </c>
    </row>
    <row r="719" spans="1:7" x14ac:dyDescent="0.3">
      <c r="A719" s="3">
        <v>46183</v>
      </c>
      <c r="B719" s="1" t="s">
        <v>756</v>
      </c>
      <c r="C719" s="1" t="s">
        <v>12</v>
      </c>
      <c r="D719" s="1" t="s">
        <v>30</v>
      </c>
      <c r="E719" s="1" t="s">
        <v>14</v>
      </c>
      <c r="F719" s="1">
        <v>12</v>
      </c>
      <c r="G719" s="4">
        <v>1853.05</v>
      </c>
    </row>
    <row r="720" spans="1:7" x14ac:dyDescent="0.3">
      <c r="A720" s="3">
        <v>46157</v>
      </c>
      <c r="B720" s="1" t="s">
        <v>757</v>
      </c>
      <c r="C720" s="1" t="s">
        <v>18</v>
      </c>
      <c r="D720" s="1" t="s">
        <v>19</v>
      </c>
      <c r="E720" s="1" t="s">
        <v>14</v>
      </c>
      <c r="F720" s="1">
        <v>3</v>
      </c>
      <c r="G720" s="4">
        <v>648.28</v>
      </c>
    </row>
    <row r="721" spans="1:7" x14ac:dyDescent="0.3">
      <c r="A721" s="3">
        <v>46201</v>
      </c>
      <c r="B721" s="1" t="s">
        <v>758</v>
      </c>
      <c r="C721" s="1" t="s">
        <v>40</v>
      </c>
      <c r="D721" s="1" t="s">
        <v>19</v>
      </c>
      <c r="E721" s="1" t="s">
        <v>26</v>
      </c>
      <c r="F721" s="1">
        <v>6</v>
      </c>
      <c r="G721" s="4">
        <v>1286.8900000000001</v>
      </c>
    </row>
    <row r="722" spans="1:7" x14ac:dyDescent="0.3">
      <c r="A722" s="3">
        <v>46187</v>
      </c>
      <c r="B722" s="1" t="s">
        <v>759</v>
      </c>
      <c r="C722" s="1" t="s">
        <v>29</v>
      </c>
      <c r="D722" s="1" t="s">
        <v>43</v>
      </c>
      <c r="E722" s="1" t="s">
        <v>10</v>
      </c>
      <c r="F722" s="1">
        <v>11</v>
      </c>
      <c r="G722" s="4">
        <v>3404.36</v>
      </c>
    </row>
    <row r="723" spans="1:7" x14ac:dyDescent="0.3">
      <c r="A723" s="3">
        <v>46181</v>
      </c>
      <c r="B723" s="1" t="s">
        <v>760</v>
      </c>
      <c r="C723" s="1" t="s">
        <v>24</v>
      </c>
      <c r="D723" s="1" t="s">
        <v>16</v>
      </c>
      <c r="E723" s="1" t="s">
        <v>10</v>
      </c>
      <c r="F723" s="1">
        <v>2</v>
      </c>
      <c r="G723" s="4">
        <v>618.12</v>
      </c>
    </row>
    <row r="724" spans="1:7" x14ac:dyDescent="0.3">
      <c r="A724" s="3">
        <v>46131</v>
      </c>
      <c r="B724" s="1" t="s">
        <v>761</v>
      </c>
      <c r="C724" s="1" t="s">
        <v>74</v>
      </c>
      <c r="D724" s="1" t="s">
        <v>43</v>
      </c>
      <c r="E724" s="1" t="s">
        <v>22</v>
      </c>
      <c r="F724" s="1">
        <v>5</v>
      </c>
      <c r="G724" s="4">
        <v>1546.96</v>
      </c>
    </row>
    <row r="725" spans="1:7" x14ac:dyDescent="0.3">
      <c r="A725" s="3">
        <v>46133</v>
      </c>
      <c r="B725" s="1" t="s">
        <v>762</v>
      </c>
      <c r="C725" s="1" t="s">
        <v>24</v>
      </c>
      <c r="D725" s="1" t="s">
        <v>43</v>
      </c>
      <c r="E725" s="1" t="s">
        <v>26</v>
      </c>
      <c r="F725" s="1">
        <v>1</v>
      </c>
      <c r="G725" s="4">
        <v>311.82</v>
      </c>
    </row>
    <row r="726" spans="1:7" x14ac:dyDescent="0.3">
      <c r="A726" s="3">
        <v>46150</v>
      </c>
      <c r="B726" s="1" t="s">
        <v>763</v>
      </c>
      <c r="C726" s="1" t="s">
        <v>12</v>
      </c>
      <c r="D726" s="1" t="s">
        <v>13</v>
      </c>
      <c r="E726" s="1" t="s">
        <v>14</v>
      </c>
      <c r="F726" s="1">
        <v>8</v>
      </c>
      <c r="G726" s="4">
        <v>3081.63</v>
      </c>
    </row>
    <row r="727" spans="1:7" x14ac:dyDescent="0.3">
      <c r="A727" s="3">
        <v>46199</v>
      </c>
      <c r="B727" s="1" t="s">
        <v>764</v>
      </c>
      <c r="C727" s="1" t="s">
        <v>8</v>
      </c>
      <c r="D727" s="1" t="s">
        <v>30</v>
      </c>
      <c r="E727" s="1" t="s">
        <v>10</v>
      </c>
      <c r="F727" s="1">
        <v>9</v>
      </c>
      <c r="G727" s="4">
        <v>1372.8</v>
      </c>
    </row>
    <row r="728" spans="1:7" x14ac:dyDescent="0.3">
      <c r="A728" s="3">
        <v>46178</v>
      </c>
      <c r="B728" s="1" t="s">
        <v>765</v>
      </c>
      <c r="C728" s="1" t="s">
        <v>24</v>
      </c>
      <c r="D728" s="1" t="s">
        <v>19</v>
      </c>
      <c r="E728" s="1" t="s">
        <v>26</v>
      </c>
      <c r="F728" s="1">
        <v>7</v>
      </c>
      <c r="G728" s="4">
        <v>1535.12</v>
      </c>
    </row>
    <row r="729" spans="1:7" x14ac:dyDescent="0.3">
      <c r="A729" s="3">
        <v>46200</v>
      </c>
      <c r="B729" s="1" t="s">
        <v>766</v>
      </c>
      <c r="C729" s="1" t="s">
        <v>40</v>
      </c>
      <c r="D729" s="1" t="s">
        <v>13</v>
      </c>
      <c r="E729" s="1" t="s">
        <v>26</v>
      </c>
      <c r="F729" s="1">
        <v>12</v>
      </c>
      <c r="G729" s="4">
        <v>4538.8500000000004</v>
      </c>
    </row>
    <row r="730" spans="1:7" x14ac:dyDescent="0.3">
      <c r="A730" s="3">
        <v>46192</v>
      </c>
      <c r="B730" s="1" t="s">
        <v>767</v>
      </c>
      <c r="C730" s="1" t="s">
        <v>38</v>
      </c>
      <c r="D730" s="1" t="s">
        <v>30</v>
      </c>
      <c r="E730" s="1" t="s">
        <v>26</v>
      </c>
      <c r="F730" s="1">
        <v>10</v>
      </c>
      <c r="G730" s="4">
        <v>1495.05</v>
      </c>
    </row>
    <row r="731" spans="1:7" x14ac:dyDescent="0.3">
      <c r="A731" s="3">
        <v>46190</v>
      </c>
      <c r="B731" s="1" t="s">
        <v>768</v>
      </c>
      <c r="C731" s="1" t="s">
        <v>12</v>
      </c>
      <c r="D731" s="1" t="s">
        <v>19</v>
      </c>
      <c r="E731" s="1" t="s">
        <v>26</v>
      </c>
      <c r="F731" s="1">
        <v>8</v>
      </c>
      <c r="G731" s="4">
        <v>1800.82</v>
      </c>
    </row>
    <row r="732" spans="1:7" x14ac:dyDescent="0.3">
      <c r="A732" s="3">
        <v>46200</v>
      </c>
      <c r="B732" s="1" t="s">
        <v>769</v>
      </c>
      <c r="C732" s="1" t="s">
        <v>21</v>
      </c>
      <c r="D732" s="1" t="s">
        <v>53</v>
      </c>
      <c r="E732" s="1" t="s">
        <v>10</v>
      </c>
      <c r="F732" s="1">
        <v>2</v>
      </c>
      <c r="G732" s="4">
        <v>668.32</v>
      </c>
    </row>
    <row r="733" spans="1:7" x14ac:dyDescent="0.3">
      <c r="A733" s="3">
        <v>46167</v>
      </c>
      <c r="B733" s="1" t="s">
        <v>770</v>
      </c>
      <c r="C733" s="1" t="s">
        <v>24</v>
      </c>
      <c r="D733" s="1" t="s">
        <v>13</v>
      </c>
      <c r="E733" s="1" t="s">
        <v>26</v>
      </c>
      <c r="F733" s="1">
        <v>3</v>
      </c>
      <c r="G733" s="4">
        <v>1088.01</v>
      </c>
    </row>
    <row r="734" spans="1:7" x14ac:dyDescent="0.3">
      <c r="A734" s="3">
        <v>46145</v>
      </c>
      <c r="B734" s="1" t="s">
        <v>771</v>
      </c>
      <c r="C734" s="1" t="s">
        <v>74</v>
      </c>
      <c r="D734" s="1" t="s">
        <v>34</v>
      </c>
      <c r="E734" s="1" t="s">
        <v>22</v>
      </c>
      <c r="F734" s="1">
        <v>3</v>
      </c>
      <c r="G734" s="4">
        <v>328.42</v>
      </c>
    </row>
    <row r="735" spans="1:7" x14ac:dyDescent="0.3">
      <c r="A735" s="3">
        <v>46154</v>
      </c>
      <c r="B735" s="1" t="s">
        <v>772</v>
      </c>
      <c r="C735" s="1" t="s">
        <v>29</v>
      </c>
      <c r="D735" s="1" t="s">
        <v>25</v>
      </c>
      <c r="E735" s="1" t="s">
        <v>10</v>
      </c>
      <c r="F735" s="1">
        <v>11</v>
      </c>
      <c r="G735" s="4">
        <v>4278.71</v>
      </c>
    </row>
    <row r="736" spans="1:7" x14ac:dyDescent="0.3">
      <c r="A736" s="3">
        <v>46197</v>
      </c>
      <c r="B736" s="1" t="s">
        <v>773</v>
      </c>
      <c r="C736" s="1" t="s">
        <v>24</v>
      </c>
      <c r="D736" s="1" t="s">
        <v>48</v>
      </c>
      <c r="E736" s="1" t="s">
        <v>10</v>
      </c>
      <c r="F736" s="1">
        <v>6</v>
      </c>
      <c r="G736" s="4">
        <v>1546.36</v>
      </c>
    </row>
    <row r="737" spans="1:7" x14ac:dyDescent="0.3">
      <c r="A737" s="3">
        <v>46203</v>
      </c>
      <c r="B737" s="1" t="s">
        <v>774</v>
      </c>
      <c r="C737" s="1" t="s">
        <v>40</v>
      </c>
      <c r="D737" s="1" t="s">
        <v>13</v>
      </c>
      <c r="E737" s="1" t="s">
        <v>26</v>
      </c>
      <c r="F737" s="1">
        <v>3</v>
      </c>
      <c r="G737" s="4">
        <v>1096.9100000000001</v>
      </c>
    </row>
    <row r="738" spans="1:7" x14ac:dyDescent="0.3">
      <c r="A738" s="3">
        <v>46177</v>
      </c>
      <c r="B738" s="1" t="s">
        <v>775</v>
      </c>
      <c r="C738" s="1" t="s">
        <v>18</v>
      </c>
      <c r="D738" s="1" t="s">
        <v>16</v>
      </c>
      <c r="E738" s="1" t="s">
        <v>14</v>
      </c>
      <c r="F738" s="1">
        <v>7</v>
      </c>
      <c r="G738" s="4">
        <v>2146.06</v>
      </c>
    </row>
    <row r="739" spans="1:7" x14ac:dyDescent="0.3">
      <c r="A739" s="3">
        <v>46141</v>
      </c>
      <c r="B739" s="1" t="s">
        <v>776</v>
      </c>
      <c r="C739" s="1" t="s">
        <v>12</v>
      </c>
      <c r="D739" s="1" t="s">
        <v>43</v>
      </c>
      <c r="E739" s="1" t="s">
        <v>14</v>
      </c>
      <c r="F739" s="1">
        <v>6</v>
      </c>
      <c r="G739" s="4">
        <v>1968.13</v>
      </c>
    </row>
    <row r="740" spans="1:7" x14ac:dyDescent="0.3">
      <c r="A740" s="3">
        <v>46192</v>
      </c>
      <c r="B740" s="1" t="s">
        <v>777</v>
      </c>
      <c r="C740" s="1" t="s">
        <v>8</v>
      </c>
      <c r="D740" s="1" t="s">
        <v>48</v>
      </c>
      <c r="E740" s="1" t="s">
        <v>22</v>
      </c>
      <c r="F740" s="1">
        <v>2</v>
      </c>
      <c r="G740" s="4">
        <v>478.26</v>
      </c>
    </row>
    <row r="741" spans="1:7" x14ac:dyDescent="0.3">
      <c r="A741" s="3">
        <v>46170</v>
      </c>
      <c r="B741" s="1" t="s">
        <v>778</v>
      </c>
      <c r="C741" s="1" t="s">
        <v>12</v>
      </c>
      <c r="D741" s="1" t="s">
        <v>43</v>
      </c>
      <c r="E741" s="1" t="s">
        <v>14</v>
      </c>
      <c r="F741" s="1">
        <v>10</v>
      </c>
      <c r="G741" s="4">
        <v>3300.52</v>
      </c>
    </row>
    <row r="742" spans="1:7" x14ac:dyDescent="0.3">
      <c r="A742" s="3">
        <v>46118</v>
      </c>
      <c r="B742" s="1" t="s">
        <v>779</v>
      </c>
      <c r="C742" s="1" t="s">
        <v>40</v>
      </c>
      <c r="D742" s="1" t="s">
        <v>16</v>
      </c>
      <c r="E742" s="1" t="s">
        <v>22</v>
      </c>
      <c r="F742" s="1">
        <v>7</v>
      </c>
      <c r="G742" s="4">
        <v>2103.1799999999998</v>
      </c>
    </row>
    <row r="743" spans="1:7" x14ac:dyDescent="0.3">
      <c r="A743" s="3">
        <v>46149</v>
      </c>
      <c r="B743" s="1" t="s">
        <v>780</v>
      </c>
      <c r="C743" s="1" t="s">
        <v>74</v>
      </c>
      <c r="D743" s="1" t="s">
        <v>13</v>
      </c>
      <c r="E743" s="1" t="s">
        <v>26</v>
      </c>
      <c r="F743" s="1">
        <v>9</v>
      </c>
      <c r="G743" s="4">
        <v>3171.85</v>
      </c>
    </row>
    <row r="744" spans="1:7" x14ac:dyDescent="0.3">
      <c r="A744" s="3">
        <v>46170</v>
      </c>
      <c r="B744" s="1" t="s">
        <v>781</v>
      </c>
      <c r="C744" s="1" t="s">
        <v>38</v>
      </c>
      <c r="D744" s="1" t="s">
        <v>25</v>
      </c>
      <c r="E744" s="1" t="s">
        <v>32</v>
      </c>
      <c r="F744" s="1">
        <v>11</v>
      </c>
      <c r="G744" s="4">
        <v>4513.2700000000004</v>
      </c>
    </row>
    <row r="745" spans="1:7" x14ac:dyDescent="0.3">
      <c r="A745" s="3">
        <v>46178</v>
      </c>
      <c r="B745" s="1" t="s">
        <v>782</v>
      </c>
      <c r="C745" s="1" t="s">
        <v>21</v>
      </c>
      <c r="D745" s="1" t="s">
        <v>9</v>
      </c>
      <c r="E745" s="1" t="s">
        <v>22</v>
      </c>
      <c r="F745" s="1">
        <v>9</v>
      </c>
      <c r="G745" s="4">
        <v>2358.7600000000002</v>
      </c>
    </row>
    <row r="746" spans="1:7" x14ac:dyDescent="0.3">
      <c r="A746" s="1" t="s">
        <v>783</v>
      </c>
      <c r="B746" s="1" t="s">
        <v>784</v>
      </c>
      <c r="C746" s="1" t="s">
        <v>21</v>
      </c>
      <c r="D746" s="1" t="s">
        <v>30</v>
      </c>
      <c r="E746" s="1" t="s">
        <v>22</v>
      </c>
      <c r="F746" s="1">
        <v>4</v>
      </c>
      <c r="G746" s="4">
        <v>573.57000000000005</v>
      </c>
    </row>
    <row r="747" spans="1:7" x14ac:dyDescent="0.3">
      <c r="A747" s="3">
        <v>46167</v>
      </c>
      <c r="B747" s="1" t="s">
        <v>785</v>
      </c>
      <c r="C747" s="1" t="s">
        <v>21</v>
      </c>
      <c r="D747" s="1" t="s">
        <v>30</v>
      </c>
      <c r="E747" s="1" t="s">
        <v>22</v>
      </c>
      <c r="F747" s="1">
        <v>12</v>
      </c>
      <c r="G747" s="4">
        <v>1717.56</v>
      </c>
    </row>
    <row r="748" spans="1:7" x14ac:dyDescent="0.3">
      <c r="A748" s="3">
        <v>46168</v>
      </c>
      <c r="B748" s="1" t="s">
        <v>786</v>
      </c>
      <c r="C748" s="1" t="s">
        <v>21</v>
      </c>
      <c r="D748" s="1" t="s">
        <v>19</v>
      </c>
      <c r="E748" s="1" t="s">
        <v>22</v>
      </c>
      <c r="F748" s="1">
        <v>1</v>
      </c>
      <c r="G748" s="4">
        <v>217.33</v>
      </c>
    </row>
    <row r="749" spans="1:7" x14ac:dyDescent="0.3">
      <c r="A749" s="3">
        <v>46155</v>
      </c>
      <c r="B749" s="1" t="s">
        <v>787</v>
      </c>
      <c r="C749" s="1" t="s">
        <v>74</v>
      </c>
      <c r="D749" s="1" t="s">
        <v>9</v>
      </c>
      <c r="E749" s="1" t="s">
        <v>22</v>
      </c>
      <c r="F749" s="1">
        <v>3</v>
      </c>
      <c r="G749" s="4">
        <v>759.94</v>
      </c>
    </row>
    <row r="750" spans="1:7" x14ac:dyDescent="0.3">
      <c r="A750" s="3">
        <v>46184</v>
      </c>
      <c r="B750" s="1" t="s">
        <v>788</v>
      </c>
      <c r="C750" s="1" t="s">
        <v>21</v>
      </c>
      <c r="D750" s="1" t="s">
        <v>36</v>
      </c>
      <c r="E750" s="1" t="s">
        <v>26</v>
      </c>
      <c r="F750" s="1">
        <v>7</v>
      </c>
      <c r="G750" s="4">
        <v>1268.07</v>
      </c>
    </row>
    <row r="751" spans="1:7" x14ac:dyDescent="0.3">
      <c r="A751" s="3">
        <v>46193</v>
      </c>
      <c r="B751" s="1" t="s">
        <v>789</v>
      </c>
      <c r="C751" s="1" t="s">
        <v>46</v>
      </c>
      <c r="D751" s="1" t="s">
        <v>16</v>
      </c>
      <c r="E751" s="1" t="s">
        <v>32</v>
      </c>
      <c r="F751" s="1">
        <v>7</v>
      </c>
      <c r="G751" s="4">
        <v>1994.67</v>
      </c>
    </row>
  </sheetData>
  <autoFilter ref="A1:G751">
    <sortState ref="A2:G751">
      <sortCondition ref="B1:B751"/>
    </sortState>
  </autoFilter>
  <conditionalFormatting sqref="B1:B1048576">
    <cfRule type="duplicateValues" dxfId="2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8" sqref="C8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</cols>
  <sheetData>
    <row r="1" spans="1:3" x14ac:dyDescent="0.3">
      <c r="A1" s="9" t="s">
        <v>2</v>
      </c>
      <c r="B1" s="9" t="s">
        <v>829</v>
      </c>
      <c r="C1" s="9" t="s">
        <v>830</v>
      </c>
    </row>
    <row r="2" spans="1:3" x14ac:dyDescent="0.3">
      <c r="A2" s="8" t="s">
        <v>74</v>
      </c>
      <c r="B2" s="8" t="s">
        <v>831</v>
      </c>
      <c r="C2" s="8" t="s">
        <v>832</v>
      </c>
    </row>
    <row r="3" spans="1:3" x14ac:dyDescent="0.3">
      <c r="A3" s="8" t="s">
        <v>21</v>
      </c>
      <c r="B3" s="8" t="s">
        <v>833</v>
      </c>
      <c r="C3" s="8" t="s">
        <v>832</v>
      </c>
    </row>
    <row r="4" spans="1:3" x14ac:dyDescent="0.3">
      <c r="A4" s="8" t="s">
        <v>18</v>
      </c>
      <c r="B4" s="8" t="s">
        <v>834</v>
      </c>
      <c r="C4" s="8" t="s">
        <v>832</v>
      </c>
    </row>
    <row r="5" spans="1:3" x14ac:dyDescent="0.3">
      <c r="A5" s="8" t="s">
        <v>12</v>
      </c>
      <c r="B5" s="8" t="s">
        <v>835</v>
      </c>
      <c r="C5" s="8" t="s">
        <v>832</v>
      </c>
    </row>
    <row r="6" spans="1:3" x14ac:dyDescent="0.3">
      <c r="A6" s="8" t="s">
        <v>24</v>
      </c>
      <c r="B6" s="8" t="s">
        <v>836</v>
      </c>
      <c r="C6" s="8" t="s">
        <v>832</v>
      </c>
    </row>
    <row r="7" spans="1:3" x14ac:dyDescent="0.3">
      <c r="A7" s="8" t="s">
        <v>40</v>
      </c>
      <c r="B7" s="8" t="s">
        <v>837</v>
      </c>
      <c r="C7" s="8" t="s">
        <v>832</v>
      </c>
    </row>
    <row r="8" spans="1:3" x14ac:dyDescent="0.3">
      <c r="A8" s="8" t="s">
        <v>46</v>
      </c>
      <c r="B8" s="8" t="s">
        <v>838</v>
      </c>
      <c r="C8" s="8" t="s">
        <v>832</v>
      </c>
    </row>
    <row r="9" spans="1:3" x14ac:dyDescent="0.3">
      <c r="A9" s="8" t="s">
        <v>38</v>
      </c>
      <c r="B9" s="8" t="s">
        <v>839</v>
      </c>
      <c r="C9" s="8" t="s">
        <v>832</v>
      </c>
    </row>
    <row r="10" spans="1:3" x14ac:dyDescent="0.3">
      <c r="A10" s="8" t="s">
        <v>8</v>
      </c>
      <c r="B10" s="8" t="s">
        <v>840</v>
      </c>
      <c r="C10" s="8" t="s">
        <v>832</v>
      </c>
    </row>
    <row r="11" spans="1:3" x14ac:dyDescent="0.3">
      <c r="A11" s="8" t="s">
        <v>29</v>
      </c>
      <c r="B11" s="8" t="s">
        <v>841</v>
      </c>
      <c r="C11" s="8" t="s">
        <v>832</v>
      </c>
    </row>
    <row r="12" spans="1:3" x14ac:dyDescent="0.3">
      <c r="A12" s="8" t="s">
        <v>46</v>
      </c>
      <c r="B12" s="8" t="s">
        <v>838</v>
      </c>
      <c r="C12" s="8" t="s">
        <v>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K30" sqref="K30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2.21875" bestFit="1" customWidth="1"/>
    <col min="4" max="4" width="13.88671875" bestFit="1" customWidth="1"/>
  </cols>
  <sheetData>
    <row r="1" spans="1:4" x14ac:dyDescent="0.3">
      <c r="A1" s="11" t="s">
        <v>3</v>
      </c>
      <c r="B1" s="11" t="s">
        <v>843</v>
      </c>
      <c r="C1" s="11" t="s">
        <v>844</v>
      </c>
      <c r="D1" s="11" t="s">
        <v>845</v>
      </c>
    </row>
    <row r="2" spans="1:4" x14ac:dyDescent="0.3">
      <c r="A2" s="10" t="s">
        <v>25</v>
      </c>
      <c r="B2" s="10" t="s">
        <v>846</v>
      </c>
      <c r="C2" s="10" t="s">
        <v>847</v>
      </c>
      <c r="D2" s="12">
        <v>420</v>
      </c>
    </row>
    <row r="3" spans="1:4" x14ac:dyDescent="0.3">
      <c r="A3" s="10" t="s">
        <v>9</v>
      </c>
      <c r="B3" s="10" t="s">
        <v>848</v>
      </c>
      <c r="C3" s="10" t="s">
        <v>847</v>
      </c>
      <c r="D3" s="12">
        <v>280</v>
      </c>
    </row>
    <row r="4" spans="1:4" x14ac:dyDescent="0.3">
      <c r="A4" s="10" t="s">
        <v>53</v>
      </c>
      <c r="B4" s="10" t="s">
        <v>849</v>
      </c>
      <c r="C4" s="10" t="s">
        <v>847</v>
      </c>
      <c r="D4" s="12">
        <v>350</v>
      </c>
    </row>
    <row r="5" spans="1:4" x14ac:dyDescent="0.3">
      <c r="A5" s="10" t="s">
        <v>30</v>
      </c>
      <c r="B5" s="10" t="s">
        <v>850</v>
      </c>
      <c r="C5" s="10" t="s">
        <v>851</v>
      </c>
      <c r="D5" s="12">
        <v>160</v>
      </c>
    </row>
    <row r="6" spans="1:4" x14ac:dyDescent="0.3">
      <c r="A6" s="10" t="s">
        <v>82</v>
      </c>
      <c r="B6" s="10" t="s">
        <v>852</v>
      </c>
      <c r="C6" s="10" t="s">
        <v>851</v>
      </c>
      <c r="D6" s="12">
        <v>120</v>
      </c>
    </row>
    <row r="7" spans="1:4" x14ac:dyDescent="0.3">
      <c r="A7" s="10" t="s">
        <v>34</v>
      </c>
      <c r="B7" s="10" t="s">
        <v>853</v>
      </c>
      <c r="C7" s="10" t="s">
        <v>851</v>
      </c>
      <c r="D7" s="12">
        <v>110</v>
      </c>
    </row>
    <row r="8" spans="1:4" x14ac:dyDescent="0.3">
      <c r="A8" s="10" t="s">
        <v>16</v>
      </c>
      <c r="B8" s="10" t="s">
        <v>854</v>
      </c>
      <c r="C8" s="10" t="s">
        <v>855</v>
      </c>
      <c r="D8" s="12">
        <v>310</v>
      </c>
    </row>
    <row r="9" spans="1:4" x14ac:dyDescent="0.3">
      <c r="A9" s="10" t="s">
        <v>48</v>
      </c>
      <c r="B9" s="10" t="s">
        <v>856</v>
      </c>
      <c r="C9" s="10" t="s">
        <v>855</v>
      </c>
      <c r="D9" s="12">
        <v>260</v>
      </c>
    </row>
    <row r="10" spans="1:4" x14ac:dyDescent="0.3">
      <c r="A10" s="10" t="s">
        <v>13</v>
      </c>
      <c r="B10" s="10" t="s">
        <v>857</v>
      </c>
      <c r="C10" s="10" t="s">
        <v>855</v>
      </c>
      <c r="D10" s="12">
        <v>390</v>
      </c>
    </row>
    <row r="11" spans="1:4" x14ac:dyDescent="0.3">
      <c r="A11" s="10" t="s">
        <v>36</v>
      </c>
      <c r="B11" s="10" t="s">
        <v>858</v>
      </c>
      <c r="C11" s="10" t="s">
        <v>859</v>
      </c>
      <c r="D11" s="12">
        <v>190</v>
      </c>
    </row>
    <row r="12" spans="1:4" x14ac:dyDescent="0.3">
      <c r="A12" s="10" t="s">
        <v>43</v>
      </c>
      <c r="B12" s="10" t="s">
        <v>860</v>
      </c>
      <c r="C12" s="10" t="s">
        <v>859</v>
      </c>
      <c r="D12" s="12">
        <v>340</v>
      </c>
    </row>
    <row r="13" spans="1:4" x14ac:dyDescent="0.3">
      <c r="A13" s="10" t="s">
        <v>19</v>
      </c>
      <c r="B13" s="10" t="s">
        <v>861</v>
      </c>
      <c r="C13" s="10" t="s">
        <v>859</v>
      </c>
      <c r="D13" s="12">
        <v>230</v>
      </c>
    </row>
    <row r="14" spans="1:4" x14ac:dyDescent="0.3">
      <c r="A14" s="10" t="s">
        <v>13</v>
      </c>
      <c r="B14" s="10" t="s">
        <v>857</v>
      </c>
      <c r="C14" s="10" t="s">
        <v>862</v>
      </c>
      <c r="D14" s="12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G23" sqref="G23"/>
    </sheetView>
  </sheetViews>
  <sheetFormatPr defaultRowHeight="14.4" x14ac:dyDescent="0.3"/>
  <cols>
    <col min="1" max="1" width="9.6640625" bestFit="1" customWidth="1"/>
    <col min="2" max="2" width="13.21875" bestFit="1" customWidth="1"/>
    <col min="3" max="3" width="6.77734375" bestFit="1" customWidth="1"/>
  </cols>
  <sheetData>
    <row r="1" spans="1:3" x14ac:dyDescent="0.3">
      <c r="A1" s="14" t="s">
        <v>4</v>
      </c>
      <c r="B1" s="14" t="s">
        <v>863</v>
      </c>
      <c r="C1" s="14" t="s">
        <v>864</v>
      </c>
    </row>
    <row r="2" spans="1:3" x14ac:dyDescent="0.3">
      <c r="A2" s="13" t="s">
        <v>22</v>
      </c>
      <c r="B2" s="13" t="s">
        <v>865</v>
      </c>
      <c r="C2" s="13" t="s">
        <v>866</v>
      </c>
    </row>
    <row r="3" spans="1:3" x14ac:dyDescent="0.3">
      <c r="A3" s="13" t="s">
        <v>14</v>
      </c>
      <c r="B3" s="13" t="s">
        <v>867</v>
      </c>
      <c r="C3" s="13" t="s">
        <v>866</v>
      </c>
    </row>
    <row r="4" spans="1:3" x14ac:dyDescent="0.3">
      <c r="A4" s="13" t="s">
        <v>26</v>
      </c>
      <c r="B4" s="13" t="s">
        <v>868</v>
      </c>
      <c r="C4" s="13" t="s">
        <v>869</v>
      </c>
    </row>
    <row r="5" spans="1:3" x14ac:dyDescent="0.3">
      <c r="A5" s="13" t="s">
        <v>32</v>
      </c>
      <c r="B5" s="13" t="s">
        <v>870</v>
      </c>
      <c r="C5" s="13" t="s">
        <v>871</v>
      </c>
    </row>
    <row r="6" spans="1:3" x14ac:dyDescent="0.3">
      <c r="A6" s="13" t="s">
        <v>10</v>
      </c>
      <c r="B6" s="13" t="s">
        <v>872</v>
      </c>
      <c r="C6" s="13" t="s">
        <v>869</v>
      </c>
    </row>
    <row r="7" spans="1:3" x14ac:dyDescent="0.3">
      <c r="A7" s="13" t="s">
        <v>26</v>
      </c>
      <c r="B7" s="13" t="s">
        <v>868</v>
      </c>
      <c r="C7" s="13" t="s">
        <v>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C14" sqref="C14"/>
    </sheetView>
  </sheetViews>
  <sheetFormatPr defaultRowHeight="14.4" x14ac:dyDescent="0.3"/>
  <cols>
    <col min="1" max="1" width="12.109375" bestFit="1" customWidth="1"/>
    <col min="2" max="2" width="9.21875" bestFit="1" customWidth="1"/>
    <col min="3" max="3" width="14.6640625" bestFit="1" customWidth="1"/>
    <col min="6" max="6" width="11.88671875" bestFit="1" customWidth="1"/>
  </cols>
  <sheetData>
    <row r="1" spans="1:6" x14ac:dyDescent="0.3">
      <c r="A1" s="16" t="s">
        <v>2</v>
      </c>
      <c r="B1" s="16" t="s">
        <v>874</v>
      </c>
      <c r="C1" s="16" t="s">
        <v>875</v>
      </c>
      <c r="D1" s="19" t="s">
        <v>927</v>
      </c>
      <c r="F1" s="19" t="s">
        <v>942</v>
      </c>
    </row>
    <row r="2" spans="1:6" x14ac:dyDescent="0.3">
      <c r="A2" s="15" t="s">
        <v>74</v>
      </c>
      <c r="B2" s="17">
        <v>46113</v>
      </c>
      <c r="C2" s="18">
        <v>156900</v>
      </c>
      <c r="D2">
        <v>1</v>
      </c>
      <c r="E2" t="str">
        <f>IF(COUNTIFS(A2:A32,A2,B2:B32,B2)&gt;1,"Duplicate","Unique")</f>
        <v>Unique</v>
      </c>
      <c r="F2" t="str">
        <f t="shared" ref="F2:F32" si="0">A2&amp;"|"&amp;TEXT(B2,"yyyymm")</f>
        <v>E001|202604</v>
      </c>
    </row>
    <row r="3" spans="1:6" x14ac:dyDescent="0.3">
      <c r="A3" s="15" t="s">
        <v>74</v>
      </c>
      <c r="B3" s="17">
        <v>46143</v>
      </c>
      <c r="C3" s="18">
        <v>169500</v>
      </c>
      <c r="D3">
        <v>2</v>
      </c>
      <c r="F3" t="str">
        <f t="shared" si="0"/>
        <v>E001|202605</v>
      </c>
    </row>
    <row r="4" spans="1:6" x14ac:dyDescent="0.3">
      <c r="A4" s="15" t="s">
        <v>74</v>
      </c>
      <c r="B4" s="17">
        <v>46174</v>
      </c>
      <c r="C4" s="18">
        <v>150600</v>
      </c>
      <c r="D4">
        <v>3</v>
      </c>
      <c r="F4" t="str">
        <f t="shared" si="0"/>
        <v>E001|202606</v>
      </c>
    </row>
    <row r="5" spans="1:6" x14ac:dyDescent="0.3">
      <c r="A5" s="15" t="s">
        <v>21</v>
      </c>
      <c r="B5" s="17">
        <v>46113</v>
      </c>
      <c r="C5" s="18">
        <v>122300</v>
      </c>
      <c r="D5">
        <v>4</v>
      </c>
      <c r="F5" t="str">
        <f t="shared" si="0"/>
        <v>E002|202604</v>
      </c>
    </row>
    <row r="6" spans="1:6" x14ac:dyDescent="0.3">
      <c r="A6" s="15" t="s">
        <v>21</v>
      </c>
      <c r="B6" s="17">
        <v>46143</v>
      </c>
      <c r="C6" s="18">
        <v>132100</v>
      </c>
      <c r="D6">
        <v>5</v>
      </c>
      <c r="F6" t="str">
        <f t="shared" si="0"/>
        <v>E002|202605</v>
      </c>
    </row>
    <row r="7" spans="1:6" x14ac:dyDescent="0.3">
      <c r="A7" s="15" t="s">
        <v>21</v>
      </c>
      <c r="B7" s="17">
        <v>46174</v>
      </c>
      <c r="C7" s="18">
        <v>117400</v>
      </c>
      <c r="D7">
        <v>6</v>
      </c>
      <c r="F7" t="str">
        <f t="shared" si="0"/>
        <v>E002|202606</v>
      </c>
    </row>
    <row r="8" spans="1:6" x14ac:dyDescent="0.3">
      <c r="A8" s="15" t="s">
        <v>18</v>
      </c>
      <c r="B8" s="17">
        <v>46113</v>
      </c>
      <c r="C8" s="18">
        <v>116600</v>
      </c>
      <c r="D8">
        <v>7</v>
      </c>
      <c r="F8" t="str">
        <f t="shared" si="0"/>
        <v>E003|202604</v>
      </c>
    </row>
    <row r="9" spans="1:6" x14ac:dyDescent="0.3">
      <c r="A9" s="15" t="s">
        <v>18</v>
      </c>
      <c r="B9" s="17">
        <v>46143</v>
      </c>
      <c r="C9" s="18">
        <v>126000</v>
      </c>
      <c r="D9">
        <v>8</v>
      </c>
      <c r="F9" t="str">
        <f t="shared" si="0"/>
        <v>E003|202605</v>
      </c>
    </row>
    <row r="10" spans="1:6" x14ac:dyDescent="0.3">
      <c r="A10" s="15" t="s">
        <v>18</v>
      </c>
      <c r="B10" s="17">
        <v>46174</v>
      </c>
      <c r="C10" s="18">
        <v>112000</v>
      </c>
      <c r="D10">
        <v>9</v>
      </c>
      <c r="F10" t="str">
        <f t="shared" si="0"/>
        <v>E003|202606</v>
      </c>
    </row>
    <row r="11" spans="1:6" x14ac:dyDescent="0.3">
      <c r="A11" s="15" t="s">
        <v>12</v>
      </c>
      <c r="B11" s="17">
        <v>46113</v>
      </c>
      <c r="C11" s="18">
        <v>163600</v>
      </c>
      <c r="D11">
        <v>10</v>
      </c>
      <c r="F11" t="str">
        <f t="shared" si="0"/>
        <v>E004|202604</v>
      </c>
    </row>
    <row r="12" spans="1:6" x14ac:dyDescent="0.3">
      <c r="A12" s="15" t="s">
        <v>12</v>
      </c>
      <c r="B12" s="17">
        <v>46143</v>
      </c>
      <c r="C12" s="18">
        <v>176700</v>
      </c>
      <c r="D12">
        <v>11</v>
      </c>
      <c r="F12" t="str">
        <f t="shared" si="0"/>
        <v>E004|202605</v>
      </c>
    </row>
    <row r="13" spans="1:6" x14ac:dyDescent="0.3">
      <c r="A13" s="15" t="s">
        <v>12</v>
      </c>
      <c r="B13" s="17">
        <v>46174</v>
      </c>
      <c r="C13" s="18">
        <v>157100</v>
      </c>
      <c r="D13">
        <v>12</v>
      </c>
      <c r="F13" t="str">
        <f t="shared" si="0"/>
        <v>E004|202606</v>
      </c>
    </row>
    <row r="14" spans="1:6" x14ac:dyDescent="0.3">
      <c r="A14" s="15" t="s">
        <v>12</v>
      </c>
      <c r="B14" s="17">
        <v>46143</v>
      </c>
      <c r="C14" s="18">
        <v>155000</v>
      </c>
      <c r="D14">
        <v>13</v>
      </c>
      <c r="E14" t="str">
        <f>IF(COUNTIFS($A$2:$A$32,A14,$B$2:$B$32,B14)&gt;1,"Duplicate","Unique")</f>
        <v>Duplicate</v>
      </c>
      <c r="F14" t="str">
        <f t="shared" si="0"/>
        <v>E004|202605</v>
      </c>
    </row>
    <row r="15" spans="1:6" x14ac:dyDescent="0.3">
      <c r="A15" s="15" t="s">
        <v>24</v>
      </c>
      <c r="B15" s="17">
        <v>46113</v>
      </c>
      <c r="C15" s="18">
        <v>133000</v>
      </c>
      <c r="D15">
        <v>14</v>
      </c>
      <c r="F15" t="str">
        <f t="shared" si="0"/>
        <v>E005|202604</v>
      </c>
    </row>
    <row r="16" spans="1:6" x14ac:dyDescent="0.3">
      <c r="A16" s="15" t="s">
        <v>24</v>
      </c>
      <c r="B16" s="17">
        <v>46143</v>
      </c>
      <c r="C16" s="18">
        <v>143700</v>
      </c>
      <c r="D16">
        <v>15</v>
      </c>
      <c r="F16" t="str">
        <f t="shared" si="0"/>
        <v>E005|202605</v>
      </c>
    </row>
    <row r="17" spans="1:6" x14ac:dyDescent="0.3">
      <c r="A17" s="15" t="s">
        <v>24</v>
      </c>
      <c r="B17" s="17">
        <v>46174</v>
      </c>
      <c r="C17" s="18">
        <v>127700</v>
      </c>
      <c r="D17">
        <v>16</v>
      </c>
      <c r="F17" t="str">
        <f t="shared" si="0"/>
        <v>E005|202606</v>
      </c>
    </row>
    <row r="18" spans="1:6" x14ac:dyDescent="0.3">
      <c r="A18" s="15" t="s">
        <v>40</v>
      </c>
      <c r="B18" s="17">
        <v>46113</v>
      </c>
      <c r="C18" s="18">
        <v>131000</v>
      </c>
      <c r="D18">
        <v>17</v>
      </c>
      <c r="F18" t="str">
        <f t="shared" si="0"/>
        <v>E006|202604</v>
      </c>
    </row>
    <row r="19" spans="1:6" x14ac:dyDescent="0.3">
      <c r="A19" s="15" t="s">
        <v>40</v>
      </c>
      <c r="B19" s="17">
        <v>46143</v>
      </c>
      <c r="C19" s="18">
        <v>141500</v>
      </c>
      <c r="D19">
        <v>18</v>
      </c>
      <c r="F19" t="str">
        <f t="shared" si="0"/>
        <v>E006|202605</v>
      </c>
    </row>
    <row r="20" spans="1:6" x14ac:dyDescent="0.3">
      <c r="A20" s="15" t="s">
        <v>40</v>
      </c>
      <c r="B20" s="17">
        <v>46174</v>
      </c>
      <c r="C20" s="18">
        <v>125800</v>
      </c>
      <c r="D20">
        <v>19</v>
      </c>
      <c r="F20" t="str">
        <f t="shared" si="0"/>
        <v>E006|202606</v>
      </c>
    </row>
    <row r="21" spans="1:6" x14ac:dyDescent="0.3">
      <c r="A21" s="15" t="s">
        <v>46</v>
      </c>
      <c r="B21" s="17">
        <v>46113</v>
      </c>
      <c r="C21" s="18">
        <v>129600</v>
      </c>
      <c r="D21">
        <v>20</v>
      </c>
      <c r="F21" t="str">
        <f t="shared" si="0"/>
        <v>E007|202604</v>
      </c>
    </row>
    <row r="22" spans="1:6" x14ac:dyDescent="0.3">
      <c r="A22" s="15" t="s">
        <v>46</v>
      </c>
      <c r="B22" s="17">
        <v>46143</v>
      </c>
      <c r="C22" s="18">
        <v>140000</v>
      </c>
      <c r="D22">
        <v>21</v>
      </c>
      <c r="F22" t="str">
        <f t="shared" si="0"/>
        <v>E007|202605</v>
      </c>
    </row>
    <row r="23" spans="1:6" x14ac:dyDescent="0.3">
      <c r="A23" s="15" t="s">
        <v>46</v>
      </c>
      <c r="B23" s="17">
        <v>46174</v>
      </c>
      <c r="C23" s="18">
        <v>124400</v>
      </c>
      <c r="D23">
        <v>22</v>
      </c>
      <c r="F23" t="str">
        <f t="shared" si="0"/>
        <v>E007|202606</v>
      </c>
    </row>
    <row r="24" spans="1:6" x14ac:dyDescent="0.3">
      <c r="A24" s="15" t="s">
        <v>38</v>
      </c>
      <c r="B24" s="17">
        <v>46113</v>
      </c>
      <c r="C24" s="18">
        <v>124100</v>
      </c>
      <c r="D24">
        <v>23</v>
      </c>
      <c r="F24" t="str">
        <f t="shared" si="0"/>
        <v>E008|202604</v>
      </c>
    </row>
    <row r="25" spans="1:6" x14ac:dyDescent="0.3">
      <c r="A25" s="15" t="s">
        <v>38</v>
      </c>
      <c r="B25" s="17">
        <v>46143</v>
      </c>
      <c r="C25" s="18">
        <v>134100</v>
      </c>
      <c r="D25">
        <v>24</v>
      </c>
      <c r="F25" t="str">
        <f t="shared" si="0"/>
        <v>E008|202605</v>
      </c>
    </row>
    <row r="26" spans="1:6" x14ac:dyDescent="0.3">
      <c r="A26" s="15" t="s">
        <v>38</v>
      </c>
      <c r="B26" s="17">
        <v>46174</v>
      </c>
      <c r="C26" s="18">
        <v>119200</v>
      </c>
      <c r="D26">
        <v>25</v>
      </c>
      <c r="F26" t="str">
        <f t="shared" si="0"/>
        <v>E008|202606</v>
      </c>
    </row>
    <row r="27" spans="1:6" x14ac:dyDescent="0.3">
      <c r="A27" s="15" t="s">
        <v>8</v>
      </c>
      <c r="B27" s="17">
        <v>46113</v>
      </c>
      <c r="C27" s="18">
        <v>163300</v>
      </c>
      <c r="D27">
        <v>26</v>
      </c>
      <c r="F27" t="str">
        <f t="shared" si="0"/>
        <v>E009|202604</v>
      </c>
    </row>
    <row r="28" spans="1:6" x14ac:dyDescent="0.3">
      <c r="A28" s="15" t="s">
        <v>8</v>
      </c>
      <c r="B28" s="17">
        <v>46143</v>
      </c>
      <c r="C28" s="18">
        <v>176300</v>
      </c>
      <c r="D28">
        <v>27</v>
      </c>
      <c r="F28" t="str">
        <f t="shared" si="0"/>
        <v>E009|202605</v>
      </c>
    </row>
    <row r="29" spans="1:6" x14ac:dyDescent="0.3">
      <c r="A29" s="15" t="s">
        <v>8</v>
      </c>
      <c r="B29" s="17">
        <v>46174</v>
      </c>
      <c r="C29" s="18">
        <v>156700</v>
      </c>
      <c r="D29">
        <v>28</v>
      </c>
      <c r="F29" t="str">
        <f t="shared" si="0"/>
        <v>E009|202606</v>
      </c>
    </row>
    <row r="30" spans="1:6" x14ac:dyDescent="0.3">
      <c r="A30" s="15" t="s">
        <v>29</v>
      </c>
      <c r="B30" s="17">
        <v>46113</v>
      </c>
      <c r="C30" s="18">
        <v>121700</v>
      </c>
      <c r="D30">
        <v>29</v>
      </c>
      <c r="F30" t="str">
        <f t="shared" si="0"/>
        <v>E010|202604</v>
      </c>
    </row>
    <row r="31" spans="1:6" x14ac:dyDescent="0.3">
      <c r="A31" s="15" t="s">
        <v>29</v>
      </c>
      <c r="B31" s="17">
        <v>46143</v>
      </c>
      <c r="C31" s="18">
        <v>131500</v>
      </c>
      <c r="D31">
        <v>30</v>
      </c>
      <c r="F31" t="str">
        <f t="shared" si="0"/>
        <v>E010|202605</v>
      </c>
    </row>
    <row r="32" spans="1:6" x14ac:dyDescent="0.3">
      <c r="A32" s="15" t="s">
        <v>29</v>
      </c>
      <c r="B32" s="17">
        <v>46174</v>
      </c>
      <c r="C32" s="18">
        <v>116800</v>
      </c>
      <c r="D32">
        <v>31</v>
      </c>
      <c r="F32" t="str">
        <f t="shared" si="0"/>
        <v>E010|202606</v>
      </c>
    </row>
  </sheetData>
  <autoFilter ref="A1:C32">
    <sortState ref="A2:C32">
      <sortCondition ref="A1:A3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F25" sqref="F25"/>
    </sheetView>
  </sheetViews>
  <sheetFormatPr defaultRowHeight="14.4" x14ac:dyDescent="0.3"/>
  <cols>
    <col min="1" max="1" width="20.88671875" bestFit="1" customWidth="1"/>
    <col min="2" max="2" width="19" bestFit="1" customWidth="1"/>
    <col min="3" max="3" width="20.33203125" bestFit="1" customWidth="1"/>
    <col min="4" max="4" width="6.109375" bestFit="1" customWidth="1"/>
    <col min="5" max="5" width="42.44140625" bestFit="1" customWidth="1"/>
    <col min="6" max="6" width="34" bestFit="1" customWidth="1"/>
  </cols>
  <sheetData>
    <row r="1" spans="1:6" x14ac:dyDescent="0.3">
      <c r="A1" s="19" t="s">
        <v>876</v>
      </c>
      <c r="B1" s="19" t="s">
        <v>877</v>
      </c>
      <c r="C1" s="19" t="s">
        <v>878</v>
      </c>
      <c r="D1" s="19" t="s">
        <v>879</v>
      </c>
      <c r="E1" s="19" t="s">
        <v>880</v>
      </c>
      <c r="F1" s="19" t="s">
        <v>881</v>
      </c>
    </row>
    <row r="2" spans="1:6" x14ac:dyDescent="0.3">
      <c r="A2" t="s">
        <v>883</v>
      </c>
      <c r="B2" t="s">
        <v>882</v>
      </c>
      <c r="C2">
        <v>113</v>
      </c>
      <c r="D2">
        <v>1</v>
      </c>
      <c r="E2" t="s">
        <v>885</v>
      </c>
      <c r="F2" t="s">
        <v>893</v>
      </c>
    </row>
    <row r="3" spans="1:6" x14ac:dyDescent="0.3">
      <c r="A3" t="s">
        <v>884</v>
      </c>
      <c r="B3" t="s">
        <v>882</v>
      </c>
      <c r="C3">
        <v>369</v>
      </c>
      <c r="D3">
        <v>1</v>
      </c>
      <c r="E3" t="s">
        <v>887</v>
      </c>
      <c r="F3" t="s">
        <v>888</v>
      </c>
    </row>
    <row r="4" spans="1:6" x14ac:dyDescent="0.3">
      <c r="A4" t="s">
        <v>883</v>
      </c>
      <c r="B4" t="s">
        <v>882</v>
      </c>
      <c r="C4">
        <v>746</v>
      </c>
      <c r="D4">
        <v>1</v>
      </c>
      <c r="E4" t="s">
        <v>889</v>
      </c>
      <c r="F4" t="s">
        <v>886</v>
      </c>
    </row>
    <row r="6" spans="1:6" x14ac:dyDescent="0.3">
      <c r="A6" t="s">
        <v>890</v>
      </c>
      <c r="B6" t="s">
        <v>882</v>
      </c>
      <c r="C6" t="s">
        <v>892</v>
      </c>
      <c r="D6">
        <v>6</v>
      </c>
      <c r="E6" t="s">
        <v>891</v>
      </c>
      <c r="F6" t="s">
        <v>893</v>
      </c>
    </row>
    <row r="8" spans="1:6" x14ac:dyDescent="0.3">
      <c r="A8" t="s">
        <v>894</v>
      </c>
      <c r="B8" t="s">
        <v>882</v>
      </c>
      <c r="C8" t="s">
        <v>895</v>
      </c>
      <c r="D8">
        <v>2</v>
      </c>
      <c r="E8" t="s">
        <v>898</v>
      </c>
      <c r="F8" t="s">
        <v>893</v>
      </c>
    </row>
    <row r="9" spans="1:6" x14ac:dyDescent="0.3">
      <c r="A9" t="s">
        <v>896</v>
      </c>
      <c r="B9" t="s">
        <v>882</v>
      </c>
      <c r="C9" t="s">
        <v>897</v>
      </c>
      <c r="D9">
        <v>2</v>
      </c>
      <c r="E9" t="s">
        <v>899</v>
      </c>
      <c r="F9" t="s">
        <v>893</v>
      </c>
    </row>
    <row r="11" spans="1:6" x14ac:dyDescent="0.3">
      <c r="A11" t="s">
        <v>900</v>
      </c>
      <c r="B11" t="s">
        <v>882</v>
      </c>
      <c r="C11" t="s">
        <v>902</v>
      </c>
      <c r="D11">
        <v>2</v>
      </c>
      <c r="E11" t="s">
        <v>904</v>
      </c>
      <c r="F11" t="s">
        <v>893</v>
      </c>
    </row>
    <row r="12" spans="1:6" x14ac:dyDescent="0.3">
      <c r="A12" t="s">
        <v>901</v>
      </c>
      <c r="B12" t="s">
        <v>882</v>
      </c>
      <c r="C12" t="s">
        <v>903</v>
      </c>
      <c r="D12">
        <v>2</v>
      </c>
      <c r="E12" t="s">
        <v>905</v>
      </c>
      <c r="F12" t="s">
        <v>893</v>
      </c>
    </row>
    <row r="14" spans="1:6" x14ac:dyDescent="0.3">
      <c r="A14" t="s">
        <v>906</v>
      </c>
      <c r="B14" t="s">
        <v>882</v>
      </c>
      <c r="C14" t="s">
        <v>907</v>
      </c>
      <c r="D14">
        <v>2</v>
      </c>
      <c r="E14" t="s">
        <v>910</v>
      </c>
      <c r="F14" t="s">
        <v>893</v>
      </c>
    </row>
    <row r="15" spans="1:6" x14ac:dyDescent="0.3">
      <c r="A15" t="s">
        <v>908</v>
      </c>
      <c r="B15" t="s">
        <v>882</v>
      </c>
      <c r="C15" t="s">
        <v>909</v>
      </c>
      <c r="D15">
        <v>2</v>
      </c>
      <c r="E15" t="s">
        <v>911</v>
      </c>
      <c r="F15" t="s">
        <v>893</v>
      </c>
    </row>
    <row r="17" spans="1:6" x14ac:dyDescent="0.3">
      <c r="A17" t="s">
        <v>913</v>
      </c>
      <c r="B17" t="s">
        <v>882</v>
      </c>
      <c r="C17" t="s">
        <v>912</v>
      </c>
      <c r="D17">
        <v>3</v>
      </c>
      <c r="E17" t="s">
        <v>914</v>
      </c>
      <c r="F17" t="s">
        <v>893</v>
      </c>
    </row>
    <row r="19" spans="1:6" x14ac:dyDescent="0.3">
      <c r="A19" t="s">
        <v>915</v>
      </c>
      <c r="B19" t="s">
        <v>882</v>
      </c>
      <c r="C19" s="18">
        <v>304625</v>
      </c>
      <c r="D19">
        <v>2</v>
      </c>
      <c r="E19" t="s">
        <v>916</v>
      </c>
      <c r="F19" t="s">
        <v>886</v>
      </c>
    </row>
    <row r="21" spans="1:6" x14ac:dyDescent="0.3">
      <c r="A21" t="s">
        <v>918</v>
      </c>
      <c r="B21" t="s">
        <v>917</v>
      </c>
      <c r="C21">
        <v>12</v>
      </c>
      <c r="D21">
        <v>1</v>
      </c>
      <c r="E21" t="s">
        <v>919</v>
      </c>
      <c r="F21" t="s">
        <v>920</v>
      </c>
    </row>
    <row r="22" spans="1:6" x14ac:dyDescent="0.3">
      <c r="A22" t="s">
        <v>918</v>
      </c>
      <c r="B22" t="s">
        <v>921</v>
      </c>
      <c r="C22">
        <v>14</v>
      </c>
      <c r="D22">
        <v>1</v>
      </c>
      <c r="E22" t="s">
        <v>922</v>
      </c>
      <c r="F22" t="s">
        <v>920</v>
      </c>
    </row>
    <row r="23" spans="1:6" x14ac:dyDescent="0.3">
      <c r="A23" t="s">
        <v>918</v>
      </c>
      <c r="B23" t="s">
        <v>923</v>
      </c>
      <c r="C23">
        <v>7</v>
      </c>
      <c r="D23">
        <v>1</v>
      </c>
      <c r="E23" t="s">
        <v>924</v>
      </c>
      <c r="F23" t="s">
        <v>920</v>
      </c>
    </row>
    <row r="24" spans="1:6" x14ac:dyDescent="0.3">
      <c r="A24" t="s">
        <v>925</v>
      </c>
      <c r="B24" t="s">
        <v>926</v>
      </c>
      <c r="C24" t="s">
        <v>928</v>
      </c>
      <c r="D24">
        <v>2</v>
      </c>
      <c r="E24" t="s">
        <v>929</v>
      </c>
      <c r="F24" t="s">
        <v>930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abSelected="1" workbookViewId="0">
      <selection activeCell="B369" sqref="B369"/>
    </sheetView>
  </sheetViews>
  <sheetFormatPr defaultRowHeight="14.4" x14ac:dyDescent="0.3"/>
  <cols>
    <col min="1" max="1" width="11.88671875" bestFit="1" customWidth="1"/>
    <col min="2" max="2" width="11.77734375" customWidth="1"/>
    <col min="3" max="3" width="14" customWidth="1"/>
    <col min="4" max="4" width="12.33203125" customWidth="1"/>
    <col min="5" max="5" width="11.5546875" customWidth="1"/>
    <col min="6" max="6" width="10.21875" customWidth="1"/>
    <col min="7" max="7" width="15" customWidth="1"/>
    <col min="8" max="8" width="7.6640625" customWidth="1"/>
    <col min="9" max="9" width="22.77734375" bestFit="1" customWidth="1"/>
    <col min="10" max="10" width="11.44140625" customWidth="1"/>
    <col min="11" max="11" width="12.109375" customWidth="1"/>
    <col min="14" max="14" width="15.6640625" bestFit="1" customWidth="1"/>
    <col min="17" max="17" width="8.88671875" customWidth="1"/>
    <col min="20" max="20" width="13.88671875" bestFit="1" customWidth="1"/>
  </cols>
  <sheetData>
    <row r="1" spans="1:2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6" t="s">
        <v>931</v>
      </c>
      <c r="I1" s="26" t="s">
        <v>932</v>
      </c>
      <c r="J1" s="26" t="s">
        <v>934</v>
      </c>
      <c r="K1" s="26" t="s">
        <v>935</v>
      </c>
      <c r="L1" s="26" t="s">
        <v>936</v>
      </c>
      <c r="M1" s="26" t="s">
        <v>937</v>
      </c>
      <c r="N1" s="26" t="s">
        <v>938</v>
      </c>
      <c r="O1" s="26" t="s">
        <v>844</v>
      </c>
      <c r="P1" s="26" t="s">
        <v>939</v>
      </c>
      <c r="Q1" s="26" t="s">
        <v>940</v>
      </c>
      <c r="R1" s="26" t="s">
        <v>941</v>
      </c>
      <c r="S1" s="26" t="s">
        <v>864</v>
      </c>
      <c r="T1" s="26" t="s">
        <v>943</v>
      </c>
      <c r="U1" s="26" t="s">
        <v>944</v>
      </c>
    </row>
    <row r="2" spans="1:21" x14ac:dyDescent="0.3">
      <c r="A2" s="21">
        <v>46199</v>
      </c>
      <c r="B2" s="22" t="s">
        <v>7</v>
      </c>
      <c r="C2" s="22" t="s">
        <v>8</v>
      </c>
      <c r="D2" s="22" t="s">
        <v>9</v>
      </c>
      <c r="E2" s="22" t="s">
        <v>10</v>
      </c>
      <c r="F2" s="22">
        <v>1</v>
      </c>
      <c r="G2" s="23">
        <v>279</v>
      </c>
      <c r="H2" s="25" t="str">
        <f>IF(COUNTIF(tbl_clean_sales[Invoice_ID],tbl_clean_sales[[#This Row],[Invoice_ID]])&gt;1,"Duplicate","Unique")</f>
        <v>Unique</v>
      </c>
      <c r="I2" s="25"/>
      <c r="J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" s="25" t="str">
        <f>IFERROR(VLOOKUP(tbl_clean_sales[[#This Row],[Employee_ID]],'02_Employee_Master'!$A$1:$C$12,2,FALSE),"Employee Name Missing")</f>
        <v>Vignesh R</v>
      </c>
      <c r="L2" s="25" t="str">
        <f>IFERROR(VLOOKUP(tbl_clean_sales[[#This Row],[Employee_ID]],'02_Employee_Master'!$A$1:$C$12,3,FALSE),"Department Name Missing")</f>
        <v>Sales</v>
      </c>
      <c r="M2" s="25" t="str">
        <f>IF('03_Clean_data'!D2="","Missing",IFERROR(IF(VLOOKUP(D2,'03_Product_Master'!$A$1:$D$14,1,FALSE)='03_Clean_data'!D2,"Valid","Invalid"),"Invalid"))</f>
        <v>Valid</v>
      </c>
      <c r="N2" s="25" t="str">
        <f>IFERROR(VLOOKUP(tbl_clean_sales[[#This Row],[Product_ID]],'03_Product_Master'!$A$1:$D$14,2,FALSE),"Missing")</f>
        <v>Green Tea</v>
      </c>
      <c r="O2" s="25" t="str">
        <f>IFERROR(VLOOKUP(tbl_clean_sales[[#This Row],[Product_ID]],'03_Product_Master'!$A$1:$D$14,3,FALSE),"Missing")</f>
        <v>Beverages</v>
      </c>
      <c r="P2" s="25">
        <f>IFERROR(VLOOKUP(tbl_clean_sales[[#This Row],[Product_ID]],'03_Product_Master'!$A$1:$D$14,4,FALSE),"Missing")</f>
        <v>280</v>
      </c>
      <c r="Q2" s="25" t="str">
        <f>IF('03_Clean_data'!E2="","Missing",IFERROR(IF(VLOOKUP(E2,'04_Branch_Master'!$A$1:$C$7,1,FALSE)='03_Clean_data'!E2,"Valid","Invalid"),"Invalid"))</f>
        <v>Valid</v>
      </c>
      <c r="R2" s="25" t="str">
        <f>IFERROR(VLOOKUP(tbl_clean_sales[[#This Row],[Branch_ID]],'04_Branch_Master'!$A$1:$C$7,2,FALSE),"Missing")</f>
        <v>Dharapuram</v>
      </c>
      <c r="S2" s="25" t="str">
        <f>IFERROR(VLOOKUP(tbl_clean_sales[[#This Row],[Branch_ID]],'04_Branch_Master'!$A$1:$C$7,3,FALSE),"Missing")</f>
        <v>South</v>
      </c>
      <c r="T2" s="25" t="str">
        <f>C2&amp;"|"&amp;TEXT(tbl_clean_sales[[#This Row],[Date]],"yyyymm")</f>
        <v>E009|202606</v>
      </c>
      <c r="U2" s="25">
        <f>IFERROR(INDEX('05_Target_Master'!$A$1:$F$32,MATCH(tbl_clean_sales[[#This Row],[target key]],'05_Target_Master'!$F$1:$F$32,0),3),"Missing")</f>
        <v>156700</v>
      </c>
    </row>
    <row r="3" spans="1:21" x14ac:dyDescent="0.3">
      <c r="A3" s="21">
        <v>46140</v>
      </c>
      <c r="B3" s="22" t="s">
        <v>11</v>
      </c>
      <c r="C3" s="22" t="s">
        <v>12</v>
      </c>
      <c r="D3" s="22" t="s">
        <v>13</v>
      </c>
      <c r="E3" s="22" t="s">
        <v>14</v>
      </c>
      <c r="F3" s="22">
        <v>9</v>
      </c>
      <c r="G3" s="23">
        <v>3426.25</v>
      </c>
      <c r="H3" s="25" t="str">
        <f>IF(COUNTIF(tbl_clean_sales[Invoice_ID],tbl_clean_sales[[#This Row],[Invoice_ID]])&gt;1,"Duplicate","Unique")</f>
        <v>Unique</v>
      </c>
      <c r="I3" s="25"/>
      <c r="J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" s="25" t="str">
        <f>IFERROR(VLOOKUP(tbl_clean_sales[[#This Row],[Employee_ID]],'02_Employee_Master'!$A$1:$C$12,2,FALSE),"Employee Name Missing")</f>
        <v>Divya R</v>
      </c>
      <c r="L3" s="25" t="str">
        <f>IFERROR(VLOOKUP(tbl_clean_sales[[#This Row],[Employee_ID]],'02_Employee_Master'!$A$1:$C$12,3,FALSE),"Department Name Missing")</f>
        <v>Sales</v>
      </c>
      <c r="M3" s="25" t="str">
        <f>IF('03_Clean_data'!D3="","Missing",IFERROR(IF(VLOOKUP(D3,'03_Product_Master'!$A$1:$D$14,1,FALSE)='03_Clean_data'!D3,"Valid","Invalid"),"Invalid"))</f>
        <v>Valid</v>
      </c>
      <c r="N3" s="25" t="str">
        <f>IFERROR(VLOOKUP(tbl_clean_sales[[#This Row],[Product_ID]],'03_Product_Master'!$A$1:$D$14,2,FALSE),"Missing")</f>
        <v>Body Lotion</v>
      </c>
      <c r="O3" s="25" t="str">
        <f>IFERROR(VLOOKUP(tbl_clean_sales[[#This Row],[Product_ID]],'03_Product_Master'!$A$1:$D$14,3,FALSE),"Missing")</f>
        <v>Personal Care</v>
      </c>
      <c r="P3" s="25">
        <f>IFERROR(VLOOKUP(tbl_clean_sales[[#This Row],[Product_ID]],'03_Product_Master'!$A$1:$D$14,4,FALSE),"Missing")</f>
        <v>390</v>
      </c>
      <c r="Q3" s="25" t="str">
        <f>IF('03_Clean_data'!E3="","Missing",IFERROR(IF(VLOOKUP(E3,'04_Branch_Master'!$A$1:$C$7,1,FALSE)='03_Clean_data'!E3,"Valid","Invalid"),"Invalid"))</f>
        <v>Valid</v>
      </c>
      <c r="R3" s="25" t="str">
        <f>IFERROR(VLOOKUP(tbl_clean_sales[[#This Row],[Branch_ID]],'04_Branch_Master'!$A$1:$C$7,2,FALSE),"Missing")</f>
        <v>Avinashi Road</v>
      </c>
      <c r="S3" s="25" t="str">
        <f>IFERROR(VLOOKUP(tbl_clean_sales[[#This Row],[Branch_ID]],'04_Branch_Master'!$A$1:$C$7,3,FALSE),"Missing")</f>
        <v>North</v>
      </c>
      <c r="T3" s="25" t="str">
        <f>C3&amp;"|"&amp;TEXT(tbl_clean_sales[[#This Row],[Date]],"yyyymm")</f>
        <v>E004|202604</v>
      </c>
      <c r="U3" s="25">
        <f>IFERROR(INDEX('05_Target_Master'!$A$1:$F$32,MATCH(tbl_clean_sales[[#This Row],[target key]],'05_Target_Master'!$F$1:$F$32,0),3),"Missing")</f>
        <v>163600</v>
      </c>
    </row>
    <row r="4" spans="1:21" x14ac:dyDescent="0.3">
      <c r="A4" s="21">
        <v>46196</v>
      </c>
      <c r="B4" s="22" t="s">
        <v>15</v>
      </c>
      <c r="C4" s="22" t="s">
        <v>8</v>
      </c>
      <c r="D4" s="22" t="s">
        <v>16</v>
      </c>
      <c r="E4" s="22" t="s">
        <v>10</v>
      </c>
      <c r="F4" s="22">
        <v>10</v>
      </c>
      <c r="G4" s="23">
        <v>2996.51</v>
      </c>
      <c r="H4" s="25" t="str">
        <f>IF(COUNTIF(tbl_clean_sales[Invoice_ID],tbl_clean_sales[[#This Row],[Invoice_ID]])&gt;1,"Duplicate","Unique")</f>
        <v>Unique</v>
      </c>
      <c r="I4" s="25"/>
      <c r="J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" s="25" t="str">
        <f>IFERROR(VLOOKUP(tbl_clean_sales[[#This Row],[Employee_ID]],'02_Employee_Master'!$A$1:$C$12,2,FALSE),"Employee Name Missing")</f>
        <v>Vignesh R</v>
      </c>
      <c r="L4" s="25" t="str">
        <f>IFERROR(VLOOKUP(tbl_clean_sales[[#This Row],[Employee_ID]],'02_Employee_Master'!$A$1:$C$12,3,FALSE),"Department Name Missing")</f>
        <v>Sales</v>
      </c>
      <c r="M4" s="25" t="str">
        <f>IF('03_Clean_data'!D4="","Missing",IFERROR(IF(VLOOKUP(D4,'03_Product_Master'!$A$1:$D$14,1,FALSE)='03_Clean_data'!D4,"Valid","Invalid"),"Invalid"))</f>
        <v>Valid</v>
      </c>
      <c r="N4" s="25" t="str">
        <f>IFERROR(VLOOKUP(tbl_clean_sales[[#This Row],[Product_ID]],'03_Product_Master'!$A$1:$D$14,2,FALSE),"Missing")</f>
        <v>Shampoo</v>
      </c>
      <c r="O4" s="25" t="str">
        <f>IFERROR(VLOOKUP(tbl_clean_sales[[#This Row],[Product_ID]],'03_Product_Master'!$A$1:$D$14,3,FALSE),"Missing")</f>
        <v>Personal Care</v>
      </c>
      <c r="P4" s="25">
        <f>IFERROR(VLOOKUP(tbl_clean_sales[[#This Row],[Product_ID]],'03_Product_Master'!$A$1:$D$14,4,FALSE),"Missing")</f>
        <v>310</v>
      </c>
      <c r="Q4" s="25" t="str">
        <f>IF('03_Clean_data'!E4="","Missing",IFERROR(IF(VLOOKUP(E4,'04_Branch_Master'!$A$1:$C$7,1,FALSE)='03_Clean_data'!E4,"Valid","Invalid"),"Invalid"))</f>
        <v>Valid</v>
      </c>
      <c r="R4" s="25" t="str">
        <f>IFERROR(VLOOKUP(tbl_clean_sales[[#This Row],[Branch_ID]],'04_Branch_Master'!$A$1:$C$7,2,FALSE),"Missing")</f>
        <v>Dharapuram</v>
      </c>
      <c r="S4" s="25" t="str">
        <f>IFERROR(VLOOKUP(tbl_clean_sales[[#This Row],[Branch_ID]],'04_Branch_Master'!$A$1:$C$7,3,FALSE),"Missing")</f>
        <v>South</v>
      </c>
      <c r="T4" s="25" t="str">
        <f>C4&amp;"|"&amp;TEXT(tbl_clean_sales[[#This Row],[Date]],"yyyymm")</f>
        <v>E009|202606</v>
      </c>
      <c r="U4" s="25">
        <f>IFERROR(INDEX('05_Target_Master'!$A$1:$F$32,MATCH(tbl_clean_sales[[#This Row],[target key]],'05_Target_Master'!$F$1:$F$32,0),3),"Missing")</f>
        <v>156700</v>
      </c>
    </row>
    <row r="5" spans="1:21" x14ac:dyDescent="0.3">
      <c r="A5" s="21">
        <v>46113</v>
      </c>
      <c r="B5" s="22" t="s">
        <v>17</v>
      </c>
      <c r="C5" s="22" t="s">
        <v>18</v>
      </c>
      <c r="D5" s="22" t="s">
        <v>19</v>
      </c>
      <c r="E5" s="22" t="s">
        <v>14</v>
      </c>
      <c r="F5" s="22">
        <v>5</v>
      </c>
      <c r="G5" s="23">
        <v>1128.54</v>
      </c>
      <c r="H5" s="25" t="str">
        <f>IF(COUNTIF(tbl_clean_sales[Invoice_ID],tbl_clean_sales[[#This Row],[Invoice_ID]])&gt;1,"Duplicate","Unique")</f>
        <v>Unique</v>
      </c>
      <c r="I5" s="25"/>
      <c r="J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" s="25" t="str">
        <f>IFERROR(VLOOKUP(tbl_clean_sales[[#This Row],[Employee_ID]],'02_Employee_Master'!$A$1:$C$12,2,FALSE),"Employee Name Missing")</f>
        <v>Rahul M</v>
      </c>
      <c r="L5" s="25" t="str">
        <f>IFERROR(VLOOKUP(tbl_clean_sales[[#This Row],[Employee_ID]],'02_Employee_Master'!$A$1:$C$12,3,FALSE),"Department Name Missing")</f>
        <v>Sales</v>
      </c>
      <c r="M5" s="25" t="str">
        <f>IF('03_Clean_data'!D5="","Missing",IFERROR(IF(VLOOKUP(D5,'03_Product_Master'!$A$1:$D$14,1,FALSE)='03_Clean_data'!D5,"Valid","Invalid"),"Invalid"))</f>
        <v>Valid</v>
      </c>
      <c r="N5" s="25" t="str">
        <f>IFERROR(VLOOKUP(tbl_clean_sales[[#This Row],[Product_ID]],'03_Product_Master'!$A$1:$D$14,2,FALSE),"Missing")</f>
        <v>Floor Cleaner</v>
      </c>
      <c r="O5" s="25" t="str">
        <f>IFERROR(VLOOKUP(tbl_clean_sales[[#This Row],[Product_ID]],'03_Product_Master'!$A$1:$D$14,3,FALSE),"Missing")</f>
        <v>Home Care</v>
      </c>
      <c r="P5" s="25">
        <f>IFERROR(VLOOKUP(tbl_clean_sales[[#This Row],[Product_ID]],'03_Product_Master'!$A$1:$D$14,4,FALSE),"Missing")</f>
        <v>230</v>
      </c>
      <c r="Q5" s="25" t="str">
        <f>IF('03_Clean_data'!E5="","Missing",IFERROR(IF(VLOOKUP(E5,'04_Branch_Master'!$A$1:$C$7,1,FALSE)='03_Clean_data'!E5,"Valid","Invalid"),"Invalid"))</f>
        <v>Valid</v>
      </c>
      <c r="R5" s="25" t="str">
        <f>IFERROR(VLOOKUP(tbl_clean_sales[[#This Row],[Branch_ID]],'04_Branch_Master'!$A$1:$C$7,2,FALSE),"Missing")</f>
        <v>Avinashi Road</v>
      </c>
      <c r="S5" s="25" t="str">
        <f>IFERROR(VLOOKUP(tbl_clean_sales[[#This Row],[Branch_ID]],'04_Branch_Master'!$A$1:$C$7,3,FALSE),"Missing")</f>
        <v>North</v>
      </c>
      <c r="T5" s="25" t="str">
        <f>C5&amp;"|"&amp;TEXT(tbl_clean_sales[[#This Row],[Date]],"yyyymm")</f>
        <v>E003|202604</v>
      </c>
      <c r="U5" s="25">
        <f>IFERROR(INDEX('05_Target_Master'!$A$1:$F$32,MATCH(tbl_clean_sales[[#This Row],[target key]],'05_Target_Master'!$F$1:$F$32,0),3),"Missing")</f>
        <v>116600</v>
      </c>
    </row>
    <row r="6" spans="1:21" x14ac:dyDescent="0.3">
      <c r="A6" s="21">
        <v>46156</v>
      </c>
      <c r="B6" s="22" t="s">
        <v>20</v>
      </c>
      <c r="C6" s="22" t="s">
        <v>21</v>
      </c>
      <c r="D6" s="22" t="s">
        <v>9</v>
      </c>
      <c r="E6" s="22" t="s">
        <v>22</v>
      </c>
      <c r="F6" s="22">
        <v>6</v>
      </c>
      <c r="G6" s="23">
        <v>1509.15</v>
      </c>
      <c r="H6" s="25" t="str">
        <f>IF(COUNTIF(tbl_clean_sales[Invoice_ID],tbl_clean_sales[[#This Row],[Invoice_ID]])&gt;1,"Duplicate","Unique")</f>
        <v>Unique</v>
      </c>
      <c r="I6" s="25"/>
      <c r="J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" s="25" t="str">
        <f>IFERROR(VLOOKUP(tbl_clean_sales[[#This Row],[Employee_ID]],'02_Employee_Master'!$A$1:$C$12,2,FALSE),"Employee Name Missing")</f>
        <v>Priya S</v>
      </c>
      <c r="L6" s="25" t="str">
        <f>IFERROR(VLOOKUP(tbl_clean_sales[[#This Row],[Employee_ID]],'02_Employee_Master'!$A$1:$C$12,3,FALSE),"Department Name Missing")</f>
        <v>Sales</v>
      </c>
      <c r="M6" s="25" t="str">
        <f>IF('03_Clean_data'!D6="","Missing",IFERROR(IF(VLOOKUP(D6,'03_Product_Master'!$A$1:$D$14,1,FALSE)='03_Clean_data'!D6,"Valid","Invalid"),"Invalid"))</f>
        <v>Valid</v>
      </c>
      <c r="N6" s="25" t="str">
        <f>IFERROR(VLOOKUP(tbl_clean_sales[[#This Row],[Product_ID]],'03_Product_Master'!$A$1:$D$14,2,FALSE),"Missing")</f>
        <v>Green Tea</v>
      </c>
      <c r="O6" s="25" t="str">
        <f>IFERROR(VLOOKUP(tbl_clean_sales[[#This Row],[Product_ID]],'03_Product_Master'!$A$1:$D$14,3,FALSE),"Missing")</f>
        <v>Beverages</v>
      </c>
      <c r="P6" s="25">
        <f>IFERROR(VLOOKUP(tbl_clean_sales[[#This Row],[Product_ID]],'03_Product_Master'!$A$1:$D$14,4,FALSE),"Missing")</f>
        <v>280</v>
      </c>
      <c r="Q6" s="25" t="str">
        <f>IF('03_Clean_data'!E6="","Missing",IFERROR(IF(VLOOKUP(E6,'04_Branch_Master'!$A$1:$C$7,1,FALSE)='03_Clean_data'!E6,"Valid","Invalid"),"Invalid"))</f>
        <v>Valid</v>
      </c>
      <c r="R6" s="25" t="str">
        <f>IFERROR(VLOOKUP(tbl_clean_sales[[#This Row],[Branch_ID]],'04_Branch_Master'!$A$1:$C$7,2,FALSE),"Missing")</f>
        <v>Tirupur Central</v>
      </c>
      <c r="S6" s="25" t="str">
        <f>IFERROR(VLOOKUP(tbl_clean_sales[[#This Row],[Branch_ID]],'04_Branch_Master'!$A$1:$C$7,3,FALSE),"Missing")</f>
        <v>North</v>
      </c>
      <c r="T6" s="25" t="str">
        <f>C6&amp;"|"&amp;TEXT(tbl_clean_sales[[#This Row],[Date]],"yyyymm")</f>
        <v>E002|202605</v>
      </c>
      <c r="U6" s="25">
        <f>IFERROR(INDEX('05_Target_Master'!$A$1:$F$32,MATCH(tbl_clean_sales[[#This Row],[target key]],'05_Target_Master'!$F$1:$F$32,0),3),"Missing")</f>
        <v>132100</v>
      </c>
    </row>
    <row r="7" spans="1:21" x14ac:dyDescent="0.3">
      <c r="A7" s="21">
        <v>46190</v>
      </c>
      <c r="B7" s="22" t="s">
        <v>23</v>
      </c>
      <c r="C7" s="22" t="s">
        <v>24</v>
      </c>
      <c r="D7" s="22" t="s">
        <v>25</v>
      </c>
      <c r="E7" s="22" t="s">
        <v>26</v>
      </c>
      <c r="F7" s="22">
        <v>9</v>
      </c>
      <c r="G7" s="23">
        <v>3723.38</v>
      </c>
      <c r="H7" s="25" t="str">
        <f>IF(COUNTIF(tbl_clean_sales[Invoice_ID],tbl_clean_sales[[#This Row],[Invoice_ID]])&gt;1,"Duplicate","Unique")</f>
        <v>Unique</v>
      </c>
      <c r="I7" s="25"/>
      <c r="J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" s="25" t="str">
        <f>IFERROR(VLOOKUP(tbl_clean_sales[[#This Row],[Employee_ID]],'02_Employee_Master'!$A$1:$C$12,2,FALSE),"Employee Name Missing")</f>
        <v>Karthik P</v>
      </c>
      <c r="L7" s="25" t="str">
        <f>IFERROR(VLOOKUP(tbl_clean_sales[[#This Row],[Employee_ID]],'02_Employee_Master'!$A$1:$C$12,3,FALSE),"Department Name Missing")</f>
        <v>Sales</v>
      </c>
      <c r="M7" s="25" t="str">
        <f>IF('03_Clean_data'!D7="","Missing",IFERROR(IF(VLOOKUP(D7,'03_Product_Master'!$A$1:$D$14,1,FALSE)='03_Clean_data'!D7,"Valid","Invalid"),"Invalid"))</f>
        <v>Valid</v>
      </c>
      <c r="N7" s="25" t="str">
        <f>IFERROR(VLOOKUP(tbl_clean_sales[[#This Row],[Product_ID]],'03_Product_Master'!$A$1:$D$14,2,FALSE),"Missing")</f>
        <v>Premium Coffee</v>
      </c>
      <c r="O7" s="25" t="str">
        <f>IFERROR(VLOOKUP(tbl_clean_sales[[#This Row],[Product_ID]],'03_Product_Master'!$A$1:$D$14,3,FALSE),"Missing")</f>
        <v>Beverages</v>
      </c>
      <c r="P7" s="25">
        <f>IFERROR(VLOOKUP(tbl_clean_sales[[#This Row],[Product_ID]],'03_Product_Master'!$A$1:$D$14,4,FALSE),"Missing")</f>
        <v>420</v>
      </c>
      <c r="Q7" s="25" t="str">
        <f>IF('03_Clean_data'!E7="","Missing",IFERROR(IF(VLOOKUP(E7,'04_Branch_Master'!$A$1:$C$7,1,FALSE)='03_Clean_data'!E7,"Valid","Invalid"),"Invalid"))</f>
        <v>Valid</v>
      </c>
      <c r="R7" s="25" t="str">
        <f>IFERROR(VLOOKUP(tbl_clean_sales[[#This Row],[Branch_ID]],'04_Branch_Master'!$A$1:$C$7,2,FALSE),"Missing")</f>
        <v>Palladam</v>
      </c>
      <c r="S7" s="25" t="str">
        <f>IFERROR(VLOOKUP(tbl_clean_sales[[#This Row],[Branch_ID]],'04_Branch_Master'!$A$1:$C$7,3,FALSE),"Missing")</f>
        <v>South</v>
      </c>
      <c r="T7" s="25" t="str">
        <f>C7&amp;"|"&amp;TEXT(tbl_clean_sales[[#This Row],[Date]],"yyyymm")</f>
        <v>E005|202606</v>
      </c>
      <c r="U7" s="25">
        <f>IFERROR(INDEX('05_Target_Master'!$A$1:$F$32,MATCH(tbl_clean_sales[[#This Row],[target key]],'05_Target_Master'!$F$1:$F$32,0),3),"Missing")</f>
        <v>127700</v>
      </c>
    </row>
    <row r="8" spans="1:21" x14ac:dyDescent="0.3">
      <c r="A8" s="21">
        <v>46161</v>
      </c>
      <c r="B8" s="22" t="s">
        <v>27</v>
      </c>
      <c r="C8" s="22" t="s">
        <v>21</v>
      </c>
      <c r="D8" s="22" t="s">
        <v>13</v>
      </c>
      <c r="E8" s="22" t="s">
        <v>22</v>
      </c>
      <c r="F8" s="22">
        <v>11</v>
      </c>
      <c r="G8" s="23">
        <v>3971.59</v>
      </c>
      <c r="H8" s="25" t="str">
        <f>IF(COUNTIF(tbl_clean_sales[Invoice_ID],tbl_clean_sales[[#This Row],[Invoice_ID]])&gt;1,"Duplicate","Unique")</f>
        <v>Unique</v>
      </c>
      <c r="I8" s="25"/>
      <c r="J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" s="25" t="str">
        <f>IFERROR(VLOOKUP(tbl_clean_sales[[#This Row],[Employee_ID]],'02_Employee_Master'!$A$1:$C$12,2,FALSE),"Employee Name Missing")</f>
        <v>Priya S</v>
      </c>
      <c r="L8" s="25" t="str">
        <f>IFERROR(VLOOKUP(tbl_clean_sales[[#This Row],[Employee_ID]],'02_Employee_Master'!$A$1:$C$12,3,FALSE),"Department Name Missing")</f>
        <v>Sales</v>
      </c>
      <c r="M8" s="25" t="str">
        <f>IF('03_Clean_data'!D8="","Missing",IFERROR(IF(VLOOKUP(D8,'03_Product_Master'!$A$1:$D$14,1,FALSE)='03_Clean_data'!D8,"Valid","Invalid"),"Invalid"))</f>
        <v>Valid</v>
      </c>
      <c r="N8" s="25" t="str">
        <f>IFERROR(VLOOKUP(tbl_clean_sales[[#This Row],[Product_ID]],'03_Product_Master'!$A$1:$D$14,2,FALSE),"Missing")</f>
        <v>Body Lotion</v>
      </c>
      <c r="O8" s="25" t="str">
        <f>IFERROR(VLOOKUP(tbl_clean_sales[[#This Row],[Product_ID]],'03_Product_Master'!$A$1:$D$14,3,FALSE),"Missing")</f>
        <v>Personal Care</v>
      </c>
      <c r="P8" s="25">
        <f>IFERROR(VLOOKUP(tbl_clean_sales[[#This Row],[Product_ID]],'03_Product_Master'!$A$1:$D$14,4,FALSE),"Missing")</f>
        <v>390</v>
      </c>
      <c r="Q8" s="25" t="str">
        <f>IF('03_Clean_data'!E8="","Missing",IFERROR(IF(VLOOKUP(E8,'04_Branch_Master'!$A$1:$C$7,1,FALSE)='03_Clean_data'!E8,"Valid","Invalid"),"Invalid"))</f>
        <v>Valid</v>
      </c>
      <c r="R8" s="25" t="str">
        <f>IFERROR(VLOOKUP(tbl_clean_sales[[#This Row],[Branch_ID]],'04_Branch_Master'!$A$1:$C$7,2,FALSE),"Missing")</f>
        <v>Tirupur Central</v>
      </c>
      <c r="S8" s="25" t="str">
        <f>IFERROR(VLOOKUP(tbl_clean_sales[[#This Row],[Branch_ID]],'04_Branch_Master'!$A$1:$C$7,3,FALSE),"Missing")</f>
        <v>North</v>
      </c>
      <c r="T8" s="25" t="str">
        <f>C8&amp;"|"&amp;TEXT(tbl_clean_sales[[#This Row],[Date]],"yyyymm")</f>
        <v>E002|202605</v>
      </c>
      <c r="U8" s="25">
        <f>IFERROR(INDEX('05_Target_Master'!$A$1:$F$32,MATCH(tbl_clean_sales[[#This Row],[target key]],'05_Target_Master'!$F$1:$F$32,0),3),"Missing")</f>
        <v>132100</v>
      </c>
    </row>
    <row r="9" spans="1:21" x14ac:dyDescent="0.3">
      <c r="A9" s="21">
        <v>46159</v>
      </c>
      <c r="B9" s="22" t="s">
        <v>28</v>
      </c>
      <c r="C9" s="22" t="s">
        <v>29</v>
      </c>
      <c r="D9" s="22" t="s">
        <v>30</v>
      </c>
      <c r="E9" s="22" t="s">
        <v>10</v>
      </c>
      <c r="F9" s="22">
        <v>1</v>
      </c>
      <c r="G9" s="23">
        <v>147.30000000000001</v>
      </c>
      <c r="H9" s="25" t="str">
        <f>IF(COUNTIF(tbl_clean_sales[Invoice_ID],tbl_clean_sales[[#This Row],[Invoice_ID]])&gt;1,"Duplicate","Unique")</f>
        <v>Unique</v>
      </c>
      <c r="I9" s="25"/>
      <c r="J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" s="25" t="str">
        <f>IFERROR(VLOOKUP(tbl_clean_sales[[#This Row],[Employee_ID]],'02_Employee_Master'!$A$1:$C$12,2,FALSE),"Employee Name Missing")</f>
        <v>Swetha L</v>
      </c>
      <c r="L9" s="25" t="str">
        <f>IFERROR(VLOOKUP(tbl_clean_sales[[#This Row],[Employee_ID]],'02_Employee_Master'!$A$1:$C$12,3,FALSE),"Department Name Missing")</f>
        <v>Sales</v>
      </c>
      <c r="M9" s="25" t="str">
        <f>IF('03_Clean_data'!D9="","Missing",IFERROR(IF(VLOOKUP(D9,'03_Product_Master'!$A$1:$D$14,1,FALSE)='03_Clean_data'!D9,"Valid","Invalid"),"Invalid"))</f>
        <v>Valid</v>
      </c>
      <c r="N9" s="25" t="str">
        <f>IFERROR(VLOOKUP(tbl_clean_sales[[#This Row],[Product_ID]],'03_Product_Master'!$A$1:$D$14,2,FALSE),"Missing")</f>
        <v>Cookies Pack</v>
      </c>
      <c r="O9" s="25" t="str">
        <f>IFERROR(VLOOKUP(tbl_clean_sales[[#This Row],[Product_ID]],'03_Product_Master'!$A$1:$D$14,3,FALSE),"Missing")</f>
        <v>Snacks</v>
      </c>
      <c r="P9" s="25">
        <f>IFERROR(VLOOKUP(tbl_clean_sales[[#This Row],[Product_ID]],'03_Product_Master'!$A$1:$D$14,4,FALSE),"Missing")</f>
        <v>160</v>
      </c>
      <c r="Q9" s="25" t="str">
        <f>IF('03_Clean_data'!E9="","Missing",IFERROR(IF(VLOOKUP(E9,'04_Branch_Master'!$A$1:$C$7,1,FALSE)='03_Clean_data'!E9,"Valid","Invalid"),"Invalid"))</f>
        <v>Valid</v>
      </c>
      <c r="R9" s="25" t="str">
        <f>IFERROR(VLOOKUP(tbl_clean_sales[[#This Row],[Branch_ID]],'04_Branch_Master'!$A$1:$C$7,2,FALSE),"Missing")</f>
        <v>Dharapuram</v>
      </c>
      <c r="S9" s="25" t="str">
        <f>IFERROR(VLOOKUP(tbl_clean_sales[[#This Row],[Branch_ID]],'04_Branch_Master'!$A$1:$C$7,3,FALSE),"Missing")</f>
        <v>South</v>
      </c>
      <c r="T9" s="25" t="str">
        <f>C9&amp;"|"&amp;TEXT(tbl_clean_sales[[#This Row],[Date]],"yyyymm")</f>
        <v>E010|202605</v>
      </c>
      <c r="U9" s="25">
        <f>IFERROR(INDEX('05_Target_Master'!$A$1:$F$32,MATCH(tbl_clean_sales[[#This Row],[target key]],'05_Target_Master'!$F$1:$F$32,0),3),"Missing")</f>
        <v>131500</v>
      </c>
    </row>
    <row r="10" spans="1:21" x14ac:dyDescent="0.3">
      <c r="A10" s="21">
        <v>46150</v>
      </c>
      <c r="B10" s="22" t="s">
        <v>31</v>
      </c>
      <c r="C10" s="22" t="s">
        <v>21</v>
      </c>
      <c r="D10" s="22" t="s">
        <v>30</v>
      </c>
      <c r="E10" s="22" t="s">
        <v>32</v>
      </c>
      <c r="F10" s="22">
        <v>5</v>
      </c>
      <c r="G10" s="23">
        <v>756.47</v>
      </c>
      <c r="H10" s="25" t="str">
        <f>IF(COUNTIF(tbl_clean_sales[Invoice_ID],tbl_clean_sales[[#This Row],[Invoice_ID]])&gt;1,"Duplicate","Unique")</f>
        <v>Unique</v>
      </c>
      <c r="I10" s="25"/>
      <c r="J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" s="25" t="str">
        <f>IFERROR(VLOOKUP(tbl_clean_sales[[#This Row],[Employee_ID]],'02_Employee_Master'!$A$1:$C$12,2,FALSE),"Employee Name Missing")</f>
        <v>Priya S</v>
      </c>
      <c r="L10" s="25" t="str">
        <f>IFERROR(VLOOKUP(tbl_clean_sales[[#This Row],[Employee_ID]],'02_Employee_Master'!$A$1:$C$12,3,FALSE),"Department Name Missing")</f>
        <v>Sales</v>
      </c>
      <c r="M10" s="25" t="str">
        <f>IF('03_Clean_data'!D10="","Missing",IFERROR(IF(VLOOKUP(D10,'03_Product_Master'!$A$1:$D$14,1,FALSE)='03_Clean_data'!D10,"Valid","Invalid"),"Invalid"))</f>
        <v>Valid</v>
      </c>
      <c r="N10" s="25" t="str">
        <f>IFERROR(VLOOKUP(tbl_clean_sales[[#This Row],[Product_ID]],'03_Product_Master'!$A$1:$D$14,2,FALSE),"Missing")</f>
        <v>Cookies Pack</v>
      </c>
      <c r="O10" s="25" t="str">
        <f>IFERROR(VLOOKUP(tbl_clean_sales[[#This Row],[Product_ID]],'03_Product_Master'!$A$1:$D$14,3,FALSE),"Missing")</f>
        <v>Snacks</v>
      </c>
      <c r="P10" s="25">
        <f>IFERROR(VLOOKUP(tbl_clean_sales[[#This Row],[Product_ID]],'03_Product_Master'!$A$1:$D$14,4,FALSE),"Missing")</f>
        <v>160</v>
      </c>
      <c r="Q10" s="25" t="str">
        <f>IF('03_Clean_data'!E10="","Missing",IFERROR(IF(VLOOKUP(E10,'04_Branch_Master'!$A$1:$C$7,1,FALSE)='03_Clean_data'!E10,"Valid","Invalid"),"Invalid"))</f>
        <v>Valid</v>
      </c>
      <c r="R10" s="25" t="str">
        <f>IFERROR(VLOOKUP(tbl_clean_sales[[#This Row],[Branch_ID]],'04_Branch_Master'!$A$1:$C$7,2,FALSE),"Missing")</f>
        <v>Kangeyam</v>
      </c>
      <c r="S10" s="25" t="str">
        <f>IFERROR(VLOOKUP(tbl_clean_sales[[#This Row],[Branch_ID]],'04_Branch_Master'!$A$1:$C$7,3,FALSE),"Missing")</f>
        <v>East</v>
      </c>
      <c r="T10" s="25" t="str">
        <f>C10&amp;"|"&amp;TEXT(tbl_clean_sales[[#This Row],[Date]],"yyyymm")</f>
        <v>E002|202605</v>
      </c>
      <c r="U10" s="25">
        <f>IFERROR(INDEX('05_Target_Master'!$A$1:$F$32,MATCH(tbl_clean_sales[[#This Row],[target key]],'05_Target_Master'!$F$1:$F$32,0),3),"Missing")</f>
        <v>132100</v>
      </c>
    </row>
    <row r="11" spans="1:21" x14ac:dyDescent="0.3">
      <c r="A11" s="21">
        <v>46159</v>
      </c>
      <c r="B11" s="22" t="s">
        <v>33</v>
      </c>
      <c r="C11" s="22" t="s">
        <v>18</v>
      </c>
      <c r="D11" s="22" t="s">
        <v>34</v>
      </c>
      <c r="E11" s="22" t="s">
        <v>14</v>
      </c>
      <c r="F11" s="22">
        <v>11</v>
      </c>
      <c r="G11" s="23">
        <v>1171.23</v>
      </c>
      <c r="H11" s="25" t="str">
        <f>IF(COUNTIF(tbl_clean_sales[Invoice_ID],tbl_clean_sales[[#This Row],[Invoice_ID]])&gt;1,"Duplicate","Unique")</f>
        <v>Unique</v>
      </c>
      <c r="I11" s="25"/>
      <c r="J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" s="25" t="str">
        <f>IFERROR(VLOOKUP(tbl_clean_sales[[#This Row],[Employee_ID]],'02_Employee_Master'!$A$1:$C$12,2,FALSE),"Employee Name Missing")</f>
        <v>Rahul M</v>
      </c>
      <c r="L11" s="25" t="str">
        <f>IFERROR(VLOOKUP(tbl_clean_sales[[#This Row],[Employee_ID]],'02_Employee_Master'!$A$1:$C$12,3,FALSE),"Department Name Missing")</f>
        <v>Sales</v>
      </c>
      <c r="M11" s="25" t="str">
        <f>IF('03_Clean_data'!D11="","Missing",IFERROR(IF(VLOOKUP(D11,'03_Product_Master'!$A$1:$D$14,1,FALSE)='03_Clean_data'!D11,"Valid","Invalid"),"Invalid"))</f>
        <v>Valid</v>
      </c>
      <c r="N11" s="25" t="str">
        <f>IFERROR(VLOOKUP(tbl_clean_sales[[#This Row],[Product_ID]],'03_Product_Master'!$A$1:$D$14,2,FALSE),"Missing")</f>
        <v>Potato Chips</v>
      </c>
      <c r="O11" s="25" t="str">
        <f>IFERROR(VLOOKUP(tbl_clean_sales[[#This Row],[Product_ID]],'03_Product_Master'!$A$1:$D$14,3,FALSE),"Missing")</f>
        <v>Snacks</v>
      </c>
      <c r="P11" s="25">
        <f>IFERROR(VLOOKUP(tbl_clean_sales[[#This Row],[Product_ID]],'03_Product_Master'!$A$1:$D$14,4,FALSE),"Missing")</f>
        <v>110</v>
      </c>
      <c r="Q11" s="25" t="str">
        <f>IF('03_Clean_data'!E11="","Missing",IFERROR(IF(VLOOKUP(E11,'04_Branch_Master'!$A$1:$C$7,1,FALSE)='03_Clean_data'!E11,"Valid","Invalid"),"Invalid"))</f>
        <v>Valid</v>
      </c>
      <c r="R11" s="25" t="str">
        <f>IFERROR(VLOOKUP(tbl_clean_sales[[#This Row],[Branch_ID]],'04_Branch_Master'!$A$1:$C$7,2,FALSE),"Missing")</f>
        <v>Avinashi Road</v>
      </c>
      <c r="S11" s="25" t="str">
        <f>IFERROR(VLOOKUP(tbl_clean_sales[[#This Row],[Branch_ID]],'04_Branch_Master'!$A$1:$C$7,3,FALSE),"Missing")</f>
        <v>North</v>
      </c>
      <c r="T11" s="25" t="str">
        <f>C11&amp;"|"&amp;TEXT(tbl_clean_sales[[#This Row],[Date]],"yyyymm")</f>
        <v>E003|202605</v>
      </c>
      <c r="U11" s="25">
        <f>IFERROR(INDEX('05_Target_Master'!$A$1:$F$32,MATCH(tbl_clean_sales[[#This Row],[target key]],'05_Target_Master'!$F$1:$F$32,0),3),"Missing")</f>
        <v>126000</v>
      </c>
    </row>
    <row r="12" spans="1:21" x14ac:dyDescent="0.3">
      <c r="A12" s="21">
        <v>46200</v>
      </c>
      <c r="B12" s="22" t="s">
        <v>35</v>
      </c>
      <c r="C12" s="22" t="s">
        <v>21</v>
      </c>
      <c r="D12" s="22" t="s">
        <v>36</v>
      </c>
      <c r="E12" s="22" t="s">
        <v>22</v>
      </c>
      <c r="F12" s="22">
        <v>9</v>
      </c>
      <c r="G12" s="23">
        <v>1560.38</v>
      </c>
      <c r="H12" s="25" t="str">
        <f>IF(COUNTIF(tbl_clean_sales[Invoice_ID],tbl_clean_sales[[#This Row],[Invoice_ID]])&gt;1,"Duplicate","Unique")</f>
        <v>Unique</v>
      </c>
      <c r="I12" s="25"/>
      <c r="J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" s="25" t="str">
        <f>IFERROR(VLOOKUP(tbl_clean_sales[[#This Row],[Employee_ID]],'02_Employee_Master'!$A$1:$C$12,2,FALSE),"Employee Name Missing")</f>
        <v>Priya S</v>
      </c>
      <c r="L12" s="25" t="str">
        <f>IFERROR(VLOOKUP(tbl_clean_sales[[#This Row],[Employee_ID]],'02_Employee_Master'!$A$1:$C$12,3,FALSE),"Department Name Missing")</f>
        <v>Sales</v>
      </c>
      <c r="M12" s="25" t="str">
        <f>IF('03_Clean_data'!D12="","Missing",IFERROR(IF(VLOOKUP(D12,'03_Product_Master'!$A$1:$D$14,1,FALSE)='03_Clean_data'!D12,"Valid","Invalid"),"Invalid"))</f>
        <v>Valid</v>
      </c>
      <c r="N12" s="25" t="str">
        <f>IFERROR(VLOOKUP(tbl_clean_sales[[#This Row],[Product_ID]],'03_Product_Master'!$A$1:$D$14,2,FALSE),"Missing")</f>
        <v>Dish Wash</v>
      </c>
      <c r="O12" s="25" t="str">
        <f>IFERROR(VLOOKUP(tbl_clean_sales[[#This Row],[Product_ID]],'03_Product_Master'!$A$1:$D$14,3,FALSE),"Missing")</f>
        <v>Home Care</v>
      </c>
      <c r="P12" s="25">
        <f>IFERROR(VLOOKUP(tbl_clean_sales[[#This Row],[Product_ID]],'03_Product_Master'!$A$1:$D$14,4,FALSE),"Missing")</f>
        <v>190</v>
      </c>
      <c r="Q12" s="25" t="str">
        <f>IF('03_Clean_data'!E12="","Missing",IFERROR(IF(VLOOKUP(E12,'04_Branch_Master'!$A$1:$C$7,1,FALSE)='03_Clean_data'!E12,"Valid","Invalid"),"Invalid"))</f>
        <v>Valid</v>
      </c>
      <c r="R12" s="25" t="str">
        <f>IFERROR(VLOOKUP(tbl_clean_sales[[#This Row],[Branch_ID]],'04_Branch_Master'!$A$1:$C$7,2,FALSE),"Missing")</f>
        <v>Tirupur Central</v>
      </c>
      <c r="S12" s="25" t="str">
        <f>IFERROR(VLOOKUP(tbl_clean_sales[[#This Row],[Branch_ID]],'04_Branch_Master'!$A$1:$C$7,3,FALSE),"Missing")</f>
        <v>North</v>
      </c>
      <c r="T12" s="25" t="str">
        <f>C12&amp;"|"&amp;TEXT(tbl_clean_sales[[#This Row],[Date]],"yyyymm")</f>
        <v>E002|202606</v>
      </c>
      <c r="U12" s="25">
        <f>IFERROR(INDEX('05_Target_Master'!$A$1:$F$32,MATCH(tbl_clean_sales[[#This Row],[target key]],'05_Target_Master'!$F$1:$F$32,0),3),"Missing")</f>
        <v>117400</v>
      </c>
    </row>
    <row r="13" spans="1:21" x14ac:dyDescent="0.3">
      <c r="A13" s="21">
        <v>46133</v>
      </c>
      <c r="B13" s="22" t="s">
        <v>37</v>
      </c>
      <c r="C13" s="22" t="s">
        <v>38</v>
      </c>
      <c r="D13" s="22" t="s">
        <v>16</v>
      </c>
      <c r="E13" s="22" t="s">
        <v>32</v>
      </c>
      <c r="F13" s="22">
        <v>11</v>
      </c>
      <c r="G13" s="23">
        <v>3128.4</v>
      </c>
      <c r="H13" s="25" t="str">
        <f>IF(COUNTIF(tbl_clean_sales[Invoice_ID],tbl_clean_sales[[#This Row],[Invoice_ID]])&gt;1,"Duplicate","Unique")</f>
        <v>Unique</v>
      </c>
      <c r="I13" s="25"/>
      <c r="J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" s="25" t="str">
        <f>IFERROR(VLOOKUP(tbl_clean_sales[[#This Row],[Employee_ID]],'02_Employee_Master'!$A$1:$C$12,2,FALSE),"Employee Name Missing")</f>
        <v>Nandhini K</v>
      </c>
      <c r="L13" s="25" t="str">
        <f>IFERROR(VLOOKUP(tbl_clean_sales[[#This Row],[Employee_ID]],'02_Employee_Master'!$A$1:$C$12,3,FALSE),"Department Name Missing")</f>
        <v>Sales</v>
      </c>
      <c r="M13" s="25" t="str">
        <f>IF('03_Clean_data'!D13="","Missing",IFERROR(IF(VLOOKUP(D13,'03_Product_Master'!$A$1:$D$14,1,FALSE)='03_Clean_data'!D13,"Valid","Invalid"),"Invalid"))</f>
        <v>Valid</v>
      </c>
      <c r="N13" s="25" t="str">
        <f>IFERROR(VLOOKUP(tbl_clean_sales[[#This Row],[Product_ID]],'03_Product_Master'!$A$1:$D$14,2,FALSE),"Missing")</f>
        <v>Shampoo</v>
      </c>
      <c r="O13" s="25" t="str">
        <f>IFERROR(VLOOKUP(tbl_clean_sales[[#This Row],[Product_ID]],'03_Product_Master'!$A$1:$D$14,3,FALSE),"Missing")</f>
        <v>Personal Care</v>
      </c>
      <c r="P13" s="25">
        <f>IFERROR(VLOOKUP(tbl_clean_sales[[#This Row],[Product_ID]],'03_Product_Master'!$A$1:$D$14,4,FALSE),"Missing")</f>
        <v>310</v>
      </c>
      <c r="Q13" s="25" t="str">
        <f>IF('03_Clean_data'!E13="","Missing",IFERROR(IF(VLOOKUP(E13,'04_Branch_Master'!$A$1:$C$7,1,FALSE)='03_Clean_data'!E13,"Valid","Invalid"),"Invalid"))</f>
        <v>Valid</v>
      </c>
      <c r="R13" s="25" t="str">
        <f>IFERROR(VLOOKUP(tbl_clean_sales[[#This Row],[Branch_ID]],'04_Branch_Master'!$A$1:$C$7,2,FALSE),"Missing")</f>
        <v>Kangeyam</v>
      </c>
      <c r="S13" s="25" t="str">
        <f>IFERROR(VLOOKUP(tbl_clean_sales[[#This Row],[Branch_ID]],'04_Branch_Master'!$A$1:$C$7,3,FALSE),"Missing")</f>
        <v>East</v>
      </c>
      <c r="T13" s="25" t="str">
        <f>C13&amp;"|"&amp;TEXT(tbl_clean_sales[[#This Row],[Date]],"yyyymm")</f>
        <v>E008|202604</v>
      </c>
      <c r="U13" s="25">
        <f>IFERROR(INDEX('05_Target_Master'!$A$1:$F$32,MATCH(tbl_clean_sales[[#This Row],[target key]],'05_Target_Master'!$F$1:$F$32,0),3),"Missing")</f>
        <v>124100</v>
      </c>
    </row>
    <row r="14" spans="1:21" x14ac:dyDescent="0.3">
      <c r="A14" s="21">
        <v>46141</v>
      </c>
      <c r="B14" s="22" t="s">
        <v>39</v>
      </c>
      <c r="C14" s="22" t="s">
        <v>40</v>
      </c>
      <c r="D14" s="22" t="s">
        <v>25</v>
      </c>
      <c r="E14" s="22" t="s">
        <v>26</v>
      </c>
      <c r="F14" s="22">
        <v>1</v>
      </c>
      <c r="G14" s="23">
        <v>379.43</v>
      </c>
      <c r="H14" s="25" t="str">
        <f>IF(COUNTIF(tbl_clean_sales[Invoice_ID],tbl_clean_sales[[#This Row],[Invoice_ID]])&gt;1,"Duplicate","Unique")</f>
        <v>Unique</v>
      </c>
      <c r="I14" s="25"/>
      <c r="J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" s="25" t="str">
        <f>IFERROR(VLOOKUP(tbl_clean_sales[[#This Row],[Employee_ID]],'02_Employee_Master'!$A$1:$C$12,2,FALSE),"Employee Name Missing")</f>
        <v>Meena V</v>
      </c>
      <c r="L14" s="25" t="str">
        <f>IFERROR(VLOOKUP(tbl_clean_sales[[#This Row],[Employee_ID]],'02_Employee_Master'!$A$1:$C$12,3,FALSE),"Department Name Missing")</f>
        <v>Sales</v>
      </c>
      <c r="M14" s="25" t="str">
        <f>IF('03_Clean_data'!D14="","Missing",IFERROR(IF(VLOOKUP(D14,'03_Product_Master'!$A$1:$D$14,1,FALSE)='03_Clean_data'!D14,"Valid","Invalid"),"Invalid"))</f>
        <v>Valid</v>
      </c>
      <c r="N14" s="25" t="str">
        <f>IFERROR(VLOOKUP(tbl_clean_sales[[#This Row],[Product_ID]],'03_Product_Master'!$A$1:$D$14,2,FALSE),"Missing")</f>
        <v>Premium Coffee</v>
      </c>
      <c r="O14" s="25" t="str">
        <f>IFERROR(VLOOKUP(tbl_clean_sales[[#This Row],[Product_ID]],'03_Product_Master'!$A$1:$D$14,3,FALSE),"Missing")</f>
        <v>Beverages</v>
      </c>
      <c r="P14" s="25">
        <f>IFERROR(VLOOKUP(tbl_clean_sales[[#This Row],[Product_ID]],'03_Product_Master'!$A$1:$D$14,4,FALSE),"Missing")</f>
        <v>420</v>
      </c>
      <c r="Q14" s="25" t="str">
        <f>IF('03_Clean_data'!E14="","Missing",IFERROR(IF(VLOOKUP(E14,'04_Branch_Master'!$A$1:$C$7,1,FALSE)='03_Clean_data'!E14,"Valid","Invalid"),"Invalid"))</f>
        <v>Valid</v>
      </c>
      <c r="R14" s="25" t="str">
        <f>IFERROR(VLOOKUP(tbl_clean_sales[[#This Row],[Branch_ID]],'04_Branch_Master'!$A$1:$C$7,2,FALSE),"Missing")</f>
        <v>Palladam</v>
      </c>
      <c r="S14" s="25" t="str">
        <f>IFERROR(VLOOKUP(tbl_clean_sales[[#This Row],[Branch_ID]],'04_Branch_Master'!$A$1:$C$7,3,FALSE),"Missing")</f>
        <v>South</v>
      </c>
      <c r="T14" s="25" t="str">
        <f>C14&amp;"|"&amp;TEXT(tbl_clean_sales[[#This Row],[Date]],"yyyymm")</f>
        <v>E006|202604</v>
      </c>
      <c r="U14" s="25">
        <f>IFERROR(INDEX('05_Target_Master'!$A$1:$F$32,MATCH(tbl_clean_sales[[#This Row],[target key]],'05_Target_Master'!$F$1:$F$32,0),3),"Missing")</f>
        <v>131000</v>
      </c>
    </row>
    <row r="15" spans="1:21" x14ac:dyDescent="0.3">
      <c r="A15" s="21">
        <v>46164</v>
      </c>
      <c r="B15" s="22" t="s">
        <v>41</v>
      </c>
      <c r="C15" s="22" t="s">
        <v>24</v>
      </c>
      <c r="D15" s="22" t="s">
        <v>9</v>
      </c>
      <c r="E15" s="22" t="s">
        <v>26</v>
      </c>
      <c r="F15" s="22">
        <v>10</v>
      </c>
      <c r="G15" s="23">
        <v>2505.54</v>
      </c>
      <c r="H15" s="25" t="str">
        <f>IF(COUNTIF(tbl_clean_sales[Invoice_ID],tbl_clean_sales[[#This Row],[Invoice_ID]])&gt;1,"Duplicate","Unique")</f>
        <v>Unique</v>
      </c>
      <c r="I15" s="25"/>
      <c r="J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" s="25" t="str">
        <f>IFERROR(VLOOKUP(tbl_clean_sales[[#This Row],[Employee_ID]],'02_Employee_Master'!$A$1:$C$12,2,FALSE),"Employee Name Missing")</f>
        <v>Karthik P</v>
      </c>
      <c r="L15" s="25" t="str">
        <f>IFERROR(VLOOKUP(tbl_clean_sales[[#This Row],[Employee_ID]],'02_Employee_Master'!$A$1:$C$12,3,FALSE),"Department Name Missing")</f>
        <v>Sales</v>
      </c>
      <c r="M15" s="25" t="str">
        <f>IF('03_Clean_data'!D15="","Missing",IFERROR(IF(VLOOKUP(D15,'03_Product_Master'!$A$1:$D$14,1,FALSE)='03_Clean_data'!D15,"Valid","Invalid"),"Invalid"))</f>
        <v>Valid</v>
      </c>
      <c r="N15" s="25" t="str">
        <f>IFERROR(VLOOKUP(tbl_clean_sales[[#This Row],[Product_ID]],'03_Product_Master'!$A$1:$D$14,2,FALSE),"Missing")</f>
        <v>Green Tea</v>
      </c>
      <c r="O15" s="25" t="str">
        <f>IFERROR(VLOOKUP(tbl_clean_sales[[#This Row],[Product_ID]],'03_Product_Master'!$A$1:$D$14,3,FALSE),"Missing")</f>
        <v>Beverages</v>
      </c>
      <c r="P15" s="25">
        <f>IFERROR(VLOOKUP(tbl_clean_sales[[#This Row],[Product_ID]],'03_Product_Master'!$A$1:$D$14,4,FALSE),"Missing")</f>
        <v>280</v>
      </c>
      <c r="Q15" s="25" t="str">
        <f>IF('03_Clean_data'!E15="","Missing",IFERROR(IF(VLOOKUP(E15,'04_Branch_Master'!$A$1:$C$7,1,FALSE)='03_Clean_data'!E15,"Valid","Invalid"),"Invalid"))</f>
        <v>Valid</v>
      </c>
      <c r="R15" s="25" t="str">
        <f>IFERROR(VLOOKUP(tbl_clean_sales[[#This Row],[Branch_ID]],'04_Branch_Master'!$A$1:$C$7,2,FALSE),"Missing")</f>
        <v>Palladam</v>
      </c>
      <c r="S15" s="25" t="str">
        <f>IFERROR(VLOOKUP(tbl_clean_sales[[#This Row],[Branch_ID]],'04_Branch_Master'!$A$1:$C$7,3,FALSE),"Missing")</f>
        <v>South</v>
      </c>
      <c r="T15" s="25" t="str">
        <f>C15&amp;"|"&amp;TEXT(tbl_clean_sales[[#This Row],[Date]],"yyyymm")</f>
        <v>E005|202605</v>
      </c>
      <c r="U15" s="25">
        <f>IFERROR(INDEX('05_Target_Master'!$A$1:$F$32,MATCH(tbl_clean_sales[[#This Row],[target key]],'05_Target_Master'!$F$1:$F$32,0),3),"Missing")</f>
        <v>143700</v>
      </c>
    </row>
    <row r="16" spans="1:21" x14ac:dyDescent="0.3">
      <c r="A16" s="21">
        <v>46153</v>
      </c>
      <c r="B16" s="22" t="s">
        <v>42</v>
      </c>
      <c r="C16" s="22" t="s">
        <v>12</v>
      </c>
      <c r="D16" s="22" t="s">
        <v>43</v>
      </c>
      <c r="E16" s="22" t="s">
        <v>14</v>
      </c>
      <c r="F16" s="22">
        <v>11</v>
      </c>
      <c r="G16" s="23">
        <v>3534.07</v>
      </c>
      <c r="H16" s="25" t="str">
        <f>IF(COUNTIF(tbl_clean_sales[Invoice_ID],tbl_clean_sales[[#This Row],[Invoice_ID]])&gt;1,"Duplicate","Unique")</f>
        <v>Unique</v>
      </c>
      <c r="I16" s="25"/>
      <c r="J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" s="25" t="str">
        <f>IFERROR(VLOOKUP(tbl_clean_sales[[#This Row],[Employee_ID]],'02_Employee_Master'!$A$1:$C$12,2,FALSE),"Employee Name Missing")</f>
        <v>Divya R</v>
      </c>
      <c r="L16" s="25" t="str">
        <f>IFERROR(VLOOKUP(tbl_clean_sales[[#This Row],[Employee_ID]],'02_Employee_Master'!$A$1:$C$12,3,FALSE),"Department Name Missing")</f>
        <v>Sales</v>
      </c>
      <c r="M16" s="25" t="str">
        <f>IF('03_Clean_data'!D16="","Missing",IFERROR(IF(VLOOKUP(D16,'03_Product_Master'!$A$1:$D$14,1,FALSE)='03_Clean_data'!D16,"Valid","Invalid"),"Invalid"))</f>
        <v>Valid</v>
      </c>
      <c r="N16" s="25" t="str">
        <f>IFERROR(VLOOKUP(tbl_clean_sales[[#This Row],[Product_ID]],'03_Product_Master'!$A$1:$D$14,2,FALSE),"Missing")</f>
        <v>Laundry Liquid</v>
      </c>
      <c r="O16" s="25" t="str">
        <f>IFERROR(VLOOKUP(tbl_clean_sales[[#This Row],[Product_ID]],'03_Product_Master'!$A$1:$D$14,3,FALSE),"Missing")</f>
        <v>Home Care</v>
      </c>
      <c r="P16" s="25">
        <f>IFERROR(VLOOKUP(tbl_clean_sales[[#This Row],[Product_ID]],'03_Product_Master'!$A$1:$D$14,4,FALSE),"Missing")</f>
        <v>340</v>
      </c>
      <c r="Q16" s="25" t="str">
        <f>IF('03_Clean_data'!E16="","Missing",IFERROR(IF(VLOOKUP(E16,'04_Branch_Master'!$A$1:$C$7,1,FALSE)='03_Clean_data'!E16,"Valid","Invalid"),"Invalid"))</f>
        <v>Valid</v>
      </c>
      <c r="R16" s="25" t="str">
        <f>IFERROR(VLOOKUP(tbl_clean_sales[[#This Row],[Branch_ID]],'04_Branch_Master'!$A$1:$C$7,2,FALSE),"Missing")</f>
        <v>Avinashi Road</v>
      </c>
      <c r="S16" s="25" t="str">
        <f>IFERROR(VLOOKUP(tbl_clean_sales[[#This Row],[Branch_ID]],'04_Branch_Master'!$A$1:$C$7,3,FALSE),"Missing")</f>
        <v>North</v>
      </c>
      <c r="T16" s="25" t="str">
        <f>C16&amp;"|"&amp;TEXT(tbl_clean_sales[[#This Row],[Date]],"yyyymm")</f>
        <v>E004|202605</v>
      </c>
      <c r="U16" s="25">
        <f>IFERROR(INDEX('05_Target_Master'!$A$1:$F$32,MATCH(tbl_clean_sales[[#This Row],[target key]],'05_Target_Master'!$F$1:$F$32,0),3),"Missing")</f>
        <v>176700</v>
      </c>
    </row>
    <row r="17" spans="1:21" x14ac:dyDescent="0.3">
      <c r="A17" s="21">
        <v>46146</v>
      </c>
      <c r="B17" s="22" t="s">
        <v>44</v>
      </c>
      <c r="C17" s="22" t="s">
        <v>18</v>
      </c>
      <c r="D17" s="22" t="s">
        <v>30</v>
      </c>
      <c r="E17" s="22" t="s">
        <v>14</v>
      </c>
      <c r="F17" s="22">
        <v>9</v>
      </c>
      <c r="G17" s="23">
        <v>1394.6</v>
      </c>
      <c r="H17" s="25" t="str">
        <f>IF(COUNTIF(tbl_clean_sales[Invoice_ID],tbl_clean_sales[[#This Row],[Invoice_ID]])&gt;1,"Duplicate","Unique")</f>
        <v>Unique</v>
      </c>
      <c r="I17" s="25"/>
      <c r="J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" s="25" t="str">
        <f>IFERROR(VLOOKUP(tbl_clean_sales[[#This Row],[Employee_ID]],'02_Employee_Master'!$A$1:$C$12,2,FALSE),"Employee Name Missing")</f>
        <v>Rahul M</v>
      </c>
      <c r="L17" s="25" t="str">
        <f>IFERROR(VLOOKUP(tbl_clean_sales[[#This Row],[Employee_ID]],'02_Employee_Master'!$A$1:$C$12,3,FALSE),"Department Name Missing")</f>
        <v>Sales</v>
      </c>
      <c r="M17" s="25" t="str">
        <f>IF('03_Clean_data'!D17="","Missing",IFERROR(IF(VLOOKUP(D17,'03_Product_Master'!$A$1:$D$14,1,FALSE)='03_Clean_data'!D17,"Valid","Invalid"),"Invalid"))</f>
        <v>Valid</v>
      </c>
      <c r="N17" s="25" t="str">
        <f>IFERROR(VLOOKUP(tbl_clean_sales[[#This Row],[Product_ID]],'03_Product_Master'!$A$1:$D$14,2,FALSE),"Missing")</f>
        <v>Cookies Pack</v>
      </c>
      <c r="O17" s="25" t="str">
        <f>IFERROR(VLOOKUP(tbl_clean_sales[[#This Row],[Product_ID]],'03_Product_Master'!$A$1:$D$14,3,FALSE),"Missing")</f>
        <v>Snacks</v>
      </c>
      <c r="P17" s="25">
        <f>IFERROR(VLOOKUP(tbl_clean_sales[[#This Row],[Product_ID]],'03_Product_Master'!$A$1:$D$14,4,FALSE),"Missing")</f>
        <v>160</v>
      </c>
      <c r="Q17" s="25" t="str">
        <f>IF('03_Clean_data'!E17="","Missing",IFERROR(IF(VLOOKUP(E17,'04_Branch_Master'!$A$1:$C$7,1,FALSE)='03_Clean_data'!E17,"Valid","Invalid"),"Invalid"))</f>
        <v>Valid</v>
      </c>
      <c r="R17" s="25" t="str">
        <f>IFERROR(VLOOKUP(tbl_clean_sales[[#This Row],[Branch_ID]],'04_Branch_Master'!$A$1:$C$7,2,FALSE),"Missing")</f>
        <v>Avinashi Road</v>
      </c>
      <c r="S17" s="25" t="str">
        <f>IFERROR(VLOOKUP(tbl_clean_sales[[#This Row],[Branch_ID]],'04_Branch_Master'!$A$1:$C$7,3,FALSE),"Missing")</f>
        <v>North</v>
      </c>
      <c r="T17" s="25" t="str">
        <f>C17&amp;"|"&amp;TEXT(tbl_clean_sales[[#This Row],[Date]],"yyyymm")</f>
        <v>E003|202605</v>
      </c>
      <c r="U17" s="25">
        <f>IFERROR(INDEX('05_Target_Master'!$A$1:$F$32,MATCH(tbl_clean_sales[[#This Row],[target key]],'05_Target_Master'!$F$1:$F$32,0),3),"Missing")</f>
        <v>126000</v>
      </c>
    </row>
    <row r="18" spans="1:21" x14ac:dyDescent="0.3">
      <c r="A18" s="21">
        <v>46187</v>
      </c>
      <c r="B18" s="22" t="s">
        <v>45</v>
      </c>
      <c r="C18" s="22" t="s">
        <v>46</v>
      </c>
      <c r="D18" s="22" t="s">
        <v>36</v>
      </c>
      <c r="E18" s="22" t="s">
        <v>32</v>
      </c>
      <c r="F18" s="22">
        <v>4</v>
      </c>
      <c r="G18" s="23">
        <v>669.04</v>
      </c>
      <c r="H18" s="25" t="str">
        <f>IF(COUNTIF(tbl_clean_sales[Invoice_ID],tbl_clean_sales[[#This Row],[Invoice_ID]])&gt;1,"Duplicate","Unique")</f>
        <v>Unique</v>
      </c>
      <c r="I18" s="25"/>
      <c r="J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" s="25" t="str">
        <f>IFERROR(VLOOKUP(tbl_clean_sales[[#This Row],[Employee_ID]],'02_Employee_Master'!$A$1:$C$12,2,FALSE),"Employee Name Missing")</f>
        <v>Suresh B</v>
      </c>
      <c r="L18" s="25" t="str">
        <f>IFERROR(VLOOKUP(tbl_clean_sales[[#This Row],[Employee_ID]],'02_Employee_Master'!$A$1:$C$12,3,FALSE),"Department Name Missing")</f>
        <v>Sales</v>
      </c>
      <c r="M18" s="25" t="str">
        <f>IF('03_Clean_data'!D18="","Missing",IFERROR(IF(VLOOKUP(D18,'03_Product_Master'!$A$1:$D$14,1,FALSE)='03_Clean_data'!D18,"Valid","Invalid"),"Invalid"))</f>
        <v>Valid</v>
      </c>
      <c r="N18" s="25" t="str">
        <f>IFERROR(VLOOKUP(tbl_clean_sales[[#This Row],[Product_ID]],'03_Product_Master'!$A$1:$D$14,2,FALSE),"Missing")</f>
        <v>Dish Wash</v>
      </c>
      <c r="O18" s="25" t="str">
        <f>IFERROR(VLOOKUP(tbl_clean_sales[[#This Row],[Product_ID]],'03_Product_Master'!$A$1:$D$14,3,FALSE),"Missing")</f>
        <v>Home Care</v>
      </c>
      <c r="P18" s="25">
        <f>IFERROR(VLOOKUP(tbl_clean_sales[[#This Row],[Product_ID]],'03_Product_Master'!$A$1:$D$14,4,FALSE),"Missing")</f>
        <v>190</v>
      </c>
      <c r="Q18" s="25" t="str">
        <f>IF('03_Clean_data'!E18="","Missing",IFERROR(IF(VLOOKUP(E18,'04_Branch_Master'!$A$1:$C$7,1,FALSE)='03_Clean_data'!E18,"Valid","Invalid"),"Invalid"))</f>
        <v>Valid</v>
      </c>
      <c r="R18" s="25" t="str">
        <f>IFERROR(VLOOKUP(tbl_clean_sales[[#This Row],[Branch_ID]],'04_Branch_Master'!$A$1:$C$7,2,FALSE),"Missing")</f>
        <v>Kangeyam</v>
      </c>
      <c r="S18" s="25" t="str">
        <f>IFERROR(VLOOKUP(tbl_clean_sales[[#This Row],[Branch_ID]],'04_Branch_Master'!$A$1:$C$7,3,FALSE),"Missing")</f>
        <v>East</v>
      </c>
      <c r="T18" s="25" t="str">
        <f>C18&amp;"|"&amp;TEXT(tbl_clean_sales[[#This Row],[Date]],"yyyymm")</f>
        <v>E007|202606</v>
      </c>
      <c r="U18" s="25">
        <f>IFERROR(INDEX('05_Target_Master'!$A$1:$F$32,MATCH(tbl_clean_sales[[#This Row],[target key]],'05_Target_Master'!$F$1:$F$32,0),3),"Missing")</f>
        <v>124400</v>
      </c>
    </row>
    <row r="19" spans="1:21" x14ac:dyDescent="0.3">
      <c r="A19" s="21">
        <v>46130</v>
      </c>
      <c r="B19" s="22" t="s">
        <v>47</v>
      </c>
      <c r="C19" s="22" t="s">
        <v>8</v>
      </c>
      <c r="D19" s="22" t="s">
        <v>48</v>
      </c>
      <c r="E19" s="22" t="s">
        <v>10</v>
      </c>
      <c r="F19" s="22">
        <v>1</v>
      </c>
      <c r="G19" s="23">
        <v>233.13</v>
      </c>
      <c r="H19" s="25" t="str">
        <f>IF(COUNTIF(tbl_clean_sales[Invoice_ID],tbl_clean_sales[[#This Row],[Invoice_ID]])&gt;1,"Duplicate","Unique")</f>
        <v>Unique</v>
      </c>
      <c r="I19" s="25"/>
      <c r="J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" s="25" t="str">
        <f>IFERROR(VLOOKUP(tbl_clean_sales[[#This Row],[Employee_ID]],'02_Employee_Master'!$A$1:$C$12,2,FALSE),"Employee Name Missing")</f>
        <v>Vignesh R</v>
      </c>
      <c r="L19" s="25" t="str">
        <f>IFERROR(VLOOKUP(tbl_clean_sales[[#This Row],[Employee_ID]],'02_Employee_Master'!$A$1:$C$12,3,FALSE),"Department Name Missing")</f>
        <v>Sales</v>
      </c>
      <c r="M19" s="25" t="str">
        <f>IF('03_Clean_data'!D19="","Missing",IFERROR(IF(VLOOKUP(D19,'03_Product_Master'!$A$1:$D$14,1,FALSE)='03_Clean_data'!D19,"Valid","Invalid"),"Invalid"))</f>
        <v>Valid</v>
      </c>
      <c r="N19" s="25" t="str">
        <f>IFERROR(VLOOKUP(tbl_clean_sales[[#This Row],[Product_ID]],'03_Product_Master'!$A$1:$D$14,2,FALSE),"Missing")</f>
        <v>Face Wash</v>
      </c>
      <c r="O19" s="25" t="str">
        <f>IFERROR(VLOOKUP(tbl_clean_sales[[#This Row],[Product_ID]],'03_Product_Master'!$A$1:$D$14,3,FALSE),"Missing")</f>
        <v>Personal Care</v>
      </c>
      <c r="P19" s="25">
        <f>IFERROR(VLOOKUP(tbl_clean_sales[[#This Row],[Product_ID]],'03_Product_Master'!$A$1:$D$14,4,FALSE),"Missing")</f>
        <v>260</v>
      </c>
      <c r="Q19" s="25" t="str">
        <f>IF('03_Clean_data'!E19="","Missing",IFERROR(IF(VLOOKUP(E19,'04_Branch_Master'!$A$1:$C$7,1,FALSE)='03_Clean_data'!E19,"Valid","Invalid"),"Invalid"))</f>
        <v>Valid</v>
      </c>
      <c r="R19" s="25" t="str">
        <f>IFERROR(VLOOKUP(tbl_clean_sales[[#This Row],[Branch_ID]],'04_Branch_Master'!$A$1:$C$7,2,FALSE),"Missing")</f>
        <v>Dharapuram</v>
      </c>
      <c r="S19" s="25" t="str">
        <f>IFERROR(VLOOKUP(tbl_clean_sales[[#This Row],[Branch_ID]],'04_Branch_Master'!$A$1:$C$7,3,FALSE),"Missing")</f>
        <v>South</v>
      </c>
      <c r="T19" s="25" t="str">
        <f>C19&amp;"|"&amp;TEXT(tbl_clean_sales[[#This Row],[Date]],"yyyymm")</f>
        <v>E009|202604</v>
      </c>
      <c r="U19" s="25">
        <f>IFERROR(INDEX('05_Target_Master'!$A$1:$F$32,MATCH(tbl_clean_sales[[#This Row],[target key]],'05_Target_Master'!$F$1:$F$32,0),3),"Missing")</f>
        <v>163300</v>
      </c>
    </row>
    <row r="20" spans="1:21" x14ac:dyDescent="0.3">
      <c r="A20" s="21">
        <v>46132</v>
      </c>
      <c r="B20" s="22" t="s">
        <v>49</v>
      </c>
      <c r="C20" s="22" t="s">
        <v>18</v>
      </c>
      <c r="D20" s="22" t="s">
        <v>43</v>
      </c>
      <c r="E20" s="22" t="s">
        <v>14</v>
      </c>
      <c r="F20" s="22">
        <v>2</v>
      </c>
      <c r="G20" s="23">
        <v>648.6</v>
      </c>
      <c r="H20" s="25" t="str">
        <f>IF(COUNTIF(tbl_clean_sales[Invoice_ID],tbl_clean_sales[[#This Row],[Invoice_ID]])&gt;1,"Duplicate","Unique")</f>
        <v>Unique</v>
      </c>
      <c r="I20" s="25"/>
      <c r="J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" s="25" t="str">
        <f>IFERROR(VLOOKUP(tbl_clean_sales[[#This Row],[Employee_ID]],'02_Employee_Master'!$A$1:$C$12,2,FALSE),"Employee Name Missing")</f>
        <v>Rahul M</v>
      </c>
      <c r="L20" s="25" t="str">
        <f>IFERROR(VLOOKUP(tbl_clean_sales[[#This Row],[Employee_ID]],'02_Employee_Master'!$A$1:$C$12,3,FALSE),"Department Name Missing")</f>
        <v>Sales</v>
      </c>
      <c r="M20" s="25" t="str">
        <f>IF('03_Clean_data'!D20="","Missing",IFERROR(IF(VLOOKUP(D20,'03_Product_Master'!$A$1:$D$14,1,FALSE)='03_Clean_data'!D20,"Valid","Invalid"),"Invalid"))</f>
        <v>Valid</v>
      </c>
      <c r="N20" s="25" t="str">
        <f>IFERROR(VLOOKUP(tbl_clean_sales[[#This Row],[Product_ID]],'03_Product_Master'!$A$1:$D$14,2,FALSE),"Missing")</f>
        <v>Laundry Liquid</v>
      </c>
      <c r="O20" s="25" t="str">
        <f>IFERROR(VLOOKUP(tbl_clean_sales[[#This Row],[Product_ID]],'03_Product_Master'!$A$1:$D$14,3,FALSE),"Missing")</f>
        <v>Home Care</v>
      </c>
      <c r="P20" s="25">
        <f>IFERROR(VLOOKUP(tbl_clean_sales[[#This Row],[Product_ID]],'03_Product_Master'!$A$1:$D$14,4,FALSE),"Missing")</f>
        <v>340</v>
      </c>
      <c r="Q20" s="25" t="str">
        <f>IF('03_Clean_data'!E20="","Missing",IFERROR(IF(VLOOKUP(E20,'04_Branch_Master'!$A$1:$C$7,1,FALSE)='03_Clean_data'!E20,"Valid","Invalid"),"Invalid"))</f>
        <v>Valid</v>
      </c>
      <c r="R20" s="25" t="str">
        <f>IFERROR(VLOOKUP(tbl_clean_sales[[#This Row],[Branch_ID]],'04_Branch_Master'!$A$1:$C$7,2,FALSE),"Missing")</f>
        <v>Avinashi Road</v>
      </c>
      <c r="S20" s="25" t="str">
        <f>IFERROR(VLOOKUP(tbl_clean_sales[[#This Row],[Branch_ID]],'04_Branch_Master'!$A$1:$C$7,3,FALSE),"Missing")</f>
        <v>North</v>
      </c>
      <c r="T20" s="25" t="str">
        <f>C20&amp;"|"&amp;TEXT(tbl_clean_sales[[#This Row],[Date]],"yyyymm")</f>
        <v>E003|202604</v>
      </c>
      <c r="U20" s="25">
        <f>IFERROR(INDEX('05_Target_Master'!$A$1:$F$32,MATCH(tbl_clean_sales[[#This Row],[target key]],'05_Target_Master'!$F$1:$F$32,0),3),"Missing")</f>
        <v>116600</v>
      </c>
    </row>
    <row r="21" spans="1:21" x14ac:dyDescent="0.3">
      <c r="A21" s="21">
        <v>46189</v>
      </c>
      <c r="B21" s="22" t="s">
        <v>50</v>
      </c>
      <c r="C21" s="22" t="s">
        <v>38</v>
      </c>
      <c r="D21" s="22" t="s">
        <v>13</v>
      </c>
      <c r="E21" s="22" t="s">
        <v>32</v>
      </c>
      <c r="F21" s="22">
        <v>9</v>
      </c>
      <c r="G21" s="23">
        <v>3147.44</v>
      </c>
      <c r="H21" s="25" t="str">
        <f>IF(COUNTIF(tbl_clean_sales[Invoice_ID],tbl_clean_sales[[#This Row],[Invoice_ID]])&gt;1,"Duplicate","Unique")</f>
        <v>Unique</v>
      </c>
      <c r="I21" s="25"/>
      <c r="J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" s="25" t="str">
        <f>IFERROR(VLOOKUP(tbl_clean_sales[[#This Row],[Employee_ID]],'02_Employee_Master'!$A$1:$C$12,2,FALSE),"Employee Name Missing")</f>
        <v>Nandhini K</v>
      </c>
      <c r="L21" s="25" t="str">
        <f>IFERROR(VLOOKUP(tbl_clean_sales[[#This Row],[Employee_ID]],'02_Employee_Master'!$A$1:$C$12,3,FALSE),"Department Name Missing")</f>
        <v>Sales</v>
      </c>
      <c r="M21" s="25" t="str">
        <f>IF('03_Clean_data'!D21="","Missing",IFERROR(IF(VLOOKUP(D21,'03_Product_Master'!$A$1:$D$14,1,FALSE)='03_Clean_data'!D21,"Valid","Invalid"),"Invalid"))</f>
        <v>Valid</v>
      </c>
      <c r="N21" s="25" t="str">
        <f>IFERROR(VLOOKUP(tbl_clean_sales[[#This Row],[Product_ID]],'03_Product_Master'!$A$1:$D$14,2,FALSE),"Missing")</f>
        <v>Body Lotion</v>
      </c>
      <c r="O21" s="25" t="str">
        <f>IFERROR(VLOOKUP(tbl_clean_sales[[#This Row],[Product_ID]],'03_Product_Master'!$A$1:$D$14,3,FALSE),"Missing")</f>
        <v>Personal Care</v>
      </c>
      <c r="P21" s="25">
        <f>IFERROR(VLOOKUP(tbl_clean_sales[[#This Row],[Product_ID]],'03_Product_Master'!$A$1:$D$14,4,FALSE),"Missing")</f>
        <v>390</v>
      </c>
      <c r="Q21" s="25" t="str">
        <f>IF('03_Clean_data'!E21="","Missing",IFERROR(IF(VLOOKUP(E21,'04_Branch_Master'!$A$1:$C$7,1,FALSE)='03_Clean_data'!E21,"Valid","Invalid"),"Invalid"))</f>
        <v>Valid</v>
      </c>
      <c r="R21" s="25" t="str">
        <f>IFERROR(VLOOKUP(tbl_clean_sales[[#This Row],[Branch_ID]],'04_Branch_Master'!$A$1:$C$7,2,FALSE),"Missing")</f>
        <v>Kangeyam</v>
      </c>
      <c r="S21" s="25" t="str">
        <f>IFERROR(VLOOKUP(tbl_clean_sales[[#This Row],[Branch_ID]],'04_Branch_Master'!$A$1:$C$7,3,FALSE),"Missing")</f>
        <v>East</v>
      </c>
      <c r="T21" s="25" t="str">
        <f>C21&amp;"|"&amp;TEXT(tbl_clean_sales[[#This Row],[Date]],"yyyymm")</f>
        <v>E008|202606</v>
      </c>
      <c r="U21" s="25">
        <f>IFERROR(INDEX('05_Target_Master'!$A$1:$F$32,MATCH(tbl_clean_sales[[#This Row],[target key]],'05_Target_Master'!$F$1:$F$32,0),3),"Missing")</f>
        <v>119200</v>
      </c>
    </row>
    <row r="22" spans="1:21" x14ac:dyDescent="0.3">
      <c r="A22" s="21">
        <v>46114</v>
      </c>
      <c r="B22" s="22" t="s">
        <v>51</v>
      </c>
      <c r="C22" s="22" t="s">
        <v>21</v>
      </c>
      <c r="D22" s="22" t="s">
        <v>43</v>
      </c>
      <c r="E22" s="22" t="s">
        <v>26</v>
      </c>
      <c r="F22" s="22">
        <v>11</v>
      </c>
      <c r="G22" s="23">
        <v>3587.33</v>
      </c>
      <c r="H22" s="25" t="str">
        <f>IF(COUNTIF(tbl_clean_sales[Invoice_ID],tbl_clean_sales[[#This Row],[Invoice_ID]])&gt;1,"Duplicate","Unique")</f>
        <v>Unique</v>
      </c>
      <c r="I22" s="25"/>
      <c r="J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" s="25" t="str">
        <f>IFERROR(VLOOKUP(tbl_clean_sales[[#This Row],[Employee_ID]],'02_Employee_Master'!$A$1:$C$12,2,FALSE),"Employee Name Missing")</f>
        <v>Priya S</v>
      </c>
      <c r="L22" s="25" t="str">
        <f>IFERROR(VLOOKUP(tbl_clean_sales[[#This Row],[Employee_ID]],'02_Employee_Master'!$A$1:$C$12,3,FALSE),"Department Name Missing")</f>
        <v>Sales</v>
      </c>
      <c r="M22" s="25" t="str">
        <f>IF('03_Clean_data'!D22="","Missing",IFERROR(IF(VLOOKUP(D22,'03_Product_Master'!$A$1:$D$14,1,FALSE)='03_Clean_data'!D22,"Valid","Invalid"),"Invalid"))</f>
        <v>Valid</v>
      </c>
      <c r="N22" s="25" t="str">
        <f>IFERROR(VLOOKUP(tbl_clean_sales[[#This Row],[Product_ID]],'03_Product_Master'!$A$1:$D$14,2,FALSE),"Missing")</f>
        <v>Laundry Liquid</v>
      </c>
      <c r="O22" s="25" t="str">
        <f>IFERROR(VLOOKUP(tbl_clean_sales[[#This Row],[Product_ID]],'03_Product_Master'!$A$1:$D$14,3,FALSE),"Missing")</f>
        <v>Home Care</v>
      </c>
      <c r="P22" s="25">
        <f>IFERROR(VLOOKUP(tbl_clean_sales[[#This Row],[Product_ID]],'03_Product_Master'!$A$1:$D$14,4,FALSE),"Missing")</f>
        <v>340</v>
      </c>
      <c r="Q22" s="25" t="str">
        <f>IF('03_Clean_data'!E22="","Missing",IFERROR(IF(VLOOKUP(E22,'04_Branch_Master'!$A$1:$C$7,1,FALSE)='03_Clean_data'!E22,"Valid","Invalid"),"Invalid"))</f>
        <v>Valid</v>
      </c>
      <c r="R22" s="25" t="str">
        <f>IFERROR(VLOOKUP(tbl_clean_sales[[#This Row],[Branch_ID]],'04_Branch_Master'!$A$1:$C$7,2,FALSE),"Missing")</f>
        <v>Palladam</v>
      </c>
      <c r="S22" s="25" t="str">
        <f>IFERROR(VLOOKUP(tbl_clean_sales[[#This Row],[Branch_ID]],'04_Branch_Master'!$A$1:$C$7,3,FALSE),"Missing")</f>
        <v>South</v>
      </c>
      <c r="T22" s="25" t="str">
        <f>C22&amp;"|"&amp;TEXT(tbl_clean_sales[[#This Row],[Date]],"yyyymm")</f>
        <v>E002|202604</v>
      </c>
      <c r="U22" s="25">
        <f>IFERROR(INDEX('05_Target_Master'!$A$1:$F$32,MATCH(tbl_clean_sales[[#This Row],[target key]],'05_Target_Master'!$F$1:$F$32,0),3),"Missing")</f>
        <v>122300</v>
      </c>
    </row>
    <row r="23" spans="1:21" x14ac:dyDescent="0.3">
      <c r="A23" s="21">
        <v>46150</v>
      </c>
      <c r="B23" s="22" t="s">
        <v>52</v>
      </c>
      <c r="C23" s="22" t="s">
        <v>46</v>
      </c>
      <c r="D23" s="22" t="s">
        <v>53</v>
      </c>
      <c r="E23" s="22" t="s">
        <v>32</v>
      </c>
      <c r="F23" s="22">
        <v>12</v>
      </c>
      <c r="G23" s="23">
        <v>3758.57</v>
      </c>
      <c r="H23" s="25" t="str">
        <f>IF(COUNTIF(tbl_clean_sales[Invoice_ID],tbl_clean_sales[[#This Row],[Invoice_ID]])&gt;1,"Duplicate","Unique")</f>
        <v>Unique</v>
      </c>
      <c r="I23" s="25"/>
      <c r="J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" s="25" t="str">
        <f>IFERROR(VLOOKUP(tbl_clean_sales[[#This Row],[Employee_ID]],'02_Employee_Master'!$A$1:$C$12,2,FALSE),"Employee Name Missing")</f>
        <v>Suresh B</v>
      </c>
      <c r="L23" s="25" t="str">
        <f>IFERROR(VLOOKUP(tbl_clean_sales[[#This Row],[Employee_ID]],'02_Employee_Master'!$A$1:$C$12,3,FALSE),"Department Name Missing")</f>
        <v>Sales</v>
      </c>
      <c r="M23" s="25" t="str">
        <f>IF('03_Clean_data'!D23="","Missing",IFERROR(IF(VLOOKUP(D23,'03_Product_Master'!$A$1:$D$14,1,FALSE)='03_Clean_data'!D23,"Valid","Invalid"),"Invalid"))</f>
        <v>Valid</v>
      </c>
      <c r="N23" s="25" t="str">
        <f>IFERROR(VLOOKUP(tbl_clean_sales[[#This Row],[Product_ID]],'03_Product_Master'!$A$1:$D$14,2,FALSE),"Missing")</f>
        <v>Instant Coffee</v>
      </c>
      <c r="O23" s="25" t="str">
        <f>IFERROR(VLOOKUP(tbl_clean_sales[[#This Row],[Product_ID]],'03_Product_Master'!$A$1:$D$14,3,FALSE),"Missing")</f>
        <v>Beverages</v>
      </c>
      <c r="P23" s="25">
        <f>IFERROR(VLOOKUP(tbl_clean_sales[[#This Row],[Product_ID]],'03_Product_Master'!$A$1:$D$14,4,FALSE),"Missing")</f>
        <v>350</v>
      </c>
      <c r="Q23" s="25" t="str">
        <f>IF('03_Clean_data'!E23="","Missing",IFERROR(IF(VLOOKUP(E23,'04_Branch_Master'!$A$1:$C$7,1,FALSE)='03_Clean_data'!E23,"Valid","Invalid"),"Invalid"))</f>
        <v>Valid</v>
      </c>
      <c r="R23" s="25" t="str">
        <f>IFERROR(VLOOKUP(tbl_clean_sales[[#This Row],[Branch_ID]],'04_Branch_Master'!$A$1:$C$7,2,FALSE),"Missing")</f>
        <v>Kangeyam</v>
      </c>
      <c r="S23" s="25" t="str">
        <f>IFERROR(VLOOKUP(tbl_clean_sales[[#This Row],[Branch_ID]],'04_Branch_Master'!$A$1:$C$7,3,FALSE),"Missing")</f>
        <v>East</v>
      </c>
      <c r="T23" s="25" t="str">
        <f>C23&amp;"|"&amp;TEXT(tbl_clean_sales[[#This Row],[Date]],"yyyymm")</f>
        <v>E007|202605</v>
      </c>
      <c r="U23" s="25">
        <f>IFERROR(INDEX('05_Target_Master'!$A$1:$F$32,MATCH(tbl_clean_sales[[#This Row],[target key]],'05_Target_Master'!$F$1:$F$32,0),3),"Missing")</f>
        <v>140000</v>
      </c>
    </row>
    <row r="24" spans="1:21" x14ac:dyDescent="0.3">
      <c r="A24" s="21">
        <v>46146</v>
      </c>
      <c r="B24" s="22" t="s">
        <v>54</v>
      </c>
      <c r="C24" s="22" t="s">
        <v>8</v>
      </c>
      <c r="D24" s="22" t="s">
        <v>53</v>
      </c>
      <c r="E24" s="22" t="s">
        <v>10</v>
      </c>
      <c r="F24" s="22">
        <v>2</v>
      </c>
      <c r="G24" s="23">
        <v>626.88</v>
      </c>
      <c r="H24" s="25" t="str">
        <f>IF(COUNTIF(tbl_clean_sales[Invoice_ID],tbl_clean_sales[[#This Row],[Invoice_ID]])&gt;1,"Duplicate","Unique")</f>
        <v>Unique</v>
      </c>
      <c r="I24" s="25"/>
      <c r="J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" s="25" t="str">
        <f>IFERROR(VLOOKUP(tbl_clean_sales[[#This Row],[Employee_ID]],'02_Employee_Master'!$A$1:$C$12,2,FALSE),"Employee Name Missing")</f>
        <v>Vignesh R</v>
      </c>
      <c r="L24" s="25" t="str">
        <f>IFERROR(VLOOKUP(tbl_clean_sales[[#This Row],[Employee_ID]],'02_Employee_Master'!$A$1:$C$12,3,FALSE),"Department Name Missing")</f>
        <v>Sales</v>
      </c>
      <c r="M24" s="25" t="str">
        <f>IF('03_Clean_data'!D24="","Missing",IFERROR(IF(VLOOKUP(D24,'03_Product_Master'!$A$1:$D$14,1,FALSE)='03_Clean_data'!D24,"Valid","Invalid"),"Invalid"))</f>
        <v>Valid</v>
      </c>
      <c r="N24" s="25" t="str">
        <f>IFERROR(VLOOKUP(tbl_clean_sales[[#This Row],[Product_ID]],'03_Product_Master'!$A$1:$D$14,2,FALSE),"Missing")</f>
        <v>Instant Coffee</v>
      </c>
      <c r="O24" s="25" t="str">
        <f>IFERROR(VLOOKUP(tbl_clean_sales[[#This Row],[Product_ID]],'03_Product_Master'!$A$1:$D$14,3,FALSE),"Missing")</f>
        <v>Beverages</v>
      </c>
      <c r="P24" s="25">
        <f>IFERROR(VLOOKUP(tbl_clean_sales[[#This Row],[Product_ID]],'03_Product_Master'!$A$1:$D$14,4,FALSE),"Missing")</f>
        <v>350</v>
      </c>
      <c r="Q24" s="25" t="str">
        <f>IF('03_Clean_data'!E24="","Missing",IFERROR(IF(VLOOKUP(E24,'04_Branch_Master'!$A$1:$C$7,1,FALSE)='03_Clean_data'!E24,"Valid","Invalid"),"Invalid"))</f>
        <v>Valid</v>
      </c>
      <c r="R24" s="25" t="str">
        <f>IFERROR(VLOOKUP(tbl_clean_sales[[#This Row],[Branch_ID]],'04_Branch_Master'!$A$1:$C$7,2,FALSE),"Missing")</f>
        <v>Dharapuram</v>
      </c>
      <c r="S24" s="25" t="str">
        <f>IFERROR(VLOOKUP(tbl_clean_sales[[#This Row],[Branch_ID]],'04_Branch_Master'!$A$1:$C$7,3,FALSE),"Missing")</f>
        <v>South</v>
      </c>
      <c r="T24" s="25" t="str">
        <f>C24&amp;"|"&amp;TEXT(tbl_clean_sales[[#This Row],[Date]],"yyyymm")</f>
        <v>E009|202605</v>
      </c>
      <c r="U24" s="25">
        <f>IFERROR(INDEX('05_Target_Master'!$A$1:$F$32,MATCH(tbl_clean_sales[[#This Row],[target key]],'05_Target_Master'!$F$1:$F$32,0),3),"Missing")</f>
        <v>176300</v>
      </c>
    </row>
    <row r="25" spans="1:21" x14ac:dyDescent="0.3">
      <c r="A25" s="21">
        <v>46151</v>
      </c>
      <c r="B25" s="22" t="s">
        <v>55</v>
      </c>
      <c r="C25" s="22" t="s">
        <v>8</v>
      </c>
      <c r="D25" s="22" t="s">
        <v>36</v>
      </c>
      <c r="E25" s="22" t="s">
        <v>10</v>
      </c>
      <c r="F25" s="22">
        <v>6</v>
      </c>
      <c r="G25" s="23">
        <v>1035.69</v>
      </c>
      <c r="H25" s="25" t="str">
        <f>IF(COUNTIF(tbl_clean_sales[Invoice_ID],tbl_clean_sales[[#This Row],[Invoice_ID]])&gt;1,"Duplicate","Unique")</f>
        <v>Unique</v>
      </c>
      <c r="I25" s="25"/>
      <c r="J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" s="25" t="str">
        <f>IFERROR(VLOOKUP(tbl_clean_sales[[#This Row],[Employee_ID]],'02_Employee_Master'!$A$1:$C$12,2,FALSE),"Employee Name Missing")</f>
        <v>Vignesh R</v>
      </c>
      <c r="L25" s="25" t="str">
        <f>IFERROR(VLOOKUP(tbl_clean_sales[[#This Row],[Employee_ID]],'02_Employee_Master'!$A$1:$C$12,3,FALSE),"Department Name Missing")</f>
        <v>Sales</v>
      </c>
      <c r="M25" s="25" t="str">
        <f>IF('03_Clean_data'!D25="","Missing",IFERROR(IF(VLOOKUP(D25,'03_Product_Master'!$A$1:$D$14,1,FALSE)='03_Clean_data'!D25,"Valid","Invalid"),"Invalid"))</f>
        <v>Valid</v>
      </c>
      <c r="N25" s="25" t="str">
        <f>IFERROR(VLOOKUP(tbl_clean_sales[[#This Row],[Product_ID]],'03_Product_Master'!$A$1:$D$14,2,FALSE),"Missing")</f>
        <v>Dish Wash</v>
      </c>
      <c r="O25" s="25" t="str">
        <f>IFERROR(VLOOKUP(tbl_clean_sales[[#This Row],[Product_ID]],'03_Product_Master'!$A$1:$D$14,3,FALSE),"Missing")</f>
        <v>Home Care</v>
      </c>
      <c r="P25" s="25">
        <f>IFERROR(VLOOKUP(tbl_clean_sales[[#This Row],[Product_ID]],'03_Product_Master'!$A$1:$D$14,4,FALSE),"Missing")</f>
        <v>190</v>
      </c>
      <c r="Q25" s="25" t="str">
        <f>IF('03_Clean_data'!E25="","Missing",IFERROR(IF(VLOOKUP(E25,'04_Branch_Master'!$A$1:$C$7,1,FALSE)='03_Clean_data'!E25,"Valid","Invalid"),"Invalid"))</f>
        <v>Valid</v>
      </c>
      <c r="R25" s="25" t="str">
        <f>IFERROR(VLOOKUP(tbl_clean_sales[[#This Row],[Branch_ID]],'04_Branch_Master'!$A$1:$C$7,2,FALSE),"Missing")</f>
        <v>Dharapuram</v>
      </c>
      <c r="S25" s="25" t="str">
        <f>IFERROR(VLOOKUP(tbl_clean_sales[[#This Row],[Branch_ID]],'04_Branch_Master'!$A$1:$C$7,3,FALSE),"Missing")</f>
        <v>South</v>
      </c>
      <c r="T25" s="25" t="str">
        <f>C25&amp;"|"&amp;TEXT(tbl_clean_sales[[#This Row],[Date]],"yyyymm")</f>
        <v>E009|202605</v>
      </c>
      <c r="U25" s="25">
        <f>IFERROR(INDEX('05_Target_Master'!$A$1:$F$32,MATCH(tbl_clean_sales[[#This Row],[target key]],'05_Target_Master'!$F$1:$F$32,0),3),"Missing")</f>
        <v>176300</v>
      </c>
    </row>
    <row r="26" spans="1:21" x14ac:dyDescent="0.3">
      <c r="A26" s="21">
        <v>46182</v>
      </c>
      <c r="B26" s="22" t="s">
        <v>56</v>
      </c>
      <c r="C26" s="22" t="s">
        <v>8</v>
      </c>
      <c r="D26" s="22" t="s">
        <v>25</v>
      </c>
      <c r="E26" s="22" t="s">
        <v>10</v>
      </c>
      <c r="F26" s="22">
        <v>8</v>
      </c>
      <c r="G26" s="23">
        <v>3352.15</v>
      </c>
      <c r="H26" s="25" t="str">
        <f>IF(COUNTIF(tbl_clean_sales[Invoice_ID],tbl_clean_sales[[#This Row],[Invoice_ID]])&gt;1,"Duplicate","Unique")</f>
        <v>Unique</v>
      </c>
      <c r="I26" s="25"/>
      <c r="J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" s="25" t="str">
        <f>IFERROR(VLOOKUP(tbl_clean_sales[[#This Row],[Employee_ID]],'02_Employee_Master'!$A$1:$C$12,2,FALSE),"Employee Name Missing")</f>
        <v>Vignesh R</v>
      </c>
      <c r="L26" s="25" t="str">
        <f>IFERROR(VLOOKUP(tbl_clean_sales[[#This Row],[Employee_ID]],'02_Employee_Master'!$A$1:$C$12,3,FALSE),"Department Name Missing")</f>
        <v>Sales</v>
      </c>
      <c r="M26" s="25" t="str">
        <f>IF('03_Clean_data'!D26="","Missing",IFERROR(IF(VLOOKUP(D26,'03_Product_Master'!$A$1:$D$14,1,FALSE)='03_Clean_data'!D26,"Valid","Invalid"),"Invalid"))</f>
        <v>Valid</v>
      </c>
      <c r="N26" s="25" t="str">
        <f>IFERROR(VLOOKUP(tbl_clean_sales[[#This Row],[Product_ID]],'03_Product_Master'!$A$1:$D$14,2,FALSE),"Missing")</f>
        <v>Premium Coffee</v>
      </c>
      <c r="O26" s="25" t="str">
        <f>IFERROR(VLOOKUP(tbl_clean_sales[[#This Row],[Product_ID]],'03_Product_Master'!$A$1:$D$14,3,FALSE),"Missing")</f>
        <v>Beverages</v>
      </c>
      <c r="P26" s="25">
        <f>IFERROR(VLOOKUP(tbl_clean_sales[[#This Row],[Product_ID]],'03_Product_Master'!$A$1:$D$14,4,FALSE),"Missing")</f>
        <v>420</v>
      </c>
      <c r="Q26" s="25" t="str">
        <f>IF('03_Clean_data'!E26="","Missing",IFERROR(IF(VLOOKUP(E26,'04_Branch_Master'!$A$1:$C$7,1,FALSE)='03_Clean_data'!E26,"Valid","Invalid"),"Invalid"))</f>
        <v>Valid</v>
      </c>
      <c r="R26" s="25" t="str">
        <f>IFERROR(VLOOKUP(tbl_clean_sales[[#This Row],[Branch_ID]],'04_Branch_Master'!$A$1:$C$7,2,FALSE),"Missing")</f>
        <v>Dharapuram</v>
      </c>
      <c r="S26" s="25" t="str">
        <f>IFERROR(VLOOKUP(tbl_clean_sales[[#This Row],[Branch_ID]],'04_Branch_Master'!$A$1:$C$7,3,FALSE),"Missing")</f>
        <v>South</v>
      </c>
      <c r="T26" s="25" t="str">
        <f>C26&amp;"|"&amp;TEXT(tbl_clean_sales[[#This Row],[Date]],"yyyymm")</f>
        <v>E009|202606</v>
      </c>
      <c r="U26" s="25">
        <f>IFERROR(INDEX('05_Target_Master'!$A$1:$F$32,MATCH(tbl_clean_sales[[#This Row],[target key]],'05_Target_Master'!$F$1:$F$32,0),3),"Missing")</f>
        <v>156700</v>
      </c>
    </row>
    <row r="27" spans="1:21" x14ac:dyDescent="0.3">
      <c r="A27" s="21">
        <v>46159</v>
      </c>
      <c r="B27" s="22" t="s">
        <v>57</v>
      </c>
      <c r="C27" s="22" t="s">
        <v>24</v>
      </c>
      <c r="D27" s="22" t="s">
        <v>30</v>
      </c>
      <c r="E27" s="22" t="s">
        <v>26</v>
      </c>
      <c r="F27" s="22">
        <v>10</v>
      </c>
      <c r="G27" s="23">
        <v>1418.19</v>
      </c>
      <c r="H27" s="25" t="str">
        <f>IF(COUNTIF(tbl_clean_sales[Invoice_ID],tbl_clean_sales[[#This Row],[Invoice_ID]])&gt;1,"Duplicate","Unique")</f>
        <v>Unique</v>
      </c>
      <c r="I27" s="25"/>
      <c r="J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" s="25" t="str">
        <f>IFERROR(VLOOKUP(tbl_clean_sales[[#This Row],[Employee_ID]],'02_Employee_Master'!$A$1:$C$12,2,FALSE),"Employee Name Missing")</f>
        <v>Karthik P</v>
      </c>
      <c r="L27" s="25" t="str">
        <f>IFERROR(VLOOKUP(tbl_clean_sales[[#This Row],[Employee_ID]],'02_Employee_Master'!$A$1:$C$12,3,FALSE),"Department Name Missing")</f>
        <v>Sales</v>
      </c>
      <c r="M27" s="25" t="str">
        <f>IF('03_Clean_data'!D27="","Missing",IFERROR(IF(VLOOKUP(D27,'03_Product_Master'!$A$1:$D$14,1,FALSE)='03_Clean_data'!D27,"Valid","Invalid"),"Invalid"))</f>
        <v>Valid</v>
      </c>
      <c r="N27" s="25" t="str">
        <f>IFERROR(VLOOKUP(tbl_clean_sales[[#This Row],[Product_ID]],'03_Product_Master'!$A$1:$D$14,2,FALSE),"Missing")</f>
        <v>Cookies Pack</v>
      </c>
      <c r="O27" s="25" t="str">
        <f>IFERROR(VLOOKUP(tbl_clean_sales[[#This Row],[Product_ID]],'03_Product_Master'!$A$1:$D$14,3,FALSE),"Missing")</f>
        <v>Snacks</v>
      </c>
      <c r="P27" s="25">
        <f>IFERROR(VLOOKUP(tbl_clean_sales[[#This Row],[Product_ID]],'03_Product_Master'!$A$1:$D$14,4,FALSE),"Missing")</f>
        <v>160</v>
      </c>
      <c r="Q27" s="25" t="str">
        <f>IF('03_Clean_data'!E27="","Missing",IFERROR(IF(VLOOKUP(E27,'04_Branch_Master'!$A$1:$C$7,1,FALSE)='03_Clean_data'!E27,"Valid","Invalid"),"Invalid"))</f>
        <v>Valid</v>
      </c>
      <c r="R27" s="25" t="str">
        <f>IFERROR(VLOOKUP(tbl_clean_sales[[#This Row],[Branch_ID]],'04_Branch_Master'!$A$1:$C$7,2,FALSE),"Missing")</f>
        <v>Palladam</v>
      </c>
      <c r="S27" s="25" t="str">
        <f>IFERROR(VLOOKUP(tbl_clean_sales[[#This Row],[Branch_ID]],'04_Branch_Master'!$A$1:$C$7,3,FALSE),"Missing")</f>
        <v>South</v>
      </c>
      <c r="T27" s="25" t="str">
        <f>C27&amp;"|"&amp;TEXT(tbl_clean_sales[[#This Row],[Date]],"yyyymm")</f>
        <v>E005|202605</v>
      </c>
      <c r="U27" s="25">
        <f>IFERROR(INDEX('05_Target_Master'!$A$1:$F$32,MATCH(tbl_clean_sales[[#This Row],[target key]],'05_Target_Master'!$F$1:$F$32,0),3),"Missing")</f>
        <v>143700</v>
      </c>
    </row>
    <row r="28" spans="1:21" x14ac:dyDescent="0.3">
      <c r="A28" s="21">
        <v>46123</v>
      </c>
      <c r="B28" s="22" t="s">
        <v>58</v>
      </c>
      <c r="C28" s="22" t="s">
        <v>38</v>
      </c>
      <c r="D28" s="22" t="s">
        <v>9</v>
      </c>
      <c r="E28" s="22" t="s">
        <v>10</v>
      </c>
      <c r="F28" s="22">
        <v>3</v>
      </c>
      <c r="G28" s="23">
        <v>827.06</v>
      </c>
      <c r="H28" s="25" t="str">
        <f>IF(COUNTIF(tbl_clean_sales[Invoice_ID],tbl_clean_sales[[#This Row],[Invoice_ID]])&gt;1,"Duplicate","Unique")</f>
        <v>Unique</v>
      </c>
      <c r="I28" s="25"/>
      <c r="J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" s="25" t="str">
        <f>IFERROR(VLOOKUP(tbl_clean_sales[[#This Row],[Employee_ID]],'02_Employee_Master'!$A$1:$C$12,2,FALSE),"Employee Name Missing")</f>
        <v>Nandhini K</v>
      </c>
      <c r="L28" s="25" t="str">
        <f>IFERROR(VLOOKUP(tbl_clean_sales[[#This Row],[Employee_ID]],'02_Employee_Master'!$A$1:$C$12,3,FALSE),"Department Name Missing")</f>
        <v>Sales</v>
      </c>
      <c r="M28" s="25" t="str">
        <f>IF('03_Clean_data'!D28="","Missing",IFERROR(IF(VLOOKUP(D28,'03_Product_Master'!$A$1:$D$14,1,FALSE)='03_Clean_data'!D28,"Valid","Invalid"),"Invalid"))</f>
        <v>Valid</v>
      </c>
      <c r="N28" s="25" t="str">
        <f>IFERROR(VLOOKUP(tbl_clean_sales[[#This Row],[Product_ID]],'03_Product_Master'!$A$1:$D$14,2,FALSE),"Missing")</f>
        <v>Green Tea</v>
      </c>
      <c r="O28" s="25" t="str">
        <f>IFERROR(VLOOKUP(tbl_clean_sales[[#This Row],[Product_ID]],'03_Product_Master'!$A$1:$D$14,3,FALSE),"Missing")</f>
        <v>Beverages</v>
      </c>
      <c r="P28" s="25">
        <f>IFERROR(VLOOKUP(tbl_clean_sales[[#This Row],[Product_ID]],'03_Product_Master'!$A$1:$D$14,4,FALSE),"Missing")</f>
        <v>280</v>
      </c>
      <c r="Q28" s="25" t="str">
        <f>IF('03_Clean_data'!E28="","Missing",IFERROR(IF(VLOOKUP(E28,'04_Branch_Master'!$A$1:$C$7,1,FALSE)='03_Clean_data'!E28,"Valid","Invalid"),"Invalid"))</f>
        <v>Valid</v>
      </c>
      <c r="R28" s="25" t="str">
        <f>IFERROR(VLOOKUP(tbl_clean_sales[[#This Row],[Branch_ID]],'04_Branch_Master'!$A$1:$C$7,2,FALSE),"Missing")</f>
        <v>Dharapuram</v>
      </c>
      <c r="S28" s="25" t="str">
        <f>IFERROR(VLOOKUP(tbl_clean_sales[[#This Row],[Branch_ID]],'04_Branch_Master'!$A$1:$C$7,3,FALSE),"Missing")</f>
        <v>South</v>
      </c>
      <c r="T28" s="25" t="str">
        <f>C28&amp;"|"&amp;TEXT(tbl_clean_sales[[#This Row],[Date]],"yyyymm")</f>
        <v>E008|202604</v>
      </c>
      <c r="U28" s="25">
        <f>IFERROR(INDEX('05_Target_Master'!$A$1:$F$32,MATCH(tbl_clean_sales[[#This Row],[target key]],'05_Target_Master'!$F$1:$F$32,0),3),"Missing")</f>
        <v>124100</v>
      </c>
    </row>
    <row r="29" spans="1:21" x14ac:dyDescent="0.3">
      <c r="A29" s="21">
        <v>46173</v>
      </c>
      <c r="B29" s="22" t="s">
        <v>59</v>
      </c>
      <c r="C29" s="22" t="s">
        <v>8</v>
      </c>
      <c r="D29" s="22" t="s">
        <v>53</v>
      </c>
      <c r="E29" s="22" t="s">
        <v>10</v>
      </c>
      <c r="F29" s="22">
        <v>10</v>
      </c>
      <c r="G29" s="23">
        <v>3322.28</v>
      </c>
      <c r="H29" s="25" t="str">
        <f>IF(COUNTIF(tbl_clean_sales[Invoice_ID],tbl_clean_sales[[#This Row],[Invoice_ID]])&gt;1,"Duplicate","Unique")</f>
        <v>Unique</v>
      </c>
      <c r="I29" s="25"/>
      <c r="J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" s="25" t="str">
        <f>IFERROR(VLOOKUP(tbl_clean_sales[[#This Row],[Employee_ID]],'02_Employee_Master'!$A$1:$C$12,2,FALSE),"Employee Name Missing")</f>
        <v>Vignesh R</v>
      </c>
      <c r="L29" s="25" t="str">
        <f>IFERROR(VLOOKUP(tbl_clean_sales[[#This Row],[Employee_ID]],'02_Employee_Master'!$A$1:$C$12,3,FALSE),"Department Name Missing")</f>
        <v>Sales</v>
      </c>
      <c r="M29" s="25" t="str">
        <f>IF('03_Clean_data'!D29="","Missing",IFERROR(IF(VLOOKUP(D29,'03_Product_Master'!$A$1:$D$14,1,FALSE)='03_Clean_data'!D29,"Valid","Invalid"),"Invalid"))</f>
        <v>Valid</v>
      </c>
      <c r="N29" s="25" t="str">
        <f>IFERROR(VLOOKUP(tbl_clean_sales[[#This Row],[Product_ID]],'03_Product_Master'!$A$1:$D$14,2,FALSE),"Missing")</f>
        <v>Instant Coffee</v>
      </c>
      <c r="O29" s="25" t="str">
        <f>IFERROR(VLOOKUP(tbl_clean_sales[[#This Row],[Product_ID]],'03_Product_Master'!$A$1:$D$14,3,FALSE),"Missing")</f>
        <v>Beverages</v>
      </c>
      <c r="P29" s="25">
        <f>IFERROR(VLOOKUP(tbl_clean_sales[[#This Row],[Product_ID]],'03_Product_Master'!$A$1:$D$14,4,FALSE),"Missing")</f>
        <v>350</v>
      </c>
      <c r="Q29" s="25" t="str">
        <f>IF('03_Clean_data'!E29="","Missing",IFERROR(IF(VLOOKUP(E29,'04_Branch_Master'!$A$1:$C$7,1,FALSE)='03_Clean_data'!E29,"Valid","Invalid"),"Invalid"))</f>
        <v>Valid</v>
      </c>
      <c r="R29" s="25" t="str">
        <f>IFERROR(VLOOKUP(tbl_clean_sales[[#This Row],[Branch_ID]],'04_Branch_Master'!$A$1:$C$7,2,FALSE),"Missing")</f>
        <v>Dharapuram</v>
      </c>
      <c r="S29" s="25" t="str">
        <f>IFERROR(VLOOKUP(tbl_clean_sales[[#This Row],[Branch_ID]],'04_Branch_Master'!$A$1:$C$7,3,FALSE),"Missing")</f>
        <v>South</v>
      </c>
      <c r="T29" s="25" t="str">
        <f>C29&amp;"|"&amp;TEXT(tbl_clean_sales[[#This Row],[Date]],"yyyymm")</f>
        <v>E009|202605</v>
      </c>
      <c r="U29" s="25">
        <f>IFERROR(INDEX('05_Target_Master'!$A$1:$F$32,MATCH(tbl_clean_sales[[#This Row],[target key]],'05_Target_Master'!$F$1:$F$32,0),3),"Missing")</f>
        <v>176300</v>
      </c>
    </row>
    <row r="30" spans="1:21" x14ac:dyDescent="0.3">
      <c r="A30" s="21">
        <v>46140</v>
      </c>
      <c r="B30" s="22" t="s">
        <v>60</v>
      </c>
      <c r="C30" s="22" t="s">
        <v>8</v>
      </c>
      <c r="D30" s="22" t="s">
        <v>19</v>
      </c>
      <c r="E30" s="22" t="s">
        <v>10</v>
      </c>
      <c r="F30" s="22">
        <v>12</v>
      </c>
      <c r="G30" s="23">
        <v>2656.76</v>
      </c>
      <c r="H30" s="25" t="str">
        <f>IF(COUNTIF(tbl_clean_sales[Invoice_ID],tbl_clean_sales[[#This Row],[Invoice_ID]])&gt;1,"Duplicate","Unique")</f>
        <v>Unique</v>
      </c>
      <c r="I30" s="25"/>
      <c r="J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" s="25" t="str">
        <f>IFERROR(VLOOKUP(tbl_clean_sales[[#This Row],[Employee_ID]],'02_Employee_Master'!$A$1:$C$12,2,FALSE),"Employee Name Missing")</f>
        <v>Vignesh R</v>
      </c>
      <c r="L30" s="25" t="str">
        <f>IFERROR(VLOOKUP(tbl_clean_sales[[#This Row],[Employee_ID]],'02_Employee_Master'!$A$1:$C$12,3,FALSE),"Department Name Missing")</f>
        <v>Sales</v>
      </c>
      <c r="M30" s="25" t="str">
        <f>IF('03_Clean_data'!D30="","Missing",IFERROR(IF(VLOOKUP(D30,'03_Product_Master'!$A$1:$D$14,1,FALSE)='03_Clean_data'!D30,"Valid","Invalid"),"Invalid"))</f>
        <v>Valid</v>
      </c>
      <c r="N30" s="25" t="str">
        <f>IFERROR(VLOOKUP(tbl_clean_sales[[#This Row],[Product_ID]],'03_Product_Master'!$A$1:$D$14,2,FALSE),"Missing")</f>
        <v>Floor Cleaner</v>
      </c>
      <c r="O30" s="25" t="str">
        <f>IFERROR(VLOOKUP(tbl_clean_sales[[#This Row],[Product_ID]],'03_Product_Master'!$A$1:$D$14,3,FALSE),"Missing")</f>
        <v>Home Care</v>
      </c>
      <c r="P30" s="25">
        <f>IFERROR(VLOOKUP(tbl_clean_sales[[#This Row],[Product_ID]],'03_Product_Master'!$A$1:$D$14,4,FALSE),"Missing")</f>
        <v>230</v>
      </c>
      <c r="Q30" s="25" t="str">
        <f>IF('03_Clean_data'!E30="","Missing",IFERROR(IF(VLOOKUP(E30,'04_Branch_Master'!$A$1:$C$7,1,FALSE)='03_Clean_data'!E30,"Valid","Invalid"),"Invalid"))</f>
        <v>Valid</v>
      </c>
      <c r="R30" s="25" t="str">
        <f>IFERROR(VLOOKUP(tbl_clean_sales[[#This Row],[Branch_ID]],'04_Branch_Master'!$A$1:$C$7,2,FALSE),"Missing")</f>
        <v>Dharapuram</v>
      </c>
      <c r="S30" s="25" t="str">
        <f>IFERROR(VLOOKUP(tbl_clean_sales[[#This Row],[Branch_ID]],'04_Branch_Master'!$A$1:$C$7,3,FALSE),"Missing")</f>
        <v>South</v>
      </c>
      <c r="T30" s="25" t="str">
        <f>C30&amp;"|"&amp;TEXT(tbl_clean_sales[[#This Row],[Date]],"yyyymm")</f>
        <v>E009|202604</v>
      </c>
      <c r="U30" s="25">
        <f>IFERROR(INDEX('05_Target_Master'!$A$1:$F$32,MATCH(tbl_clean_sales[[#This Row],[target key]],'05_Target_Master'!$F$1:$F$32,0),3),"Missing")</f>
        <v>163300</v>
      </c>
    </row>
    <row r="31" spans="1:21" x14ac:dyDescent="0.3">
      <c r="A31" s="21">
        <v>46198</v>
      </c>
      <c r="B31" s="22" t="s">
        <v>61</v>
      </c>
      <c r="C31" s="22" t="s">
        <v>40</v>
      </c>
      <c r="D31" s="22" t="s">
        <v>48</v>
      </c>
      <c r="E31" s="22" t="s">
        <v>32</v>
      </c>
      <c r="F31" s="22">
        <v>2</v>
      </c>
      <c r="G31" s="23">
        <v>504.53</v>
      </c>
      <c r="H31" s="25" t="str">
        <f>IF(COUNTIF(tbl_clean_sales[Invoice_ID],tbl_clean_sales[[#This Row],[Invoice_ID]])&gt;1,"Duplicate","Unique")</f>
        <v>Unique</v>
      </c>
      <c r="I31" s="25"/>
      <c r="J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" s="25" t="str">
        <f>IFERROR(VLOOKUP(tbl_clean_sales[[#This Row],[Employee_ID]],'02_Employee_Master'!$A$1:$C$12,2,FALSE),"Employee Name Missing")</f>
        <v>Meena V</v>
      </c>
      <c r="L31" s="25" t="str">
        <f>IFERROR(VLOOKUP(tbl_clean_sales[[#This Row],[Employee_ID]],'02_Employee_Master'!$A$1:$C$12,3,FALSE),"Department Name Missing")</f>
        <v>Sales</v>
      </c>
      <c r="M31" s="25" t="str">
        <f>IF('03_Clean_data'!D31="","Missing",IFERROR(IF(VLOOKUP(D31,'03_Product_Master'!$A$1:$D$14,1,FALSE)='03_Clean_data'!D31,"Valid","Invalid"),"Invalid"))</f>
        <v>Valid</v>
      </c>
      <c r="N31" s="25" t="str">
        <f>IFERROR(VLOOKUP(tbl_clean_sales[[#This Row],[Product_ID]],'03_Product_Master'!$A$1:$D$14,2,FALSE),"Missing")</f>
        <v>Face Wash</v>
      </c>
      <c r="O31" s="25" t="str">
        <f>IFERROR(VLOOKUP(tbl_clean_sales[[#This Row],[Product_ID]],'03_Product_Master'!$A$1:$D$14,3,FALSE),"Missing")</f>
        <v>Personal Care</v>
      </c>
      <c r="P31" s="25">
        <f>IFERROR(VLOOKUP(tbl_clean_sales[[#This Row],[Product_ID]],'03_Product_Master'!$A$1:$D$14,4,FALSE),"Missing")</f>
        <v>260</v>
      </c>
      <c r="Q31" s="25" t="str">
        <f>IF('03_Clean_data'!E31="","Missing",IFERROR(IF(VLOOKUP(E31,'04_Branch_Master'!$A$1:$C$7,1,FALSE)='03_Clean_data'!E31,"Valid","Invalid"),"Invalid"))</f>
        <v>Valid</v>
      </c>
      <c r="R31" s="25" t="str">
        <f>IFERROR(VLOOKUP(tbl_clean_sales[[#This Row],[Branch_ID]],'04_Branch_Master'!$A$1:$C$7,2,FALSE),"Missing")</f>
        <v>Kangeyam</v>
      </c>
      <c r="S31" s="25" t="str">
        <f>IFERROR(VLOOKUP(tbl_clean_sales[[#This Row],[Branch_ID]],'04_Branch_Master'!$A$1:$C$7,3,FALSE),"Missing")</f>
        <v>East</v>
      </c>
      <c r="T31" s="25" t="str">
        <f>C31&amp;"|"&amp;TEXT(tbl_clean_sales[[#This Row],[Date]],"yyyymm")</f>
        <v>E006|202606</v>
      </c>
      <c r="U31" s="25">
        <f>IFERROR(INDEX('05_Target_Master'!$A$1:$F$32,MATCH(tbl_clean_sales[[#This Row],[target key]],'05_Target_Master'!$F$1:$F$32,0),3),"Missing")</f>
        <v>125800</v>
      </c>
    </row>
    <row r="32" spans="1:21" x14ac:dyDescent="0.3">
      <c r="A32" s="21">
        <v>46121</v>
      </c>
      <c r="B32" s="22" t="s">
        <v>62</v>
      </c>
      <c r="C32" s="22" t="s">
        <v>40</v>
      </c>
      <c r="D32" s="22" t="s">
        <v>25</v>
      </c>
      <c r="E32" s="22" t="s">
        <v>26</v>
      </c>
      <c r="F32" s="22">
        <v>4</v>
      </c>
      <c r="G32" s="23">
        <v>1561.37</v>
      </c>
      <c r="H32" s="25" t="str">
        <f>IF(COUNTIF(tbl_clean_sales[Invoice_ID],tbl_clean_sales[[#This Row],[Invoice_ID]])&gt;1,"Duplicate","Unique")</f>
        <v>Unique</v>
      </c>
      <c r="I32" s="25"/>
      <c r="J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" s="25" t="str">
        <f>IFERROR(VLOOKUP(tbl_clean_sales[[#This Row],[Employee_ID]],'02_Employee_Master'!$A$1:$C$12,2,FALSE),"Employee Name Missing")</f>
        <v>Meena V</v>
      </c>
      <c r="L32" s="25" t="str">
        <f>IFERROR(VLOOKUP(tbl_clean_sales[[#This Row],[Employee_ID]],'02_Employee_Master'!$A$1:$C$12,3,FALSE),"Department Name Missing")</f>
        <v>Sales</v>
      </c>
      <c r="M32" s="25" t="str">
        <f>IF('03_Clean_data'!D32="","Missing",IFERROR(IF(VLOOKUP(D32,'03_Product_Master'!$A$1:$D$14,1,FALSE)='03_Clean_data'!D32,"Valid","Invalid"),"Invalid"))</f>
        <v>Valid</v>
      </c>
      <c r="N32" s="25" t="str">
        <f>IFERROR(VLOOKUP(tbl_clean_sales[[#This Row],[Product_ID]],'03_Product_Master'!$A$1:$D$14,2,FALSE),"Missing")</f>
        <v>Premium Coffee</v>
      </c>
      <c r="O32" s="25" t="str">
        <f>IFERROR(VLOOKUP(tbl_clean_sales[[#This Row],[Product_ID]],'03_Product_Master'!$A$1:$D$14,3,FALSE),"Missing")</f>
        <v>Beverages</v>
      </c>
      <c r="P32" s="25">
        <f>IFERROR(VLOOKUP(tbl_clean_sales[[#This Row],[Product_ID]],'03_Product_Master'!$A$1:$D$14,4,FALSE),"Missing")</f>
        <v>420</v>
      </c>
      <c r="Q32" s="25" t="str">
        <f>IF('03_Clean_data'!E32="","Missing",IFERROR(IF(VLOOKUP(E32,'04_Branch_Master'!$A$1:$C$7,1,FALSE)='03_Clean_data'!E32,"Valid","Invalid"),"Invalid"))</f>
        <v>Valid</v>
      </c>
      <c r="R32" s="25" t="str">
        <f>IFERROR(VLOOKUP(tbl_clean_sales[[#This Row],[Branch_ID]],'04_Branch_Master'!$A$1:$C$7,2,FALSE),"Missing")</f>
        <v>Palladam</v>
      </c>
      <c r="S32" s="25" t="str">
        <f>IFERROR(VLOOKUP(tbl_clean_sales[[#This Row],[Branch_ID]],'04_Branch_Master'!$A$1:$C$7,3,FALSE),"Missing")</f>
        <v>South</v>
      </c>
      <c r="T32" s="25" t="str">
        <f>C32&amp;"|"&amp;TEXT(tbl_clean_sales[[#This Row],[Date]],"yyyymm")</f>
        <v>E006|202604</v>
      </c>
      <c r="U32" s="25">
        <f>IFERROR(INDEX('05_Target_Master'!$A$1:$F$32,MATCH(tbl_clean_sales[[#This Row],[target key]],'05_Target_Master'!$F$1:$F$32,0),3),"Missing")</f>
        <v>131000</v>
      </c>
    </row>
    <row r="33" spans="1:21" x14ac:dyDescent="0.3">
      <c r="A33" s="21">
        <v>46113</v>
      </c>
      <c r="B33" s="22" t="s">
        <v>63</v>
      </c>
      <c r="C33" s="22" t="s">
        <v>21</v>
      </c>
      <c r="D33" s="22" t="s">
        <v>19</v>
      </c>
      <c r="E33" s="22" t="s">
        <v>22</v>
      </c>
      <c r="F33" s="22">
        <v>4</v>
      </c>
      <c r="G33" s="23">
        <v>912.56</v>
      </c>
      <c r="H33" s="25" t="str">
        <f>IF(COUNTIF(tbl_clean_sales[Invoice_ID],tbl_clean_sales[[#This Row],[Invoice_ID]])&gt;1,"Duplicate","Unique")</f>
        <v>Unique</v>
      </c>
      <c r="I33" s="25"/>
      <c r="J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" s="25" t="str">
        <f>IFERROR(VLOOKUP(tbl_clean_sales[[#This Row],[Employee_ID]],'02_Employee_Master'!$A$1:$C$12,2,FALSE),"Employee Name Missing")</f>
        <v>Priya S</v>
      </c>
      <c r="L33" s="25" t="str">
        <f>IFERROR(VLOOKUP(tbl_clean_sales[[#This Row],[Employee_ID]],'02_Employee_Master'!$A$1:$C$12,3,FALSE),"Department Name Missing")</f>
        <v>Sales</v>
      </c>
      <c r="M33" s="25" t="str">
        <f>IF('03_Clean_data'!D33="","Missing",IFERROR(IF(VLOOKUP(D33,'03_Product_Master'!$A$1:$D$14,1,FALSE)='03_Clean_data'!D33,"Valid","Invalid"),"Invalid"))</f>
        <v>Valid</v>
      </c>
      <c r="N33" s="25" t="str">
        <f>IFERROR(VLOOKUP(tbl_clean_sales[[#This Row],[Product_ID]],'03_Product_Master'!$A$1:$D$14,2,FALSE),"Missing")</f>
        <v>Floor Cleaner</v>
      </c>
      <c r="O33" s="25" t="str">
        <f>IFERROR(VLOOKUP(tbl_clean_sales[[#This Row],[Product_ID]],'03_Product_Master'!$A$1:$D$14,3,FALSE),"Missing")</f>
        <v>Home Care</v>
      </c>
      <c r="P33" s="25">
        <f>IFERROR(VLOOKUP(tbl_clean_sales[[#This Row],[Product_ID]],'03_Product_Master'!$A$1:$D$14,4,FALSE),"Missing")</f>
        <v>230</v>
      </c>
      <c r="Q33" s="25" t="str">
        <f>IF('03_Clean_data'!E33="","Missing",IFERROR(IF(VLOOKUP(E33,'04_Branch_Master'!$A$1:$C$7,1,FALSE)='03_Clean_data'!E33,"Valid","Invalid"),"Invalid"))</f>
        <v>Valid</v>
      </c>
      <c r="R33" s="25" t="str">
        <f>IFERROR(VLOOKUP(tbl_clean_sales[[#This Row],[Branch_ID]],'04_Branch_Master'!$A$1:$C$7,2,FALSE),"Missing")</f>
        <v>Tirupur Central</v>
      </c>
      <c r="S33" s="25" t="str">
        <f>IFERROR(VLOOKUP(tbl_clean_sales[[#This Row],[Branch_ID]],'04_Branch_Master'!$A$1:$C$7,3,FALSE),"Missing")</f>
        <v>North</v>
      </c>
      <c r="T33" s="25" t="str">
        <f>C33&amp;"|"&amp;TEXT(tbl_clean_sales[[#This Row],[Date]],"yyyymm")</f>
        <v>E002|202604</v>
      </c>
      <c r="U33" s="25">
        <f>IFERROR(INDEX('05_Target_Master'!$A$1:$F$32,MATCH(tbl_clean_sales[[#This Row],[target key]],'05_Target_Master'!$F$1:$F$32,0),3),"Missing")</f>
        <v>122300</v>
      </c>
    </row>
    <row r="34" spans="1:21" x14ac:dyDescent="0.3">
      <c r="A34" s="21">
        <v>46117</v>
      </c>
      <c r="B34" s="22" t="s">
        <v>64</v>
      </c>
      <c r="C34" s="22" t="s">
        <v>40</v>
      </c>
      <c r="D34" s="22" t="s">
        <v>9</v>
      </c>
      <c r="E34" s="22" t="s">
        <v>26</v>
      </c>
      <c r="F34" s="22">
        <v>5</v>
      </c>
      <c r="G34" s="23">
        <v>1287.6099999999999</v>
      </c>
      <c r="H34" s="25" t="str">
        <f>IF(COUNTIF(tbl_clean_sales[Invoice_ID],tbl_clean_sales[[#This Row],[Invoice_ID]])&gt;1,"Duplicate","Unique")</f>
        <v>Unique</v>
      </c>
      <c r="I34" s="25"/>
      <c r="J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" s="25" t="str">
        <f>IFERROR(VLOOKUP(tbl_clean_sales[[#This Row],[Employee_ID]],'02_Employee_Master'!$A$1:$C$12,2,FALSE),"Employee Name Missing")</f>
        <v>Meena V</v>
      </c>
      <c r="L34" s="25" t="str">
        <f>IFERROR(VLOOKUP(tbl_clean_sales[[#This Row],[Employee_ID]],'02_Employee_Master'!$A$1:$C$12,3,FALSE),"Department Name Missing")</f>
        <v>Sales</v>
      </c>
      <c r="M34" s="25" t="str">
        <f>IF('03_Clean_data'!D34="","Missing",IFERROR(IF(VLOOKUP(D34,'03_Product_Master'!$A$1:$D$14,1,FALSE)='03_Clean_data'!D34,"Valid","Invalid"),"Invalid"))</f>
        <v>Valid</v>
      </c>
      <c r="N34" s="25" t="str">
        <f>IFERROR(VLOOKUP(tbl_clean_sales[[#This Row],[Product_ID]],'03_Product_Master'!$A$1:$D$14,2,FALSE),"Missing")</f>
        <v>Green Tea</v>
      </c>
      <c r="O34" s="25" t="str">
        <f>IFERROR(VLOOKUP(tbl_clean_sales[[#This Row],[Product_ID]],'03_Product_Master'!$A$1:$D$14,3,FALSE),"Missing")</f>
        <v>Beverages</v>
      </c>
      <c r="P34" s="25">
        <f>IFERROR(VLOOKUP(tbl_clean_sales[[#This Row],[Product_ID]],'03_Product_Master'!$A$1:$D$14,4,FALSE),"Missing")</f>
        <v>280</v>
      </c>
      <c r="Q34" s="25" t="str">
        <f>IF('03_Clean_data'!E34="","Missing",IFERROR(IF(VLOOKUP(E34,'04_Branch_Master'!$A$1:$C$7,1,FALSE)='03_Clean_data'!E34,"Valid","Invalid"),"Invalid"))</f>
        <v>Valid</v>
      </c>
      <c r="R34" s="25" t="str">
        <f>IFERROR(VLOOKUP(tbl_clean_sales[[#This Row],[Branch_ID]],'04_Branch_Master'!$A$1:$C$7,2,FALSE),"Missing")</f>
        <v>Palladam</v>
      </c>
      <c r="S34" s="25" t="str">
        <f>IFERROR(VLOOKUP(tbl_clean_sales[[#This Row],[Branch_ID]],'04_Branch_Master'!$A$1:$C$7,3,FALSE),"Missing")</f>
        <v>South</v>
      </c>
      <c r="T34" s="25" t="str">
        <f>C34&amp;"|"&amp;TEXT(tbl_clean_sales[[#This Row],[Date]],"yyyymm")</f>
        <v>E006|202604</v>
      </c>
      <c r="U34" s="25">
        <f>IFERROR(INDEX('05_Target_Master'!$A$1:$F$32,MATCH(tbl_clean_sales[[#This Row],[target key]],'05_Target_Master'!$F$1:$F$32,0),3),"Missing")</f>
        <v>131000</v>
      </c>
    </row>
    <row r="35" spans="1:21" x14ac:dyDescent="0.3">
      <c r="A35" s="21">
        <v>46140</v>
      </c>
      <c r="B35" s="22" t="s">
        <v>65</v>
      </c>
      <c r="C35" s="22" t="s">
        <v>8</v>
      </c>
      <c r="D35" s="22" t="s">
        <v>53</v>
      </c>
      <c r="E35" s="22" t="s">
        <v>10</v>
      </c>
      <c r="F35" s="22">
        <v>10</v>
      </c>
      <c r="G35" s="23">
        <v>3257.99</v>
      </c>
      <c r="H35" s="25" t="str">
        <f>IF(COUNTIF(tbl_clean_sales[Invoice_ID],tbl_clean_sales[[#This Row],[Invoice_ID]])&gt;1,"Duplicate","Unique")</f>
        <v>Unique</v>
      </c>
      <c r="I35" s="25"/>
      <c r="J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" s="25" t="str">
        <f>IFERROR(VLOOKUP(tbl_clean_sales[[#This Row],[Employee_ID]],'02_Employee_Master'!$A$1:$C$12,2,FALSE),"Employee Name Missing")</f>
        <v>Vignesh R</v>
      </c>
      <c r="L35" s="25" t="str">
        <f>IFERROR(VLOOKUP(tbl_clean_sales[[#This Row],[Employee_ID]],'02_Employee_Master'!$A$1:$C$12,3,FALSE),"Department Name Missing")</f>
        <v>Sales</v>
      </c>
      <c r="M35" s="25" t="str">
        <f>IF('03_Clean_data'!D35="","Missing",IFERROR(IF(VLOOKUP(D35,'03_Product_Master'!$A$1:$D$14,1,FALSE)='03_Clean_data'!D35,"Valid","Invalid"),"Invalid"))</f>
        <v>Valid</v>
      </c>
      <c r="N35" s="25" t="str">
        <f>IFERROR(VLOOKUP(tbl_clean_sales[[#This Row],[Product_ID]],'03_Product_Master'!$A$1:$D$14,2,FALSE),"Missing")</f>
        <v>Instant Coffee</v>
      </c>
      <c r="O35" s="25" t="str">
        <f>IFERROR(VLOOKUP(tbl_clean_sales[[#This Row],[Product_ID]],'03_Product_Master'!$A$1:$D$14,3,FALSE),"Missing")</f>
        <v>Beverages</v>
      </c>
      <c r="P35" s="25">
        <f>IFERROR(VLOOKUP(tbl_clean_sales[[#This Row],[Product_ID]],'03_Product_Master'!$A$1:$D$14,4,FALSE),"Missing")</f>
        <v>350</v>
      </c>
      <c r="Q35" s="25" t="str">
        <f>IF('03_Clean_data'!E35="","Missing",IFERROR(IF(VLOOKUP(E35,'04_Branch_Master'!$A$1:$C$7,1,FALSE)='03_Clean_data'!E35,"Valid","Invalid"),"Invalid"))</f>
        <v>Valid</v>
      </c>
      <c r="R35" s="25" t="str">
        <f>IFERROR(VLOOKUP(tbl_clean_sales[[#This Row],[Branch_ID]],'04_Branch_Master'!$A$1:$C$7,2,FALSE),"Missing")</f>
        <v>Dharapuram</v>
      </c>
      <c r="S35" s="25" t="str">
        <f>IFERROR(VLOOKUP(tbl_clean_sales[[#This Row],[Branch_ID]],'04_Branch_Master'!$A$1:$C$7,3,FALSE),"Missing")</f>
        <v>South</v>
      </c>
      <c r="T35" s="25" t="str">
        <f>C35&amp;"|"&amp;TEXT(tbl_clean_sales[[#This Row],[Date]],"yyyymm")</f>
        <v>E009|202604</v>
      </c>
      <c r="U35" s="25">
        <f>IFERROR(INDEX('05_Target_Master'!$A$1:$F$32,MATCH(tbl_clean_sales[[#This Row],[target key]],'05_Target_Master'!$F$1:$F$32,0),3),"Missing")</f>
        <v>163300</v>
      </c>
    </row>
    <row r="36" spans="1:21" x14ac:dyDescent="0.3">
      <c r="A36" s="21">
        <v>46144</v>
      </c>
      <c r="B36" s="22" t="s">
        <v>66</v>
      </c>
      <c r="C36" s="22" t="s">
        <v>38</v>
      </c>
      <c r="D36" s="22" t="s">
        <v>16</v>
      </c>
      <c r="E36" s="22" t="s">
        <v>32</v>
      </c>
      <c r="F36" s="22">
        <v>2</v>
      </c>
      <c r="G36" s="23">
        <v>570.97</v>
      </c>
      <c r="H36" s="25" t="str">
        <f>IF(COUNTIF(tbl_clean_sales[Invoice_ID],tbl_clean_sales[[#This Row],[Invoice_ID]])&gt;1,"Duplicate","Unique")</f>
        <v>Unique</v>
      </c>
      <c r="I36" s="25"/>
      <c r="J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" s="25" t="str">
        <f>IFERROR(VLOOKUP(tbl_clean_sales[[#This Row],[Employee_ID]],'02_Employee_Master'!$A$1:$C$12,2,FALSE),"Employee Name Missing")</f>
        <v>Nandhini K</v>
      </c>
      <c r="L36" s="25" t="str">
        <f>IFERROR(VLOOKUP(tbl_clean_sales[[#This Row],[Employee_ID]],'02_Employee_Master'!$A$1:$C$12,3,FALSE),"Department Name Missing")</f>
        <v>Sales</v>
      </c>
      <c r="M36" s="25" t="str">
        <f>IF('03_Clean_data'!D36="","Missing",IFERROR(IF(VLOOKUP(D36,'03_Product_Master'!$A$1:$D$14,1,FALSE)='03_Clean_data'!D36,"Valid","Invalid"),"Invalid"))</f>
        <v>Valid</v>
      </c>
      <c r="N36" s="25" t="str">
        <f>IFERROR(VLOOKUP(tbl_clean_sales[[#This Row],[Product_ID]],'03_Product_Master'!$A$1:$D$14,2,FALSE),"Missing")</f>
        <v>Shampoo</v>
      </c>
      <c r="O36" s="25" t="str">
        <f>IFERROR(VLOOKUP(tbl_clean_sales[[#This Row],[Product_ID]],'03_Product_Master'!$A$1:$D$14,3,FALSE),"Missing")</f>
        <v>Personal Care</v>
      </c>
      <c r="P36" s="25">
        <f>IFERROR(VLOOKUP(tbl_clean_sales[[#This Row],[Product_ID]],'03_Product_Master'!$A$1:$D$14,4,FALSE),"Missing")</f>
        <v>310</v>
      </c>
      <c r="Q36" s="25" t="str">
        <f>IF('03_Clean_data'!E36="","Missing",IFERROR(IF(VLOOKUP(E36,'04_Branch_Master'!$A$1:$C$7,1,FALSE)='03_Clean_data'!E36,"Valid","Invalid"),"Invalid"))</f>
        <v>Valid</v>
      </c>
      <c r="R36" s="25" t="str">
        <f>IFERROR(VLOOKUP(tbl_clean_sales[[#This Row],[Branch_ID]],'04_Branch_Master'!$A$1:$C$7,2,FALSE),"Missing")</f>
        <v>Kangeyam</v>
      </c>
      <c r="S36" s="25" t="str">
        <f>IFERROR(VLOOKUP(tbl_clean_sales[[#This Row],[Branch_ID]],'04_Branch_Master'!$A$1:$C$7,3,FALSE),"Missing")</f>
        <v>East</v>
      </c>
      <c r="T36" s="25" t="str">
        <f>C36&amp;"|"&amp;TEXT(tbl_clean_sales[[#This Row],[Date]],"yyyymm")</f>
        <v>E008|202605</v>
      </c>
      <c r="U36" s="25">
        <f>IFERROR(INDEX('05_Target_Master'!$A$1:$F$32,MATCH(tbl_clean_sales[[#This Row],[target key]],'05_Target_Master'!$F$1:$F$32,0),3),"Missing")</f>
        <v>134100</v>
      </c>
    </row>
    <row r="37" spans="1:21" x14ac:dyDescent="0.3">
      <c r="A37" s="21">
        <v>46158</v>
      </c>
      <c r="B37" s="22" t="s">
        <v>67</v>
      </c>
      <c r="C37" s="22" t="s">
        <v>46</v>
      </c>
      <c r="D37" s="22" t="s">
        <v>16</v>
      </c>
      <c r="E37" s="22" t="s">
        <v>32</v>
      </c>
      <c r="F37" s="22">
        <v>12</v>
      </c>
      <c r="G37" s="23">
        <v>3695.82</v>
      </c>
      <c r="H37" s="25" t="str">
        <f>IF(COUNTIF(tbl_clean_sales[Invoice_ID],tbl_clean_sales[[#This Row],[Invoice_ID]])&gt;1,"Duplicate","Unique")</f>
        <v>Unique</v>
      </c>
      <c r="I37" s="25"/>
      <c r="J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" s="25" t="str">
        <f>IFERROR(VLOOKUP(tbl_clean_sales[[#This Row],[Employee_ID]],'02_Employee_Master'!$A$1:$C$12,2,FALSE),"Employee Name Missing")</f>
        <v>Suresh B</v>
      </c>
      <c r="L37" s="25" t="str">
        <f>IFERROR(VLOOKUP(tbl_clean_sales[[#This Row],[Employee_ID]],'02_Employee_Master'!$A$1:$C$12,3,FALSE),"Department Name Missing")</f>
        <v>Sales</v>
      </c>
      <c r="M37" s="25" t="str">
        <f>IF('03_Clean_data'!D37="","Missing",IFERROR(IF(VLOOKUP(D37,'03_Product_Master'!$A$1:$D$14,1,FALSE)='03_Clean_data'!D37,"Valid","Invalid"),"Invalid"))</f>
        <v>Valid</v>
      </c>
      <c r="N37" s="25" t="str">
        <f>IFERROR(VLOOKUP(tbl_clean_sales[[#This Row],[Product_ID]],'03_Product_Master'!$A$1:$D$14,2,FALSE),"Missing")</f>
        <v>Shampoo</v>
      </c>
      <c r="O37" s="25" t="str">
        <f>IFERROR(VLOOKUP(tbl_clean_sales[[#This Row],[Product_ID]],'03_Product_Master'!$A$1:$D$14,3,FALSE),"Missing")</f>
        <v>Personal Care</v>
      </c>
      <c r="P37" s="25">
        <f>IFERROR(VLOOKUP(tbl_clean_sales[[#This Row],[Product_ID]],'03_Product_Master'!$A$1:$D$14,4,FALSE),"Missing")</f>
        <v>310</v>
      </c>
      <c r="Q37" s="25" t="str">
        <f>IF('03_Clean_data'!E37="","Missing",IFERROR(IF(VLOOKUP(E37,'04_Branch_Master'!$A$1:$C$7,1,FALSE)='03_Clean_data'!E37,"Valid","Invalid"),"Invalid"))</f>
        <v>Valid</v>
      </c>
      <c r="R37" s="25" t="str">
        <f>IFERROR(VLOOKUP(tbl_clean_sales[[#This Row],[Branch_ID]],'04_Branch_Master'!$A$1:$C$7,2,FALSE),"Missing")</f>
        <v>Kangeyam</v>
      </c>
      <c r="S37" s="25" t="str">
        <f>IFERROR(VLOOKUP(tbl_clean_sales[[#This Row],[Branch_ID]],'04_Branch_Master'!$A$1:$C$7,3,FALSE),"Missing")</f>
        <v>East</v>
      </c>
      <c r="T37" s="25" t="str">
        <f>C37&amp;"|"&amp;TEXT(tbl_clean_sales[[#This Row],[Date]],"yyyymm")</f>
        <v>E007|202605</v>
      </c>
      <c r="U37" s="25">
        <f>IFERROR(INDEX('05_Target_Master'!$A$1:$F$32,MATCH(tbl_clean_sales[[#This Row],[target key]],'05_Target_Master'!$F$1:$F$32,0),3),"Missing")</f>
        <v>140000</v>
      </c>
    </row>
    <row r="38" spans="1:21" x14ac:dyDescent="0.3">
      <c r="A38" s="21">
        <v>46196</v>
      </c>
      <c r="B38" s="22" t="s">
        <v>68</v>
      </c>
      <c r="C38" s="22" t="s">
        <v>21</v>
      </c>
      <c r="D38" s="22" t="s">
        <v>25</v>
      </c>
      <c r="E38" s="22" t="s">
        <v>22</v>
      </c>
      <c r="F38" s="22">
        <v>6</v>
      </c>
      <c r="G38" s="23">
        <v>2277.9</v>
      </c>
      <c r="H38" s="25" t="str">
        <f>IF(COUNTIF(tbl_clean_sales[Invoice_ID],tbl_clean_sales[[#This Row],[Invoice_ID]])&gt;1,"Duplicate","Unique")</f>
        <v>Unique</v>
      </c>
      <c r="I38" s="25"/>
      <c r="J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" s="25" t="str">
        <f>IFERROR(VLOOKUP(tbl_clean_sales[[#This Row],[Employee_ID]],'02_Employee_Master'!$A$1:$C$12,2,FALSE),"Employee Name Missing")</f>
        <v>Priya S</v>
      </c>
      <c r="L38" s="25" t="str">
        <f>IFERROR(VLOOKUP(tbl_clean_sales[[#This Row],[Employee_ID]],'02_Employee_Master'!$A$1:$C$12,3,FALSE),"Department Name Missing")</f>
        <v>Sales</v>
      </c>
      <c r="M38" s="25" t="str">
        <f>IF('03_Clean_data'!D38="","Missing",IFERROR(IF(VLOOKUP(D38,'03_Product_Master'!$A$1:$D$14,1,FALSE)='03_Clean_data'!D38,"Valid","Invalid"),"Invalid"))</f>
        <v>Valid</v>
      </c>
      <c r="N38" s="25" t="str">
        <f>IFERROR(VLOOKUP(tbl_clean_sales[[#This Row],[Product_ID]],'03_Product_Master'!$A$1:$D$14,2,FALSE),"Missing")</f>
        <v>Premium Coffee</v>
      </c>
      <c r="O38" s="25" t="str">
        <f>IFERROR(VLOOKUP(tbl_clean_sales[[#This Row],[Product_ID]],'03_Product_Master'!$A$1:$D$14,3,FALSE),"Missing")</f>
        <v>Beverages</v>
      </c>
      <c r="P38" s="25">
        <f>IFERROR(VLOOKUP(tbl_clean_sales[[#This Row],[Product_ID]],'03_Product_Master'!$A$1:$D$14,4,FALSE),"Missing")</f>
        <v>420</v>
      </c>
      <c r="Q38" s="25" t="str">
        <f>IF('03_Clean_data'!E38="","Missing",IFERROR(IF(VLOOKUP(E38,'04_Branch_Master'!$A$1:$C$7,1,FALSE)='03_Clean_data'!E38,"Valid","Invalid"),"Invalid"))</f>
        <v>Valid</v>
      </c>
      <c r="R38" s="25" t="str">
        <f>IFERROR(VLOOKUP(tbl_clean_sales[[#This Row],[Branch_ID]],'04_Branch_Master'!$A$1:$C$7,2,FALSE),"Missing")</f>
        <v>Tirupur Central</v>
      </c>
      <c r="S38" s="25" t="str">
        <f>IFERROR(VLOOKUP(tbl_clean_sales[[#This Row],[Branch_ID]],'04_Branch_Master'!$A$1:$C$7,3,FALSE),"Missing")</f>
        <v>North</v>
      </c>
      <c r="T38" s="25" t="str">
        <f>C38&amp;"|"&amp;TEXT(tbl_clean_sales[[#This Row],[Date]],"yyyymm")</f>
        <v>E002|202606</v>
      </c>
      <c r="U38" s="25">
        <f>IFERROR(INDEX('05_Target_Master'!$A$1:$F$32,MATCH(tbl_clean_sales[[#This Row],[target key]],'05_Target_Master'!$F$1:$F$32,0),3),"Missing")</f>
        <v>117400</v>
      </c>
    </row>
    <row r="39" spans="1:21" x14ac:dyDescent="0.3">
      <c r="A39" s="21">
        <v>46126</v>
      </c>
      <c r="B39" s="22" t="s">
        <v>69</v>
      </c>
      <c r="C39" s="22" t="s">
        <v>12</v>
      </c>
      <c r="D39" s="22" t="s">
        <v>30</v>
      </c>
      <c r="E39" s="22" t="s">
        <v>14</v>
      </c>
      <c r="F39" s="22">
        <v>8</v>
      </c>
      <c r="G39" s="23">
        <v>1258.47</v>
      </c>
      <c r="H39" s="25" t="str">
        <f>IF(COUNTIF(tbl_clean_sales[Invoice_ID],tbl_clean_sales[[#This Row],[Invoice_ID]])&gt;1,"Duplicate","Unique")</f>
        <v>Unique</v>
      </c>
      <c r="I39" s="25"/>
      <c r="J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" s="25" t="str">
        <f>IFERROR(VLOOKUP(tbl_clean_sales[[#This Row],[Employee_ID]],'02_Employee_Master'!$A$1:$C$12,2,FALSE),"Employee Name Missing")</f>
        <v>Divya R</v>
      </c>
      <c r="L39" s="25" t="str">
        <f>IFERROR(VLOOKUP(tbl_clean_sales[[#This Row],[Employee_ID]],'02_Employee_Master'!$A$1:$C$12,3,FALSE),"Department Name Missing")</f>
        <v>Sales</v>
      </c>
      <c r="M39" s="25" t="str">
        <f>IF('03_Clean_data'!D39="","Missing",IFERROR(IF(VLOOKUP(D39,'03_Product_Master'!$A$1:$D$14,1,FALSE)='03_Clean_data'!D39,"Valid","Invalid"),"Invalid"))</f>
        <v>Valid</v>
      </c>
      <c r="N39" s="25" t="str">
        <f>IFERROR(VLOOKUP(tbl_clean_sales[[#This Row],[Product_ID]],'03_Product_Master'!$A$1:$D$14,2,FALSE),"Missing")</f>
        <v>Cookies Pack</v>
      </c>
      <c r="O39" s="25" t="str">
        <f>IFERROR(VLOOKUP(tbl_clean_sales[[#This Row],[Product_ID]],'03_Product_Master'!$A$1:$D$14,3,FALSE),"Missing")</f>
        <v>Snacks</v>
      </c>
      <c r="P39" s="25">
        <f>IFERROR(VLOOKUP(tbl_clean_sales[[#This Row],[Product_ID]],'03_Product_Master'!$A$1:$D$14,4,FALSE),"Missing")</f>
        <v>160</v>
      </c>
      <c r="Q39" s="25" t="str">
        <f>IF('03_Clean_data'!E39="","Missing",IFERROR(IF(VLOOKUP(E39,'04_Branch_Master'!$A$1:$C$7,1,FALSE)='03_Clean_data'!E39,"Valid","Invalid"),"Invalid"))</f>
        <v>Valid</v>
      </c>
      <c r="R39" s="25" t="str">
        <f>IFERROR(VLOOKUP(tbl_clean_sales[[#This Row],[Branch_ID]],'04_Branch_Master'!$A$1:$C$7,2,FALSE),"Missing")</f>
        <v>Avinashi Road</v>
      </c>
      <c r="S39" s="25" t="str">
        <f>IFERROR(VLOOKUP(tbl_clean_sales[[#This Row],[Branch_ID]],'04_Branch_Master'!$A$1:$C$7,3,FALSE),"Missing")</f>
        <v>North</v>
      </c>
      <c r="T39" s="25" t="str">
        <f>C39&amp;"|"&amp;TEXT(tbl_clean_sales[[#This Row],[Date]],"yyyymm")</f>
        <v>E004|202604</v>
      </c>
      <c r="U39" s="25">
        <f>IFERROR(INDEX('05_Target_Master'!$A$1:$F$32,MATCH(tbl_clean_sales[[#This Row],[target key]],'05_Target_Master'!$F$1:$F$32,0),3),"Missing")</f>
        <v>163600</v>
      </c>
    </row>
    <row r="40" spans="1:21" x14ac:dyDescent="0.3">
      <c r="A40" s="21">
        <v>46136</v>
      </c>
      <c r="B40" s="22" t="s">
        <v>70</v>
      </c>
      <c r="C40" s="22" t="s">
        <v>24</v>
      </c>
      <c r="D40" s="22" t="s">
        <v>48</v>
      </c>
      <c r="E40" s="22" t="s">
        <v>26</v>
      </c>
      <c r="F40" s="22">
        <v>2</v>
      </c>
      <c r="G40" s="23">
        <v>492.35</v>
      </c>
      <c r="H40" s="25" t="str">
        <f>IF(COUNTIF(tbl_clean_sales[Invoice_ID],tbl_clean_sales[[#This Row],[Invoice_ID]])&gt;1,"Duplicate","Unique")</f>
        <v>Unique</v>
      </c>
      <c r="I40" s="25"/>
      <c r="J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" s="25" t="str">
        <f>IFERROR(VLOOKUP(tbl_clean_sales[[#This Row],[Employee_ID]],'02_Employee_Master'!$A$1:$C$12,2,FALSE),"Employee Name Missing")</f>
        <v>Karthik P</v>
      </c>
      <c r="L40" s="25" t="str">
        <f>IFERROR(VLOOKUP(tbl_clean_sales[[#This Row],[Employee_ID]],'02_Employee_Master'!$A$1:$C$12,3,FALSE),"Department Name Missing")</f>
        <v>Sales</v>
      </c>
      <c r="M40" s="25" t="str">
        <f>IF('03_Clean_data'!D40="","Missing",IFERROR(IF(VLOOKUP(D40,'03_Product_Master'!$A$1:$D$14,1,FALSE)='03_Clean_data'!D40,"Valid","Invalid"),"Invalid"))</f>
        <v>Valid</v>
      </c>
      <c r="N40" s="25" t="str">
        <f>IFERROR(VLOOKUP(tbl_clean_sales[[#This Row],[Product_ID]],'03_Product_Master'!$A$1:$D$14,2,FALSE),"Missing")</f>
        <v>Face Wash</v>
      </c>
      <c r="O40" s="25" t="str">
        <f>IFERROR(VLOOKUP(tbl_clean_sales[[#This Row],[Product_ID]],'03_Product_Master'!$A$1:$D$14,3,FALSE),"Missing")</f>
        <v>Personal Care</v>
      </c>
      <c r="P40" s="25">
        <f>IFERROR(VLOOKUP(tbl_clean_sales[[#This Row],[Product_ID]],'03_Product_Master'!$A$1:$D$14,4,FALSE),"Missing")</f>
        <v>260</v>
      </c>
      <c r="Q40" s="25" t="str">
        <f>IF('03_Clean_data'!E40="","Missing",IFERROR(IF(VLOOKUP(E40,'04_Branch_Master'!$A$1:$C$7,1,FALSE)='03_Clean_data'!E40,"Valid","Invalid"),"Invalid"))</f>
        <v>Valid</v>
      </c>
      <c r="R40" s="25" t="str">
        <f>IFERROR(VLOOKUP(tbl_clean_sales[[#This Row],[Branch_ID]],'04_Branch_Master'!$A$1:$C$7,2,FALSE),"Missing")</f>
        <v>Palladam</v>
      </c>
      <c r="S40" s="25" t="str">
        <f>IFERROR(VLOOKUP(tbl_clean_sales[[#This Row],[Branch_ID]],'04_Branch_Master'!$A$1:$C$7,3,FALSE),"Missing")</f>
        <v>South</v>
      </c>
      <c r="T40" s="25" t="str">
        <f>C40&amp;"|"&amp;TEXT(tbl_clean_sales[[#This Row],[Date]],"yyyymm")</f>
        <v>E005|202604</v>
      </c>
      <c r="U40" s="25">
        <f>IFERROR(INDEX('05_Target_Master'!$A$1:$F$32,MATCH(tbl_clean_sales[[#This Row],[target key]],'05_Target_Master'!$F$1:$F$32,0),3),"Missing")</f>
        <v>133000</v>
      </c>
    </row>
    <row r="41" spans="1:21" x14ac:dyDescent="0.3">
      <c r="A41" s="21">
        <v>46183</v>
      </c>
      <c r="B41" s="22" t="s">
        <v>71</v>
      </c>
      <c r="C41" s="22" t="s">
        <v>21</v>
      </c>
      <c r="D41" s="22" t="s">
        <v>25</v>
      </c>
      <c r="E41" s="22" t="s">
        <v>22</v>
      </c>
      <c r="F41" s="22">
        <v>9</v>
      </c>
      <c r="G41" s="23">
        <v>3400.78</v>
      </c>
      <c r="H41" s="25" t="str">
        <f>IF(COUNTIF(tbl_clean_sales[Invoice_ID],tbl_clean_sales[[#This Row],[Invoice_ID]])&gt;1,"Duplicate","Unique")</f>
        <v>Unique</v>
      </c>
      <c r="I41" s="25"/>
      <c r="J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" s="25" t="str">
        <f>IFERROR(VLOOKUP(tbl_clean_sales[[#This Row],[Employee_ID]],'02_Employee_Master'!$A$1:$C$12,2,FALSE),"Employee Name Missing")</f>
        <v>Priya S</v>
      </c>
      <c r="L41" s="25" t="str">
        <f>IFERROR(VLOOKUP(tbl_clean_sales[[#This Row],[Employee_ID]],'02_Employee_Master'!$A$1:$C$12,3,FALSE),"Department Name Missing")</f>
        <v>Sales</v>
      </c>
      <c r="M41" s="25" t="str">
        <f>IF('03_Clean_data'!D41="","Missing",IFERROR(IF(VLOOKUP(D41,'03_Product_Master'!$A$1:$D$14,1,FALSE)='03_Clean_data'!D41,"Valid","Invalid"),"Invalid"))</f>
        <v>Valid</v>
      </c>
      <c r="N41" s="25" t="str">
        <f>IFERROR(VLOOKUP(tbl_clean_sales[[#This Row],[Product_ID]],'03_Product_Master'!$A$1:$D$14,2,FALSE),"Missing")</f>
        <v>Premium Coffee</v>
      </c>
      <c r="O41" s="25" t="str">
        <f>IFERROR(VLOOKUP(tbl_clean_sales[[#This Row],[Product_ID]],'03_Product_Master'!$A$1:$D$14,3,FALSE),"Missing")</f>
        <v>Beverages</v>
      </c>
      <c r="P41" s="25">
        <f>IFERROR(VLOOKUP(tbl_clean_sales[[#This Row],[Product_ID]],'03_Product_Master'!$A$1:$D$14,4,FALSE),"Missing")</f>
        <v>420</v>
      </c>
      <c r="Q41" s="25" t="str">
        <f>IF('03_Clean_data'!E41="","Missing",IFERROR(IF(VLOOKUP(E41,'04_Branch_Master'!$A$1:$C$7,1,FALSE)='03_Clean_data'!E41,"Valid","Invalid"),"Invalid"))</f>
        <v>Valid</v>
      </c>
      <c r="R41" s="25" t="str">
        <f>IFERROR(VLOOKUP(tbl_clean_sales[[#This Row],[Branch_ID]],'04_Branch_Master'!$A$1:$C$7,2,FALSE),"Missing")</f>
        <v>Tirupur Central</v>
      </c>
      <c r="S41" s="25" t="str">
        <f>IFERROR(VLOOKUP(tbl_clean_sales[[#This Row],[Branch_ID]],'04_Branch_Master'!$A$1:$C$7,3,FALSE),"Missing")</f>
        <v>North</v>
      </c>
      <c r="T41" s="25" t="str">
        <f>C41&amp;"|"&amp;TEXT(tbl_clean_sales[[#This Row],[Date]],"yyyymm")</f>
        <v>E002|202606</v>
      </c>
      <c r="U41" s="25">
        <f>IFERROR(INDEX('05_Target_Master'!$A$1:$F$32,MATCH(tbl_clean_sales[[#This Row],[target key]],'05_Target_Master'!$F$1:$F$32,0),3),"Missing")</f>
        <v>117400</v>
      </c>
    </row>
    <row r="42" spans="1:21" x14ac:dyDescent="0.3">
      <c r="A42" s="21">
        <v>46124</v>
      </c>
      <c r="B42" s="22" t="s">
        <v>72</v>
      </c>
      <c r="C42" s="22" t="s">
        <v>12</v>
      </c>
      <c r="D42" s="22" t="s">
        <v>53</v>
      </c>
      <c r="E42" s="22" t="s">
        <v>14</v>
      </c>
      <c r="F42" s="22">
        <v>8</v>
      </c>
      <c r="G42" s="23">
        <v>2728.18</v>
      </c>
      <c r="H42" s="25" t="str">
        <f>IF(COUNTIF(tbl_clean_sales[Invoice_ID],tbl_clean_sales[[#This Row],[Invoice_ID]])&gt;1,"Duplicate","Unique")</f>
        <v>Unique</v>
      </c>
      <c r="I42" s="25"/>
      <c r="J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" s="25" t="str">
        <f>IFERROR(VLOOKUP(tbl_clean_sales[[#This Row],[Employee_ID]],'02_Employee_Master'!$A$1:$C$12,2,FALSE),"Employee Name Missing")</f>
        <v>Divya R</v>
      </c>
      <c r="L42" s="25" t="str">
        <f>IFERROR(VLOOKUP(tbl_clean_sales[[#This Row],[Employee_ID]],'02_Employee_Master'!$A$1:$C$12,3,FALSE),"Department Name Missing")</f>
        <v>Sales</v>
      </c>
      <c r="M42" s="25" t="str">
        <f>IF('03_Clean_data'!D42="","Missing",IFERROR(IF(VLOOKUP(D42,'03_Product_Master'!$A$1:$D$14,1,FALSE)='03_Clean_data'!D42,"Valid","Invalid"),"Invalid"))</f>
        <v>Valid</v>
      </c>
      <c r="N42" s="25" t="str">
        <f>IFERROR(VLOOKUP(tbl_clean_sales[[#This Row],[Product_ID]],'03_Product_Master'!$A$1:$D$14,2,FALSE),"Missing")</f>
        <v>Instant Coffee</v>
      </c>
      <c r="O42" s="25" t="str">
        <f>IFERROR(VLOOKUP(tbl_clean_sales[[#This Row],[Product_ID]],'03_Product_Master'!$A$1:$D$14,3,FALSE),"Missing")</f>
        <v>Beverages</v>
      </c>
      <c r="P42" s="25">
        <f>IFERROR(VLOOKUP(tbl_clean_sales[[#This Row],[Product_ID]],'03_Product_Master'!$A$1:$D$14,4,FALSE),"Missing")</f>
        <v>350</v>
      </c>
      <c r="Q42" s="25" t="str">
        <f>IF('03_Clean_data'!E42="","Missing",IFERROR(IF(VLOOKUP(E42,'04_Branch_Master'!$A$1:$C$7,1,FALSE)='03_Clean_data'!E42,"Valid","Invalid"),"Invalid"))</f>
        <v>Valid</v>
      </c>
      <c r="R42" s="25" t="str">
        <f>IFERROR(VLOOKUP(tbl_clean_sales[[#This Row],[Branch_ID]],'04_Branch_Master'!$A$1:$C$7,2,FALSE),"Missing")</f>
        <v>Avinashi Road</v>
      </c>
      <c r="S42" s="25" t="str">
        <f>IFERROR(VLOOKUP(tbl_clean_sales[[#This Row],[Branch_ID]],'04_Branch_Master'!$A$1:$C$7,3,FALSE),"Missing")</f>
        <v>North</v>
      </c>
      <c r="T42" s="25" t="str">
        <f>C42&amp;"|"&amp;TEXT(tbl_clean_sales[[#This Row],[Date]],"yyyymm")</f>
        <v>E004|202604</v>
      </c>
      <c r="U42" s="25">
        <f>IFERROR(INDEX('05_Target_Master'!$A$1:$F$32,MATCH(tbl_clean_sales[[#This Row],[target key]],'05_Target_Master'!$F$1:$F$32,0),3),"Missing")</f>
        <v>163600</v>
      </c>
    </row>
    <row r="43" spans="1:21" x14ac:dyDescent="0.3">
      <c r="A43" s="21">
        <v>46164</v>
      </c>
      <c r="B43" s="22" t="s">
        <v>73</v>
      </c>
      <c r="C43" s="22" t="s">
        <v>74</v>
      </c>
      <c r="D43" s="22" t="s">
        <v>53</v>
      </c>
      <c r="E43" s="22" t="s">
        <v>22</v>
      </c>
      <c r="F43" s="22">
        <v>7</v>
      </c>
      <c r="G43" s="23">
        <v>2372.0300000000002</v>
      </c>
      <c r="H43" s="25" t="str">
        <f>IF(COUNTIF(tbl_clean_sales[Invoice_ID],tbl_clean_sales[[#This Row],[Invoice_ID]])&gt;1,"Duplicate","Unique")</f>
        <v>Unique</v>
      </c>
      <c r="I43" s="25"/>
      <c r="J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" s="25" t="str">
        <f>IFERROR(VLOOKUP(tbl_clean_sales[[#This Row],[Employee_ID]],'02_Employee_Master'!$A$1:$C$12,2,FALSE),"Employee Name Missing")</f>
        <v>Arun Kumar</v>
      </c>
      <c r="L43" s="25" t="str">
        <f>IFERROR(VLOOKUP(tbl_clean_sales[[#This Row],[Employee_ID]],'02_Employee_Master'!$A$1:$C$12,3,FALSE),"Department Name Missing")</f>
        <v>Sales</v>
      </c>
      <c r="M43" s="25" t="str">
        <f>IF('03_Clean_data'!D43="","Missing",IFERROR(IF(VLOOKUP(D43,'03_Product_Master'!$A$1:$D$14,1,FALSE)='03_Clean_data'!D43,"Valid","Invalid"),"Invalid"))</f>
        <v>Valid</v>
      </c>
      <c r="N43" s="25" t="str">
        <f>IFERROR(VLOOKUP(tbl_clean_sales[[#This Row],[Product_ID]],'03_Product_Master'!$A$1:$D$14,2,FALSE),"Missing")</f>
        <v>Instant Coffee</v>
      </c>
      <c r="O43" s="25" t="str">
        <f>IFERROR(VLOOKUP(tbl_clean_sales[[#This Row],[Product_ID]],'03_Product_Master'!$A$1:$D$14,3,FALSE),"Missing")</f>
        <v>Beverages</v>
      </c>
      <c r="P43" s="25">
        <f>IFERROR(VLOOKUP(tbl_clean_sales[[#This Row],[Product_ID]],'03_Product_Master'!$A$1:$D$14,4,FALSE),"Missing")</f>
        <v>350</v>
      </c>
      <c r="Q43" s="25" t="str">
        <f>IF('03_Clean_data'!E43="","Missing",IFERROR(IF(VLOOKUP(E43,'04_Branch_Master'!$A$1:$C$7,1,FALSE)='03_Clean_data'!E43,"Valid","Invalid"),"Invalid"))</f>
        <v>Valid</v>
      </c>
      <c r="R43" s="25" t="str">
        <f>IFERROR(VLOOKUP(tbl_clean_sales[[#This Row],[Branch_ID]],'04_Branch_Master'!$A$1:$C$7,2,FALSE),"Missing")</f>
        <v>Tirupur Central</v>
      </c>
      <c r="S43" s="25" t="str">
        <f>IFERROR(VLOOKUP(tbl_clean_sales[[#This Row],[Branch_ID]],'04_Branch_Master'!$A$1:$C$7,3,FALSE),"Missing")</f>
        <v>North</v>
      </c>
      <c r="T43" s="25" t="str">
        <f>C43&amp;"|"&amp;TEXT(tbl_clean_sales[[#This Row],[Date]],"yyyymm")</f>
        <v>E001|202605</v>
      </c>
      <c r="U43" s="25">
        <f>IFERROR(INDEX('05_Target_Master'!$A$1:$F$32,MATCH(tbl_clean_sales[[#This Row],[target key]],'05_Target_Master'!$F$1:$F$32,0),3),"Missing")</f>
        <v>169500</v>
      </c>
    </row>
    <row r="44" spans="1:21" x14ac:dyDescent="0.3">
      <c r="A44" s="21">
        <v>46171</v>
      </c>
      <c r="B44" s="22" t="s">
        <v>75</v>
      </c>
      <c r="C44" s="22" t="s">
        <v>24</v>
      </c>
      <c r="D44" s="22" t="s">
        <v>16</v>
      </c>
      <c r="E44" s="22" t="s">
        <v>26</v>
      </c>
      <c r="F44" s="22">
        <v>12</v>
      </c>
      <c r="G44" s="23">
        <v>3275.64</v>
      </c>
      <c r="H44" s="25" t="str">
        <f>IF(COUNTIF(tbl_clean_sales[Invoice_ID],tbl_clean_sales[[#This Row],[Invoice_ID]])&gt;1,"Duplicate","Unique")</f>
        <v>Unique</v>
      </c>
      <c r="I44" s="25"/>
      <c r="J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" s="25" t="str">
        <f>IFERROR(VLOOKUP(tbl_clean_sales[[#This Row],[Employee_ID]],'02_Employee_Master'!$A$1:$C$12,2,FALSE),"Employee Name Missing")</f>
        <v>Karthik P</v>
      </c>
      <c r="L44" s="25" t="str">
        <f>IFERROR(VLOOKUP(tbl_clean_sales[[#This Row],[Employee_ID]],'02_Employee_Master'!$A$1:$C$12,3,FALSE),"Department Name Missing")</f>
        <v>Sales</v>
      </c>
      <c r="M44" s="25" t="str">
        <f>IF('03_Clean_data'!D44="","Missing",IFERROR(IF(VLOOKUP(D44,'03_Product_Master'!$A$1:$D$14,1,FALSE)='03_Clean_data'!D44,"Valid","Invalid"),"Invalid"))</f>
        <v>Valid</v>
      </c>
      <c r="N44" s="25" t="str">
        <f>IFERROR(VLOOKUP(tbl_clean_sales[[#This Row],[Product_ID]],'03_Product_Master'!$A$1:$D$14,2,FALSE),"Missing")</f>
        <v>Shampoo</v>
      </c>
      <c r="O44" s="25" t="str">
        <f>IFERROR(VLOOKUP(tbl_clean_sales[[#This Row],[Product_ID]],'03_Product_Master'!$A$1:$D$14,3,FALSE),"Missing")</f>
        <v>Personal Care</v>
      </c>
      <c r="P44" s="25">
        <f>IFERROR(VLOOKUP(tbl_clean_sales[[#This Row],[Product_ID]],'03_Product_Master'!$A$1:$D$14,4,FALSE),"Missing")</f>
        <v>310</v>
      </c>
      <c r="Q44" s="25" t="str">
        <f>IF('03_Clean_data'!E44="","Missing",IFERROR(IF(VLOOKUP(E44,'04_Branch_Master'!$A$1:$C$7,1,FALSE)='03_Clean_data'!E44,"Valid","Invalid"),"Invalid"))</f>
        <v>Valid</v>
      </c>
      <c r="R44" s="25" t="str">
        <f>IFERROR(VLOOKUP(tbl_clean_sales[[#This Row],[Branch_ID]],'04_Branch_Master'!$A$1:$C$7,2,FALSE),"Missing")</f>
        <v>Palladam</v>
      </c>
      <c r="S44" s="25" t="str">
        <f>IFERROR(VLOOKUP(tbl_clean_sales[[#This Row],[Branch_ID]],'04_Branch_Master'!$A$1:$C$7,3,FALSE),"Missing")</f>
        <v>South</v>
      </c>
      <c r="T44" s="25" t="str">
        <f>C44&amp;"|"&amp;TEXT(tbl_clean_sales[[#This Row],[Date]],"yyyymm")</f>
        <v>E005|202605</v>
      </c>
      <c r="U44" s="25">
        <f>IFERROR(INDEX('05_Target_Master'!$A$1:$F$32,MATCH(tbl_clean_sales[[#This Row],[target key]],'05_Target_Master'!$F$1:$F$32,0),3),"Missing")</f>
        <v>143700</v>
      </c>
    </row>
    <row r="45" spans="1:21" x14ac:dyDescent="0.3">
      <c r="A45" s="21">
        <v>46184</v>
      </c>
      <c r="B45" s="22" t="s">
        <v>76</v>
      </c>
      <c r="C45" s="22" t="s">
        <v>38</v>
      </c>
      <c r="D45" s="22" t="s">
        <v>53</v>
      </c>
      <c r="E45" s="22" t="s">
        <v>32</v>
      </c>
      <c r="F45" s="22">
        <v>4</v>
      </c>
      <c r="G45" s="23">
        <v>1237.26</v>
      </c>
      <c r="H45" s="25" t="str">
        <f>IF(COUNTIF(tbl_clean_sales[Invoice_ID],tbl_clean_sales[[#This Row],[Invoice_ID]])&gt;1,"Duplicate","Unique")</f>
        <v>Unique</v>
      </c>
      <c r="I45" s="25"/>
      <c r="J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" s="25" t="str">
        <f>IFERROR(VLOOKUP(tbl_clean_sales[[#This Row],[Employee_ID]],'02_Employee_Master'!$A$1:$C$12,2,FALSE),"Employee Name Missing")</f>
        <v>Nandhini K</v>
      </c>
      <c r="L45" s="25" t="str">
        <f>IFERROR(VLOOKUP(tbl_clean_sales[[#This Row],[Employee_ID]],'02_Employee_Master'!$A$1:$C$12,3,FALSE),"Department Name Missing")</f>
        <v>Sales</v>
      </c>
      <c r="M45" s="25" t="str">
        <f>IF('03_Clean_data'!D45="","Missing",IFERROR(IF(VLOOKUP(D45,'03_Product_Master'!$A$1:$D$14,1,FALSE)='03_Clean_data'!D45,"Valid","Invalid"),"Invalid"))</f>
        <v>Valid</v>
      </c>
      <c r="N45" s="25" t="str">
        <f>IFERROR(VLOOKUP(tbl_clean_sales[[#This Row],[Product_ID]],'03_Product_Master'!$A$1:$D$14,2,FALSE),"Missing")</f>
        <v>Instant Coffee</v>
      </c>
      <c r="O45" s="25" t="str">
        <f>IFERROR(VLOOKUP(tbl_clean_sales[[#This Row],[Product_ID]],'03_Product_Master'!$A$1:$D$14,3,FALSE),"Missing")</f>
        <v>Beverages</v>
      </c>
      <c r="P45" s="25">
        <f>IFERROR(VLOOKUP(tbl_clean_sales[[#This Row],[Product_ID]],'03_Product_Master'!$A$1:$D$14,4,FALSE),"Missing")</f>
        <v>350</v>
      </c>
      <c r="Q45" s="25" t="str">
        <f>IF('03_Clean_data'!E45="","Missing",IFERROR(IF(VLOOKUP(E45,'04_Branch_Master'!$A$1:$C$7,1,FALSE)='03_Clean_data'!E45,"Valid","Invalid"),"Invalid"))</f>
        <v>Valid</v>
      </c>
      <c r="R45" s="25" t="str">
        <f>IFERROR(VLOOKUP(tbl_clean_sales[[#This Row],[Branch_ID]],'04_Branch_Master'!$A$1:$C$7,2,FALSE),"Missing")</f>
        <v>Kangeyam</v>
      </c>
      <c r="S45" s="25" t="str">
        <f>IFERROR(VLOOKUP(tbl_clean_sales[[#This Row],[Branch_ID]],'04_Branch_Master'!$A$1:$C$7,3,FALSE),"Missing")</f>
        <v>East</v>
      </c>
      <c r="T45" s="25" t="str">
        <f>C45&amp;"|"&amp;TEXT(tbl_clean_sales[[#This Row],[Date]],"yyyymm")</f>
        <v>E008|202606</v>
      </c>
      <c r="U45" s="25">
        <f>IFERROR(INDEX('05_Target_Master'!$A$1:$F$32,MATCH(tbl_clean_sales[[#This Row],[target key]],'05_Target_Master'!$F$1:$F$32,0),3),"Missing")</f>
        <v>119200</v>
      </c>
    </row>
    <row r="46" spans="1:21" x14ac:dyDescent="0.3">
      <c r="A46" s="21">
        <v>46187</v>
      </c>
      <c r="B46" s="22" t="s">
        <v>77</v>
      </c>
      <c r="C46" s="22" t="s">
        <v>8</v>
      </c>
      <c r="D46" s="22" t="s">
        <v>25</v>
      </c>
      <c r="E46" s="22" t="s">
        <v>10</v>
      </c>
      <c r="F46" s="22">
        <v>1</v>
      </c>
      <c r="G46" s="23">
        <v>417.47</v>
      </c>
      <c r="H46" s="25" t="str">
        <f>IF(COUNTIF(tbl_clean_sales[Invoice_ID],tbl_clean_sales[[#This Row],[Invoice_ID]])&gt;1,"Duplicate","Unique")</f>
        <v>Unique</v>
      </c>
      <c r="I46" s="25"/>
      <c r="J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" s="25" t="str">
        <f>IFERROR(VLOOKUP(tbl_clean_sales[[#This Row],[Employee_ID]],'02_Employee_Master'!$A$1:$C$12,2,FALSE),"Employee Name Missing")</f>
        <v>Vignesh R</v>
      </c>
      <c r="L46" s="25" t="str">
        <f>IFERROR(VLOOKUP(tbl_clean_sales[[#This Row],[Employee_ID]],'02_Employee_Master'!$A$1:$C$12,3,FALSE),"Department Name Missing")</f>
        <v>Sales</v>
      </c>
      <c r="M46" s="25" t="str">
        <f>IF('03_Clean_data'!D46="","Missing",IFERROR(IF(VLOOKUP(D46,'03_Product_Master'!$A$1:$D$14,1,FALSE)='03_Clean_data'!D46,"Valid","Invalid"),"Invalid"))</f>
        <v>Valid</v>
      </c>
      <c r="N46" s="25" t="str">
        <f>IFERROR(VLOOKUP(tbl_clean_sales[[#This Row],[Product_ID]],'03_Product_Master'!$A$1:$D$14,2,FALSE),"Missing")</f>
        <v>Premium Coffee</v>
      </c>
      <c r="O46" s="25" t="str">
        <f>IFERROR(VLOOKUP(tbl_clean_sales[[#This Row],[Product_ID]],'03_Product_Master'!$A$1:$D$14,3,FALSE),"Missing")</f>
        <v>Beverages</v>
      </c>
      <c r="P46" s="25">
        <f>IFERROR(VLOOKUP(tbl_clean_sales[[#This Row],[Product_ID]],'03_Product_Master'!$A$1:$D$14,4,FALSE),"Missing")</f>
        <v>420</v>
      </c>
      <c r="Q46" s="25" t="str">
        <f>IF('03_Clean_data'!E46="","Missing",IFERROR(IF(VLOOKUP(E46,'04_Branch_Master'!$A$1:$C$7,1,FALSE)='03_Clean_data'!E46,"Valid","Invalid"),"Invalid"))</f>
        <v>Valid</v>
      </c>
      <c r="R46" s="25" t="str">
        <f>IFERROR(VLOOKUP(tbl_clean_sales[[#This Row],[Branch_ID]],'04_Branch_Master'!$A$1:$C$7,2,FALSE),"Missing")</f>
        <v>Dharapuram</v>
      </c>
      <c r="S46" s="25" t="str">
        <f>IFERROR(VLOOKUP(tbl_clean_sales[[#This Row],[Branch_ID]],'04_Branch_Master'!$A$1:$C$7,3,FALSE),"Missing")</f>
        <v>South</v>
      </c>
      <c r="T46" s="25" t="str">
        <f>C46&amp;"|"&amp;TEXT(tbl_clean_sales[[#This Row],[Date]],"yyyymm")</f>
        <v>E009|202606</v>
      </c>
      <c r="U46" s="25">
        <f>IFERROR(INDEX('05_Target_Master'!$A$1:$F$32,MATCH(tbl_clean_sales[[#This Row],[target key]],'05_Target_Master'!$F$1:$F$32,0),3),"Missing")</f>
        <v>156700</v>
      </c>
    </row>
    <row r="47" spans="1:21" x14ac:dyDescent="0.3">
      <c r="A47" s="21">
        <v>46174</v>
      </c>
      <c r="B47" s="22" t="s">
        <v>78</v>
      </c>
      <c r="C47" s="22" t="s">
        <v>8</v>
      </c>
      <c r="D47" s="22" t="s">
        <v>13</v>
      </c>
      <c r="E47" s="22" t="s">
        <v>10</v>
      </c>
      <c r="F47" s="22">
        <v>9</v>
      </c>
      <c r="G47" s="23">
        <v>3476.26</v>
      </c>
      <c r="H47" s="25" t="str">
        <f>IF(COUNTIF(tbl_clean_sales[Invoice_ID],tbl_clean_sales[[#This Row],[Invoice_ID]])&gt;1,"Duplicate","Unique")</f>
        <v>Unique</v>
      </c>
      <c r="I47" s="25"/>
      <c r="J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" s="25" t="str">
        <f>IFERROR(VLOOKUP(tbl_clean_sales[[#This Row],[Employee_ID]],'02_Employee_Master'!$A$1:$C$12,2,FALSE),"Employee Name Missing")</f>
        <v>Vignesh R</v>
      </c>
      <c r="L47" s="25" t="str">
        <f>IFERROR(VLOOKUP(tbl_clean_sales[[#This Row],[Employee_ID]],'02_Employee_Master'!$A$1:$C$12,3,FALSE),"Department Name Missing")</f>
        <v>Sales</v>
      </c>
      <c r="M47" s="25" t="str">
        <f>IF('03_Clean_data'!D47="","Missing",IFERROR(IF(VLOOKUP(D47,'03_Product_Master'!$A$1:$D$14,1,FALSE)='03_Clean_data'!D47,"Valid","Invalid"),"Invalid"))</f>
        <v>Valid</v>
      </c>
      <c r="N47" s="25" t="str">
        <f>IFERROR(VLOOKUP(tbl_clean_sales[[#This Row],[Product_ID]],'03_Product_Master'!$A$1:$D$14,2,FALSE),"Missing")</f>
        <v>Body Lotion</v>
      </c>
      <c r="O47" s="25" t="str">
        <f>IFERROR(VLOOKUP(tbl_clean_sales[[#This Row],[Product_ID]],'03_Product_Master'!$A$1:$D$14,3,FALSE),"Missing")</f>
        <v>Personal Care</v>
      </c>
      <c r="P47" s="25">
        <f>IFERROR(VLOOKUP(tbl_clean_sales[[#This Row],[Product_ID]],'03_Product_Master'!$A$1:$D$14,4,FALSE),"Missing")</f>
        <v>390</v>
      </c>
      <c r="Q47" s="25" t="str">
        <f>IF('03_Clean_data'!E47="","Missing",IFERROR(IF(VLOOKUP(E47,'04_Branch_Master'!$A$1:$C$7,1,FALSE)='03_Clean_data'!E47,"Valid","Invalid"),"Invalid"))</f>
        <v>Valid</v>
      </c>
      <c r="R47" s="25" t="str">
        <f>IFERROR(VLOOKUP(tbl_clean_sales[[#This Row],[Branch_ID]],'04_Branch_Master'!$A$1:$C$7,2,FALSE),"Missing")</f>
        <v>Dharapuram</v>
      </c>
      <c r="S47" s="25" t="str">
        <f>IFERROR(VLOOKUP(tbl_clean_sales[[#This Row],[Branch_ID]],'04_Branch_Master'!$A$1:$C$7,3,FALSE),"Missing")</f>
        <v>South</v>
      </c>
      <c r="T47" s="25" t="str">
        <f>C47&amp;"|"&amp;TEXT(tbl_clean_sales[[#This Row],[Date]],"yyyymm")</f>
        <v>E009|202606</v>
      </c>
      <c r="U47" s="25">
        <f>IFERROR(INDEX('05_Target_Master'!$A$1:$F$32,MATCH(tbl_clean_sales[[#This Row],[target key]],'05_Target_Master'!$F$1:$F$32,0),3),"Missing")</f>
        <v>156700</v>
      </c>
    </row>
    <row r="48" spans="1:21" x14ac:dyDescent="0.3">
      <c r="A48" s="21">
        <v>46136</v>
      </c>
      <c r="B48" s="22" t="s">
        <v>79</v>
      </c>
      <c r="C48" s="22" t="s">
        <v>21</v>
      </c>
      <c r="D48" s="22" t="s">
        <v>36</v>
      </c>
      <c r="E48" s="22" t="s">
        <v>22</v>
      </c>
      <c r="F48" s="22">
        <v>4</v>
      </c>
      <c r="G48" s="23">
        <v>723.18</v>
      </c>
      <c r="H48" s="25" t="str">
        <f>IF(COUNTIF(tbl_clean_sales[Invoice_ID],tbl_clean_sales[[#This Row],[Invoice_ID]])&gt;1,"Duplicate","Unique")</f>
        <v>Unique</v>
      </c>
      <c r="I48" s="25"/>
      <c r="J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" s="25" t="str">
        <f>IFERROR(VLOOKUP(tbl_clean_sales[[#This Row],[Employee_ID]],'02_Employee_Master'!$A$1:$C$12,2,FALSE),"Employee Name Missing")</f>
        <v>Priya S</v>
      </c>
      <c r="L48" s="25" t="str">
        <f>IFERROR(VLOOKUP(tbl_clean_sales[[#This Row],[Employee_ID]],'02_Employee_Master'!$A$1:$C$12,3,FALSE),"Department Name Missing")</f>
        <v>Sales</v>
      </c>
      <c r="M48" s="25" t="str">
        <f>IF('03_Clean_data'!D48="","Missing",IFERROR(IF(VLOOKUP(D48,'03_Product_Master'!$A$1:$D$14,1,FALSE)='03_Clean_data'!D48,"Valid","Invalid"),"Invalid"))</f>
        <v>Valid</v>
      </c>
      <c r="N48" s="25" t="str">
        <f>IFERROR(VLOOKUP(tbl_clean_sales[[#This Row],[Product_ID]],'03_Product_Master'!$A$1:$D$14,2,FALSE),"Missing")</f>
        <v>Dish Wash</v>
      </c>
      <c r="O48" s="25" t="str">
        <f>IFERROR(VLOOKUP(tbl_clean_sales[[#This Row],[Product_ID]],'03_Product_Master'!$A$1:$D$14,3,FALSE),"Missing")</f>
        <v>Home Care</v>
      </c>
      <c r="P48" s="25">
        <f>IFERROR(VLOOKUP(tbl_clean_sales[[#This Row],[Product_ID]],'03_Product_Master'!$A$1:$D$14,4,FALSE),"Missing")</f>
        <v>190</v>
      </c>
      <c r="Q48" s="25" t="str">
        <f>IF('03_Clean_data'!E48="","Missing",IFERROR(IF(VLOOKUP(E48,'04_Branch_Master'!$A$1:$C$7,1,FALSE)='03_Clean_data'!E48,"Valid","Invalid"),"Invalid"))</f>
        <v>Valid</v>
      </c>
      <c r="R48" s="25" t="str">
        <f>IFERROR(VLOOKUP(tbl_clean_sales[[#This Row],[Branch_ID]],'04_Branch_Master'!$A$1:$C$7,2,FALSE),"Missing")</f>
        <v>Tirupur Central</v>
      </c>
      <c r="S48" s="25" t="str">
        <f>IFERROR(VLOOKUP(tbl_clean_sales[[#This Row],[Branch_ID]],'04_Branch_Master'!$A$1:$C$7,3,FALSE),"Missing")</f>
        <v>North</v>
      </c>
      <c r="T48" s="25" t="str">
        <f>C48&amp;"|"&amp;TEXT(tbl_clean_sales[[#This Row],[Date]],"yyyymm")</f>
        <v>E002|202604</v>
      </c>
      <c r="U48" s="25">
        <f>IFERROR(INDEX('05_Target_Master'!$A$1:$F$32,MATCH(tbl_clean_sales[[#This Row],[target key]],'05_Target_Master'!$F$1:$F$32,0),3),"Missing")</f>
        <v>122300</v>
      </c>
    </row>
    <row r="49" spans="1:21" x14ac:dyDescent="0.3">
      <c r="A49" s="21">
        <v>46185</v>
      </c>
      <c r="B49" s="22" t="s">
        <v>80</v>
      </c>
      <c r="C49" s="22" t="s">
        <v>12</v>
      </c>
      <c r="D49" s="22" t="s">
        <v>36</v>
      </c>
      <c r="E49" s="22" t="s">
        <v>14</v>
      </c>
      <c r="F49" s="22">
        <v>10</v>
      </c>
      <c r="G49" s="23">
        <v>1881.31</v>
      </c>
      <c r="H49" s="25" t="str">
        <f>IF(COUNTIF(tbl_clean_sales[Invoice_ID],tbl_clean_sales[[#This Row],[Invoice_ID]])&gt;1,"Duplicate","Unique")</f>
        <v>Unique</v>
      </c>
      <c r="I49" s="25"/>
      <c r="J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" s="25" t="str">
        <f>IFERROR(VLOOKUP(tbl_clean_sales[[#This Row],[Employee_ID]],'02_Employee_Master'!$A$1:$C$12,2,FALSE),"Employee Name Missing")</f>
        <v>Divya R</v>
      </c>
      <c r="L49" s="25" t="str">
        <f>IFERROR(VLOOKUP(tbl_clean_sales[[#This Row],[Employee_ID]],'02_Employee_Master'!$A$1:$C$12,3,FALSE),"Department Name Missing")</f>
        <v>Sales</v>
      </c>
      <c r="M49" s="25" t="str">
        <f>IF('03_Clean_data'!D49="","Missing",IFERROR(IF(VLOOKUP(D49,'03_Product_Master'!$A$1:$D$14,1,FALSE)='03_Clean_data'!D49,"Valid","Invalid"),"Invalid"))</f>
        <v>Valid</v>
      </c>
      <c r="N49" s="25" t="str">
        <f>IFERROR(VLOOKUP(tbl_clean_sales[[#This Row],[Product_ID]],'03_Product_Master'!$A$1:$D$14,2,FALSE),"Missing")</f>
        <v>Dish Wash</v>
      </c>
      <c r="O49" s="25" t="str">
        <f>IFERROR(VLOOKUP(tbl_clean_sales[[#This Row],[Product_ID]],'03_Product_Master'!$A$1:$D$14,3,FALSE),"Missing")</f>
        <v>Home Care</v>
      </c>
      <c r="P49" s="25">
        <f>IFERROR(VLOOKUP(tbl_clean_sales[[#This Row],[Product_ID]],'03_Product_Master'!$A$1:$D$14,4,FALSE),"Missing")</f>
        <v>190</v>
      </c>
      <c r="Q49" s="25" t="str">
        <f>IF('03_Clean_data'!E49="","Missing",IFERROR(IF(VLOOKUP(E49,'04_Branch_Master'!$A$1:$C$7,1,FALSE)='03_Clean_data'!E49,"Valid","Invalid"),"Invalid"))</f>
        <v>Valid</v>
      </c>
      <c r="R49" s="25" t="str">
        <f>IFERROR(VLOOKUP(tbl_clean_sales[[#This Row],[Branch_ID]],'04_Branch_Master'!$A$1:$C$7,2,FALSE),"Missing")</f>
        <v>Avinashi Road</v>
      </c>
      <c r="S49" s="25" t="str">
        <f>IFERROR(VLOOKUP(tbl_clean_sales[[#This Row],[Branch_ID]],'04_Branch_Master'!$A$1:$C$7,3,FALSE),"Missing")</f>
        <v>North</v>
      </c>
      <c r="T49" s="25" t="str">
        <f>C49&amp;"|"&amp;TEXT(tbl_clean_sales[[#This Row],[Date]],"yyyymm")</f>
        <v>E004|202606</v>
      </c>
      <c r="U49" s="25">
        <f>IFERROR(INDEX('05_Target_Master'!$A$1:$F$32,MATCH(tbl_clean_sales[[#This Row],[target key]],'05_Target_Master'!$F$1:$F$32,0),3),"Missing")</f>
        <v>157100</v>
      </c>
    </row>
    <row r="50" spans="1:21" x14ac:dyDescent="0.3">
      <c r="A50" s="21">
        <v>46197</v>
      </c>
      <c r="B50" s="24" t="s">
        <v>81</v>
      </c>
      <c r="C50" s="22" t="s">
        <v>29</v>
      </c>
      <c r="D50" s="22" t="s">
        <v>36</v>
      </c>
      <c r="E50" s="22" t="s">
        <v>10</v>
      </c>
      <c r="F50" s="22">
        <v>5</v>
      </c>
      <c r="G50" s="23">
        <v>926.71</v>
      </c>
      <c r="H50" s="25" t="str">
        <f>IF(COUNTIF(tbl_clean_sales[Invoice_ID],tbl_clean_sales[[#This Row],[Invoice_ID]])&gt;1,"Duplicate","Unique")</f>
        <v>Duplicate</v>
      </c>
      <c r="I50" s="25"/>
      <c r="J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" s="25" t="str">
        <f>IFERROR(VLOOKUP(tbl_clean_sales[[#This Row],[Employee_ID]],'02_Employee_Master'!$A$1:$C$12,2,FALSE),"Employee Name Missing")</f>
        <v>Swetha L</v>
      </c>
      <c r="L50" s="25" t="str">
        <f>IFERROR(VLOOKUP(tbl_clean_sales[[#This Row],[Employee_ID]],'02_Employee_Master'!$A$1:$C$12,3,FALSE),"Department Name Missing")</f>
        <v>Sales</v>
      </c>
      <c r="M50" s="25" t="str">
        <f>IF('03_Clean_data'!D50="","Missing",IFERROR(IF(VLOOKUP(D50,'03_Product_Master'!$A$1:$D$14,1,FALSE)='03_Clean_data'!D50,"Valid","Invalid"),"Invalid"))</f>
        <v>Valid</v>
      </c>
      <c r="N50" s="25" t="str">
        <f>IFERROR(VLOOKUP(tbl_clean_sales[[#This Row],[Product_ID]],'03_Product_Master'!$A$1:$D$14,2,FALSE),"Missing")</f>
        <v>Dish Wash</v>
      </c>
      <c r="O50" s="25" t="str">
        <f>IFERROR(VLOOKUP(tbl_clean_sales[[#This Row],[Product_ID]],'03_Product_Master'!$A$1:$D$14,3,FALSE),"Missing")</f>
        <v>Home Care</v>
      </c>
      <c r="P50" s="25">
        <f>IFERROR(VLOOKUP(tbl_clean_sales[[#This Row],[Product_ID]],'03_Product_Master'!$A$1:$D$14,4,FALSE),"Missing")</f>
        <v>190</v>
      </c>
      <c r="Q50" s="25" t="str">
        <f>IF('03_Clean_data'!E50="","Missing",IFERROR(IF(VLOOKUP(E50,'04_Branch_Master'!$A$1:$C$7,1,FALSE)='03_Clean_data'!E50,"Valid","Invalid"),"Invalid"))</f>
        <v>Valid</v>
      </c>
      <c r="R50" s="25" t="str">
        <f>IFERROR(VLOOKUP(tbl_clean_sales[[#This Row],[Branch_ID]],'04_Branch_Master'!$A$1:$C$7,2,FALSE),"Missing")</f>
        <v>Dharapuram</v>
      </c>
      <c r="S50" s="25" t="str">
        <f>IFERROR(VLOOKUP(tbl_clean_sales[[#This Row],[Branch_ID]],'04_Branch_Master'!$A$1:$C$7,3,FALSE),"Missing")</f>
        <v>South</v>
      </c>
      <c r="T50" s="25" t="str">
        <f>C50&amp;"|"&amp;TEXT(tbl_clean_sales[[#This Row],[Date]],"yyyymm")</f>
        <v>E010|202606</v>
      </c>
      <c r="U50" s="25">
        <f>IFERROR(INDEX('05_Target_Master'!$A$1:$F$32,MATCH(tbl_clean_sales[[#This Row],[target key]],'05_Target_Master'!$F$1:$F$32,0),3),"Missing")</f>
        <v>116800</v>
      </c>
    </row>
    <row r="51" spans="1:21" x14ac:dyDescent="0.3">
      <c r="A51" s="21">
        <v>46153</v>
      </c>
      <c r="B51" s="24" t="s">
        <v>81</v>
      </c>
      <c r="C51" s="22" t="s">
        <v>12</v>
      </c>
      <c r="D51" s="22" t="s">
        <v>82</v>
      </c>
      <c r="E51" s="22" t="s">
        <v>14</v>
      </c>
      <c r="F51" s="22">
        <v>11</v>
      </c>
      <c r="G51" s="23">
        <v>1217.75</v>
      </c>
      <c r="H51" s="25" t="str">
        <f>IF(COUNTIF(tbl_clean_sales[Invoice_ID],tbl_clean_sales[[#This Row],[Invoice_ID]])&gt;1,"Duplicate","Unique")</f>
        <v>Duplicate</v>
      </c>
      <c r="I51" s="25" t="s">
        <v>933</v>
      </c>
      <c r="J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" s="25" t="str">
        <f>IFERROR(VLOOKUP(tbl_clean_sales[[#This Row],[Employee_ID]],'02_Employee_Master'!$A$1:$C$12,2,FALSE),"Employee Name Missing")</f>
        <v>Divya R</v>
      </c>
      <c r="L51" s="25" t="str">
        <f>IFERROR(VLOOKUP(tbl_clean_sales[[#This Row],[Employee_ID]],'02_Employee_Master'!$A$1:$C$12,3,FALSE),"Department Name Missing")</f>
        <v>Sales</v>
      </c>
      <c r="M51" s="25" t="str">
        <f>IF('03_Clean_data'!D51="","Missing",IFERROR(IF(VLOOKUP(D51,'03_Product_Master'!$A$1:$D$14,1,FALSE)='03_Clean_data'!D51,"Valid","Invalid"),"Invalid"))</f>
        <v>Valid</v>
      </c>
      <c r="N51" s="25" t="str">
        <f>IFERROR(VLOOKUP(tbl_clean_sales[[#This Row],[Product_ID]],'03_Product_Master'!$A$1:$D$14,2,FALSE),"Missing")</f>
        <v>Chocolate Bar</v>
      </c>
      <c r="O51" s="25" t="str">
        <f>IFERROR(VLOOKUP(tbl_clean_sales[[#This Row],[Product_ID]],'03_Product_Master'!$A$1:$D$14,3,FALSE),"Missing")</f>
        <v>Snacks</v>
      </c>
      <c r="P51" s="25">
        <f>IFERROR(VLOOKUP(tbl_clean_sales[[#This Row],[Product_ID]],'03_Product_Master'!$A$1:$D$14,4,FALSE),"Missing")</f>
        <v>120</v>
      </c>
      <c r="Q51" s="25" t="str">
        <f>IF('03_Clean_data'!E51="","Missing",IFERROR(IF(VLOOKUP(E51,'04_Branch_Master'!$A$1:$C$7,1,FALSE)='03_Clean_data'!E51,"Valid","Invalid"),"Invalid"))</f>
        <v>Valid</v>
      </c>
      <c r="R51" s="25" t="str">
        <f>IFERROR(VLOOKUP(tbl_clean_sales[[#This Row],[Branch_ID]],'04_Branch_Master'!$A$1:$C$7,2,FALSE),"Missing")</f>
        <v>Avinashi Road</v>
      </c>
      <c r="S51" s="25" t="str">
        <f>IFERROR(VLOOKUP(tbl_clean_sales[[#This Row],[Branch_ID]],'04_Branch_Master'!$A$1:$C$7,3,FALSE),"Missing")</f>
        <v>North</v>
      </c>
      <c r="T51" s="25" t="str">
        <f>C51&amp;"|"&amp;TEXT(tbl_clean_sales[[#This Row],[Date]],"yyyymm")</f>
        <v>E004|202605</v>
      </c>
      <c r="U51" s="25">
        <f>IFERROR(INDEX('05_Target_Master'!$A$1:$F$32,MATCH(tbl_clean_sales[[#This Row],[target key]],'05_Target_Master'!$F$1:$F$32,0),3),"Missing")</f>
        <v>176700</v>
      </c>
    </row>
    <row r="52" spans="1:21" x14ac:dyDescent="0.3">
      <c r="A52" s="21">
        <v>46171</v>
      </c>
      <c r="B52" s="22" t="s">
        <v>83</v>
      </c>
      <c r="C52" s="22" t="s">
        <v>40</v>
      </c>
      <c r="D52" s="22" t="s">
        <v>9</v>
      </c>
      <c r="E52" s="22" t="s">
        <v>26</v>
      </c>
      <c r="F52" s="22">
        <v>10</v>
      </c>
      <c r="G52" s="23">
        <v>2464.52</v>
      </c>
      <c r="H52" s="25" t="str">
        <f>IF(COUNTIF(tbl_clean_sales[Invoice_ID],tbl_clean_sales[[#This Row],[Invoice_ID]])&gt;1,"Duplicate","Unique")</f>
        <v>Unique</v>
      </c>
      <c r="I52" s="25"/>
      <c r="J5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" s="25" t="str">
        <f>IFERROR(VLOOKUP(tbl_clean_sales[[#This Row],[Employee_ID]],'02_Employee_Master'!$A$1:$C$12,2,FALSE),"Employee Name Missing")</f>
        <v>Meena V</v>
      </c>
      <c r="L52" s="25" t="str">
        <f>IFERROR(VLOOKUP(tbl_clean_sales[[#This Row],[Employee_ID]],'02_Employee_Master'!$A$1:$C$12,3,FALSE),"Department Name Missing")</f>
        <v>Sales</v>
      </c>
      <c r="M52" s="25" t="str">
        <f>IF('03_Clean_data'!D52="","Missing",IFERROR(IF(VLOOKUP(D52,'03_Product_Master'!$A$1:$D$14,1,FALSE)='03_Clean_data'!D52,"Valid","Invalid"),"Invalid"))</f>
        <v>Valid</v>
      </c>
      <c r="N52" s="25" t="str">
        <f>IFERROR(VLOOKUP(tbl_clean_sales[[#This Row],[Product_ID]],'03_Product_Master'!$A$1:$D$14,2,FALSE),"Missing")</f>
        <v>Green Tea</v>
      </c>
      <c r="O52" s="25" t="str">
        <f>IFERROR(VLOOKUP(tbl_clean_sales[[#This Row],[Product_ID]],'03_Product_Master'!$A$1:$D$14,3,FALSE),"Missing")</f>
        <v>Beverages</v>
      </c>
      <c r="P52" s="25">
        <f>IFERROR(VLOOKUP(tbl_clean_sales[[#This Row],[Product_ID]],'03_Product_Master'!$A$1:$D$14,4,FALSE),"Missing")</f>
        <v>280</v>
      </c>
      <c r="Q52" s="25" t="str">
        <f>IF('03_Clean_data'!E52="","Missing",IFERROR(IF(VLOOKUP(E52,'04_Branch_Master'!$A$1:$C$7,1,FALSE)='03_Clean_data'!E52,"Valid","Invalid"),"Invalid"))</f>
        <v>Valid</v>
      </c>
      <c r="R52" s="25" t="str">
        <f>IFERROR(VLOOKUP(tbl_clean_sales[[#This Row],[Branch_ID]],'04_Branch_Master'!$A$1:$C$7,2,FALSE),"Missing")</f>
        <v>Palladam</v>
      </c>
      <c r="S52" s="25" t="str">
        <f>IFERROR(VLOOKUP(tbl_clean_sales[[#This Row],[Branch_ID]],'04_Branch_Master'!$A$1:$C$7,3,FALSE),"Missing")</f>
        <v>South</v>
      </c>
      <c r="T52" s="25" t="str">
        <f>C52&amp;"|"&amp;TEXT(tbl_clean_sales[[#This Row],[Date]],"yyyymm")</f>
        <v>E006|202605</v>
      </c>
      <c r="U52" s="25">
        <f>IFERROR(INDEX('05_Target_Master'!$A$1:$F$32,MATCH(tbl_clean_sales[[#This Row],[target key]],'05_Target_Master'!$F$1:$F$32,0),3),"Missing")</f>
        <v>141500</v>
      </c>
    </row>
    <row r="53" spans="1:21" x14ac:dyDescent="0.3">
      <c r="A53" s="21">
        <v>46125</v>
      </c>
      <c r="B53" s="22" t="s">
        <v>84</v>
      </c>
      <c r="C53" s="22" t="s">
        <v>21</v>
      </c>
      <c r="D53" s="22" t="s">
        <v>13</v>
      </c>
      <c r="E53" s="22" t="s">
        <v>22</v>
      </c>
      <c r="F53" s="22">
        <v>5</v>
      </c>
      <c r="G53" s="23">
        <v>1919.01</v>
      </c>
      <c r="H53" s="25" t="str">
        <f>IF(COUNTIF(tbl_clean_sales[Invoice_ID],tbl_clean_sales[[#This Row],[Invoice_ID]])&gt;1,"Duplicate","Unique")</f>
        <v>Unique</v>
      </c>
      <c r="I53" s="25"/>
      <c r="J5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" s="25" t="str">
        <f>IFERROR(VLOOKUP(tbl_clean_sales[[#This Row],[Employee_ID]],'02_Employee_Master'!$A$1:$C$12,2,FALSE),"Employee Name Missing")</f>
        <v>Priya S</v>
      </c>
      <c r="L53" s="25" t="str">
        <f>IFERROR(VLOOKUP(tbl_clean_sales[[#This Row],[Employee_ID]],'02_Employee_Master'!$A$1:$C$12,3,FALSE),"Department Name Missing")</f>
        <v>Sales</v>
      </c>
      <c r="M53" s="25" t="str">
        <f>IF('03_Clean_data'!D53="","Missing",IFERROR(IF(VLOOKUP(D53,'03_Product_Master'!$A$1:$D$14,1,FALSE)='03_Clean_data'!D53,"Valid","Invalid"),"Invalid"))</f>
        <v>Valid</v>
      </c>
      <c r="N53" s="25" t="str">
        <f>IFERROR(VLOOKUP(tbl_clean_sales[[#This Row],[Product_ID]],'03_Product_Master'!$A$1:$D$14,2,FALSE),"Missing")</f>
        <v>Body Lotion</v>
      </c>
      <c r="O53" s="25" t="str">
        <f>IFERROR(VLOOKUP(tbl_clean_sales[[#This Row],[Product_ID]],'03_Product_Master'!$A$1:$D$14,3,FALSE),"Missing")</f>
        <v>Personal Care</v>
      </c>
      <c r="P53" s="25">
        <f>IFERROR(VLOOKUP(tbl_clean_sales[[#This Row],[Product_ID]],'03_Product_Master'!$A$1:$D$14,4,FALSE),"Missing")</f>
        <v>390</v>
      </c>
      <c r="Q53" s="25" t="str">
        <f>IF('03_Clean_data'!E53="","Missing",IFERROR(IF(VLOOKUP(E53,'04_Branch_Master'!$A$1:$C$7,1,FALSE)='03_Clean_data'!E53,"Valid","Invalid"),"Invalid"))</f>
        <v>Valid</v>
      </c>
      <c r="R53" s="25" t="str">
        <f>IFERROR(VLOOKUP(tbl_clean_sales[[#This Row],[Branch_ID]],'04_Branch_Master'!$A$1:$C$7,2,FALSE),"Missing")</f>
        <v>Tirupur Central</v>
      </c>
      <c r="S53" s="25" t="str">
        <f>IFERROR(VLOOKUP(tbl_clean_sales[[#This Row],[Branch_ID]],'04_Branch_Master'!$A$1:$C$7,3,FALSE),"Missing")</f>
        <v>North</v>
      </c>
      <c r="T53" s="25" t="str">
        <f>C53&amp;"|"&amp;TEXT(tbl_clean_sales[[#This Row],[Date]],"yyyymm")</f>
        <v>E002|202604</v>
      </c>
      <c r="U53" s="25">
        <f>IFERROR(INDEX('05_Target_Master'!$A$1:$F$32,MATCH(tbl_clean_sales[[#This Row],[target key]],'05_Target_Master'!$F$1:$F$32,0),3),"Missing")</f>
        <v>122300</v>
      </c>
    </row>
    <row r="54" spans="1:21" x14ac:dyDescent="0.3">
      <c r="A54" s="21">
        <v>46157</v>
      </c>
      <c r="B54" s="22" t="s">
        <v>85</v>
      </c>
      <c r="C54" s="22" t="s">
        <v>21</v>
      </c>
      <c r="D54" s="22" t="s">
        <v>30</v>
      </c>
      <c r="E54" s="22" t="s">
        <v>22</v>
      </c>
      <c r="F54" s="22">
        <v>3</v>
      </c>
      <c r="G54" s="23">
        <v>454.76</v>
      </c>
      <c r="H54" s="25" t="str">
        <f>IF(COUNTIF(tbl_clean_sales[Invoice_ID],tbl_clean_sales[[#This Row],[Invoice_ID]])&gt;1,"Duplicate","Unique")</f>
        <v>Unique</v>
      </c>
      <c r="I54" s="25"/>
      <c r="J5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" s="25" t="str">
        <f>IFERROR(VLOOKUP(tbl_clean_sales[[#This Row],[Employee_ID]],'02_Employee_Master'!$A$1:$C$12,2,FALSE),"Employee Name Missing")</f>
        <v>Priya S</v>
      </c>
      <c r="L54" s="25" t="str">
        <f>IFERROR(VLOOKUP(tbl_clean_sales[[#This Row],[Employee_ID]],'02_Employee_Master'!$A$1:$C$12,3,FALSE),"Department Name Missing")</f>
        <v>Sales</v>
      </c>
      <c r="M54" s="25" t="str">
        <f>IF('03_Clean_data'!D54="","Missing",IFERROR(IF(VLOOKUP(D54,'03_Product_Master'!$A$1:$D$14,1,FALSE)='03_Clean_data'!D54,"Valid","Invalid"),"Invalid"))</f>
        <v>Valid</v>
      </c>
      <c r="N54" s="25" t="str">
        <f>IFERROR(VLOOKUP(tbl_clean_sales[[#This Row],[Product_ID]],'03_Product_Master'!$A$1:$D$14,2,FALSE),"Missing")</f>
        <v>Cookies Pack</v>
      </c>
      <c r="O54" s="25" t="str">
        <f>IFERROR(VLOOKUP(tbl_clean_sales[[#This Row],[Product_ID]],'03_Product_Master'!$A$1:$D$14,3,FALSE),"Missing")</f>
        <v>Snacks</v>
      </c>
      <c r="P54" s="25">
        <f>IFERROR(VLOOKUP(tbl_clean_sales[[#This Row],[Product_ID]],'03_Product_Master'!$A$1:$D$14,4,FALSE),"Missing")</f>
        <v>160</v>
      </c>
      <c r="Q54" s="25" t="str">
        <f>IF('03_Clean_data'!E54="","Missing",IFERROR(IF(VLOOKUP(E54,'04_Branch_Master'!$A$1:$C$7,1,FALSE)='03_Clean_data'!E54,"Valid","Invalid"),"Invalid"))</f>
        <v>Valid</v>
      </c>
      <c r="R54" s="25" t="str">
        <f>IFERROR(VLOOKUP(tbl_clean_sales[[#This Row],[Branch_ID]],'04_Branch_Master'!$A$1:$C$7,2,FALSE),"Missing")</f>
        <v>Tirupur Central</v>
      </c>
      <c r="S54" s="25" t="str">
        <f>IFERROR(VLOOKUP(tbl_clean_sales[[#This Row],[Branch_ID]],'04_Branch_Master'!$A$1:$C$7,3,FALSE),"Missing")</f>
        <v>North</v>
      </c>
      <c r="T54" s="25" t="str">
        <f>C54&amp;"|"&amp;TEXT(tbl_clean_sales[[#This Row],[Date]],"yyyymm")</f>
        <v>E002|202605</v>
      </c>
      <c r="U54" s="25">
        <f>IFERROR(INDEX('05_Target_Master'!$A$1:$F$32,MATCH(tbl_clean_sales[[#This Row],[target key]],'05_Target_Master'!$F$1:$F$32,0),3),"Missing")</f>
        <v>132100</v>
      </c>
    </row>
    <row r="55" spans="1:21" x14ac:dyDescent="0.3">
      <c r="A55" s="21">
        <v>46182</v>
      </c>
      <c r="B55" s="22" t="s">
        <v>86</v>
      </c>
      <c r="C55" s="22" t="s">
        <v>24</v>
      </c>
      <c r="D55" s="22" t="s">
        <v>36</v>
      </c>
      <c r="E55" s="22" t="s">
        <v>10</v>
      </c>
      <c r="F55" s="22">
        <v>1</v>
      </c>
      <c r="G55" s="23">
        <v>174.77</v>
      </c>
      <c r="H55" s="25" t="str">
        <f>IF(COUNTIF(tbl_clean_sales[Invoice_ID],tbl_clean_sales[[#This Row],[Invoice_ID]])&gt;1,"Duplicate","Unique")</f>
        <v>Unique</v>
      </c>
      <c r="I55" s="25"/>
      <c r="J5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" s="25" t="str">
        <f>IFERROR(VLOOKUP(tbl_clean_sales[[#This Row],[Employee_ID]],'02_Employee_Master'!$A$1:$C$12,2,FALSE),"Employee Name Missing")</f>
        <v>Karthik P</v>
      </c>
      <c r="L55" s="25" t="str">
        <f>IFERROR(VLOOKUP(tbl_clean_sales[[#This Row],[Employee_ID]],'02_Employee_Master'!$A$1:$C$12,3,FALSE),"Department Name Missing")</f>
        <v>Sales</v>
      </c>
      <c r="M55" s="25" t="str">
        <f>IF('03_Clean_data'!D55="","Missing",IFERROR(IF(VLOOKUP(D55,'03_Product_Master'!$A$1:$D$14,1,FALSE)='03_Clean_data'!D55,"Valid","Invalid"),"Invalid"))</f>
        <v>Valid</v>
      </c>
      <c r="N55" s="25" t="str">
        <f>IFERROR(VLOOKUP(tbl_clean_sales[[#This Row],[Product_ID]],'03_Product_Master'!$A$1:$D$14,2,FALSE),"Missing")</f>
        <v>Dish Wash</v>
      </c>
      <c r="O55" s="25" t="str">
        <f>IFERROR(VLOOKUP(tbl_clean_sales[[#This Row],[Product_ID]],'03_Product_Master'!$A$1:$D$14,3,FALSE),"Missing")</f>
        <v>Home Care</v>
      </c>
      <c r="P55" s="25">
        <f>IFERROR(VLOOKUP(tbl_clean_sales[[#This Row],[Product_ID]],'03_Product_Master'!$A$1:$D$14,4,FALSE),"Missing")</f>
        <v>190</v>
      </c>
      <c r="Q55" s="25" t="str">
        <f>IF('03_Clean_data'!E55="","Missing",IFERROR(IF(VLOOKUP(E55,'04_Branch_Master'!$A$1:$C$7,1,FALSE)='03_Clean_data'!E55,"Valid","Invalid"),"Invalid"))</f>
        <v>Valid</v>
      </c>
      <c r="R55" s="25" t="str">
        <f>IFERROR(VLOOKUP(tbl_clean_sales[[#This Row],[Branch_ID]],'04_Branch_Master'!$A$1:$C$7,2,FALSE),"Missing")</f>
        <v>Dharapuram</v>
      </c>
      <c r="S55" s="25" t="str">
        <f>IFERROR(VLOOKUP(tbl_clean_sales[[#This Row],[Branch_ID]],'04_Branch_Master'!$A$1:$C$7,3,FALSE),"Missing")</f>
        <v>South</v>
      </c>
      <c r="T55" s="25" t="str">
        <f>C55&amp;"|"&amp;TEXT(tbl_clean_sales[[#This Row],[Date]],"yyyymm")</f>
        <v>E005|202606</v>
      </c>
      <c r="U55" s="25">
        <f>IFERROR(INDEX('05_Target_Master'!$A$1:$F$32,MATCH(tbl_clean_sales[[#This Row],[target key]],'05_Target_Master'!$F$1:$F$32,0),3),"Missing")</f>
        <v>127700</v>
      </c>
    </row>
    <row r="56" spans="1:21" x14ac:dyDescent="0.3">
      <c r="A56" s="21">
        <v>46183</v>
      </c>
      <c r="B56" s="22" t="s">
        <v>87</v>
      </c>
      <c r="C56" s="22" t="s">
        <v>24</v>
      </c>
      <c r="D56" s="22" t="s">
        <v>43</v>
      </c>
      <c r="E56" s="22" t="s">
        <v>26</v>
      </c>
      <c r="F56" s="22">
        <v>3</v>
      </c>
      <c r="G56" s="23">
        <v>987.63</v>
      </c>
      <c r="H56" s="25" t="str">
        <f>IF(COUNTIF(tbl_clean_sales[Invoice_ID],tbl_clean_sales[[#This Row],[Invoice_ID]])&gt;1,"Duplicate","Unique")</f>
        <v>Unique</v>
      </c>
      <c r="I56" s="25"/>
      <c r="J5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" s="25" t="str">
        <f>IFERROR(VLOOKUP(tbl_clean_sales[[#This Row],[Employee_ID]],'02_Employee_Master'!$A$1:$C$12,2,FALSE),"Employee Name Missing")</f>
        <v>Karthik P</v>
      </c>
      <c r="L56" s="25" t="str">
        <f>IFERROR(VLOOKUP(tbl_clean_sales[[#This Row],[Employee_ID]],'02_Employee_Master'!$A$1:$C$12,3,FALSE),"Department Name Missing")</f>
        <v>Sales</v>
      </c>
      <c r="M56" s="25" t="str">
        <f>IF('03_Clean_data'!D56="","Missing",IFERROR(IF(VLOOKUP(D56,'03_Product_Master'!$A$1:$D$14,1,FALSE)='03_Clean_data'!D56,"Valid","Invalid"),"Invalid"))</f>
        <v>Valid</v>
      </c>
      <c r="N56" s="25" t="str">
        <f>IFERROR(VLOOKUP(tbl_clean_sales[[#This Row],[Product_ID]],'03_Product_Master'!$A$1:$D$14,2,FALSE),"Missing")</f>
        <v>Laundry Liquid</v>
      </c>
      <c r="O56" s="25" t="str">
        <f>IFERROR(VLOOKUP(tbl_clean_sales[[#This Row],[Product_ID]],'03_Product_Master'!$A$1:$D$14,3,FALSE),"Missing")</f>
        <v>Home Care</v>
      </c>
      <c r="P56" s="25">
        <f>IFERROR(VLOOKUP(tbl_clean_sales[[#This Row],[Product_ID]],'03_Product_Master'!$A$1:$D$14,4,FALSE),"Missing")</f>
        <v>340</v>
      </c>
      <c r="Q56" s="25" t="str">
        <f>IF('03_Clean_data'!E56="","Missing",IFERROR(IF(VLOOKUP(E56,'04_Branch_Master'!$A$1:$C$7,1,FALSE)='03_Clean_data'!E56,"Valid","Invalid"),"Invalid"))</f>
        <v>Valid</v>
      </c>
      <c r="R56" s="25" t="str">
        <f>IFERROR(VLOOKUP(tbl_clean_sales[[#This Row],[Branch_ID]],'04_Branch_Master'!$A$1:$C$7,2,FALSE),"Missing")</f>
        <v>Palladam</v>
      </c>
      <c r="S56" s="25" t="str">
        <f>IFERROR(VLOOKUP(tbl_clean_sales[[#This Row],[Branch_ID]],'04_Branch_Master'!$A$1:$C$7,3,FALSE),"Missing")</f>
        <v>South</v>
      </c>
      <c r="T56" s="25" t="str">
        <f>C56&amp;"|"&amp;TEXT(tbl_clean_sales[[#This Row],[Date]],"yyyymm")</f>
        <v>E005|202606</v>
      </c>
      <c r="U56" s="25">
        <f>IFERROR(INDEX('05_Target_Master'!$A$1:$F$32,MATCH(tbl_clean_sales[[#This Row],[target key]],'05_Target_Master'!$F$1:$F$32,0),3),"Missing")</f>
        <v>127700</v>
      </c>
    </row>
    <row r="57" spans="1:21" x14ac:dyDescent="0.3">
      <c r="A57" s="21">
        <v>46126</v>
      </c>
      <c r="B57" s="22" t="s">
        <v>88</v>
      </c>
      <c r="C57" s="22" t="s">
        <v>8</v>
      </c>
      <c r="D57" s="22" t="s">
        <v>53</v>
      </c>
      <c r="E57" s="22" t="s">
        <v>10</v>
      </c>
      <c r="F57" s="22">
        <v>10</v>
      </c>
      <c r="G57" s="23">
        <v>3411.54</v>
      </c>
      <c r="H57" s="25" t="str">
        <f>IF(COUNTIF(tbl_clean_sales[Invoice_ID],tbl_clean_sales[[#This Row],[Invoice_ID]])&gt;1,"Duplicate","Unique")</f>
        <v>Unique</v>
      </c>
      <c r="I57" s="25"/>
      <c r="J5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" s="25" t="str">
        <f>IFERROR(VLOOKUP(tbl_clean_sales[[#This Row],[Employee_ID]],'02_Employee_Master'!$A$1:$C$12,2,FALSE),"Employee Name Missing")</f>
        <v>Vignesh R</v>
      </c>
      <c r="L57" s="25" t="str">
        <f>IFERROR(VLOOKUP(tbl_clean_sales[[#This Row],[Employee_ID]],'02_Employee_Master'!$A$1:$C$12,3,FALSE),"Department Name Missing")</f>
        <v>Sales</v>
      </c>
      <c r="M57" s="25" t="str">
        <f>IF('03_Clean_data'!D57="","Missing",IFERROR(IF(VLOOKUP(D57,'03_Product_Master'!$A$1:$D$14,1,FALSE)='03_Clean_data'!D57,"Valid","Invalid"),"Invalid"))</f>
        <v>Valid</v>
      </c>
      <c r="N57" s="25" t="str">
        <f>IFERROR(VLOOKUP(tbl_clean_sales[[#This Row],[Product_ID]],'03_Product_Master'!$A$1:$D$14,2,FALSE),"Missing")</f>
        <v>Instant Coffee</v>
      </c>
      <c r="O57" s="25" t="str">
        <f>IFERROR(VLOOKUP(tbl_clean_sales[[#This Row],[Product_ID]],'03_Product_Master'!$A$1:$D$14,3,FALSE),"Missing")</f>
        <v>Beverages</v>
      </c>
      <c r="P57" s="25">
        <f>IFERROR(VLOOKUP(tbl_clean_sales[[#This Row],[Product_ID]],'03_Product_Master'!$A$1:$D$14,4,FALSE),"Missing")</f>
        <v>350</v>
      </c>
      <c r="Q57" s="25" t="str">
        <f>IF('03_Clean_data'!E57="","Missing",IFERROR(IF(VLOOKUP(E57,'04_Branch_Master'!$A$1:$C$7,1,FALSE)='03_Clean_data'!E57,"Valid","Invalid"),"Invalid"))</f>
        <v>Valid</v>
      </c>
      <c r="R57" s="25" t="str">
        <f>IFERROR(VLOOKUP(tbl_clean_sales[[#This Row],[Branch_ID]],'04_Branch_Master'!$A$1:$C$7,2,FALSE),"Missing")</f>
        <v>Dharapuram</v>
      </c>
      <c r="S57" s="25" t="str">
        <f>IFERROR(VLOOKUP(tbl_clean_sales[[#This Row],[Branch_ID]],'04_Branch_Master'!$A$1:$C$7,3,FALSE),"Missing")</f>
        <v>South</v>
      </c>
      <c r="T57" s="25" t="str">
        <f>C57&amp;"|"&amp;TEXT(tbl_clean_sales[[#This Row],[Date]],"yyyymm")</f>
        <v>E009|202604</v>
      </c>
      <c r="U57" s="25">
        <f>IFERROR(INDEX('05_Target_Master'!$A$1:$F$32,MATCH(tbl_clean_sales[[#This Row],[target key]],'05_Target_Master'!$F$1:$F$32,0),3),"Missing")</f>
        <v>163300</v>
      </c>
    </row>
    <row r="58" spans="1:21" x14ac:dyDescent="0.3">
      <c r="A58" s="21">
        <v>46156</v>
      </c>
      <c r="B58" s="22" t="s">
        <v>89</v>
      </c>
      <c r="C58" s="22" t="s">
        <v>12</v>
      </c>
      <c r="D58" s="22" t="s">
        <v>43</v>
      </c>
      <c r="E58" s="22" t="s">
        <v>14</v>
      </c>
      <c r="F58" s="22">
        <v>5</v>
      </c>
      <c r="G58" s="23">
        <v>1596.9</v>
      </c>
      <c r="H58" s="25" t="str">
        <f>IF(COUNTIF(tbl_clean_sales[Invoice_ID],tbl_clean_sales[[#This Row],[Invoice_ID]])&gt;1,"Duplicate","Unique")</f>
        <v>Unique</v>
      </c>
      <c r="I58" s="25"/>
      <c r="J5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" s="25" t="str">
        <f>IFERROR(VLOOKUP(tbl_clean_sales[[#This Row],[Employee_ID]],'02_Employee_Master'!$A$1:$C$12,2,FALSE),"Employee Name Missing")</f>
        <v>Divya R</v>
      </c>
      <c r="L58" s="25" t="str">
        <f>IFERROR(VLOOKUP(tbl_clean_sales[[#This Row],[Employee_ID]],'02_Employee_Master'!$A$1:$C$12,3,FALSE),"Department Name Missing")</f>
        <v>Sales</v>
      </c>
      <c r="M58" s="25" t="str">
        <f>IF('03_Clean_data'!D58="","Missing",IFERROR(IF(VLOOKUP(D58,'03_Product_Master'!$A$1:$D$14,1,FALSE)='03_Clean_data'!D58,"Valid","Invalid"),"Invalid"))</f>
        <v>Valid</v>
      </c>
      <c r="N58" s="25" t="str">
        <f>IFERROR(VLOOKUP(tbl_clean_sales[[#This Row],[Product_ID]],'03_Product_Master'!$A$1:$D$14,2,FALSE),"Missing")</f>
        <v>Laundry Liquid</v>
      </c>
      <c r="O58" s="25" t="str">
        <f>IFERROR(VLOOKUP(tbl_clean_sales[[#This Row],[Product_ID]],'03_Product_Master'!$A$1:$D$14,3,FALSE),"Missing")</f>
        <v>Home Care</v>
      </c>
      <c r="P58" s="25">
        <f>IFERROR(VLOOKUP(tbl_clean_sales[[#This Row],[Product_ID]],'03_Product_Master'!$A$1:$D$14,4,FALSE),"Missing")</f>
        <v>340</v>
      </c>
      <c r="Q58" s="25" t="str">
        <f>IF('03_Clean_data'!E58="","Missing",IFERROR(IF(VLOOKUP(E58,'04_Branch_Master'!$A$1:$C$7,1,FALSE)='03_Clean_data'!E58,"Valid","Invalid"),"Invalid"))</f>
        <v>Valid</v>
      </c>
      <c r="R58" s="25" t="str">
        <f>IFERROR(VLOOKUP(tbl_clean_sales[[#This Row],[Branch_ID]],'04_Branch_Master'!$A$1:$C$7,2,FALSE),"Missing")</f>
        <v>Avinashi Road</v>
      </c>
      <c r="S58" s="25" t="str">
        <f>IFERROR(VLOOKUP(tbl_clean_sales[[#This Row],[Branch_ID]],'04_Branch_Master'!$A$1:$C$7,3,FALSE),"Missing")</f>
        <v>North</v>
      </c>
      <c r="T58" s="25" t="str">
        <f>C58&amp;"|"&amp;TEXT(tbl_clean_sales[[#This Row],[Date]],"yyyymm")</f>
        <v>E004|202605</v>
      </c>
      <c r="U58" s="25">
        <f>IFERROR(INDEX('05_Target_Master'!$A$1:$F$32,MATCH(tbl_clean_sales[[#This Row],[target key]],'05_Target_Master'!$F$1:$F$32,0),3),"Missing")</f>
        <v>176700</v>
      </c>
    </row>
    <row r="59" spans="1:21" x14ac:dyDescent="0.3">
      <c r="A59" s="21">
        <v>46145</v>
      </c>
      <c r="B59" s="22" t="s">
        <v>90</v>
      </c>
      <c r="C59" s="22" t="s">
        <v>74</v>
      </c>
      <c r="D59" s="22" t="s">
        <v>9</v>
      </c>
      <c r="E59" s="22" t="s">
        <v>22</v>
      </c>
      <c r="F59" s="22">
        <v>5</v>
      </c>
      <c r="G59" s="23">
        <v>1392.59</v>
      </c>
      <c r="H59" s="25" t="str">
        <f>IF(COUNTIF(tbl_clean_sales[Invoice_ID],tbl_clean_sales[[#This Row],[Invoice_ID]])&gt;1,"Duplicate","Unique")</f>
        <v>Unique</v>
      </c>
      <c r="I59" s="25"/>
      <c r="J5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" s="25" t="str">
        <f>IFERROR(VLOOKUP(tbl_clean_sales[[#This Row],[Employee_ID]],'02_Employee_Master'!$A$1:$C$12,2,FALSE),"Employee Name Missing")</f>
        <v>Arun Kumar</v>
      </c>
      <c r="L59" s="25" t="str">
        <f>IFERROR(VLOOKUP(tbl_clean_sales[[#This Row],[Employee_ID]],'02_Employee_Master'!$A$1:$C$12,3,FALSE),"Department Name Missing")</f>
        <v>Sales</v>
      </c>
      <c r="M59" s="25" t="str">
        <f>IF('03_Clean_data'!D59="","Missing",IFERROR(IF(VLOOKUP(D59,'03_Product_Master'!$A$1:$D$14,1,FALSE)='03_Clean_data'!D59,"Valid","Invalid"),"Invalid"))</f>
        <v>Valid</v>
      </c>
      <c r="N59" s="25" t="str">
        <f>IFERROR(VLOOKUP(tbl_clean_sales[[#This Row],[Product_ID]],'03_Product_Master'!$A$1:$D$14,2,FALSE),"Missing")</f>
        <v>Green Tea</v>
      </c>
      <c r="O59" s="25" t="str">
        <f>IFERROR(VLOOKUP(tbl_clean_sales[[#This Row],[Product_ID]],'03_Product_Master'!$A$1:$D$14,3,FALSE),"Missing")</f>
        <v>Beverages</v>
      </c>
      <c r="P59" s="25">
        <f>IFERROR(VLOOKUP(tbl_clean_sales[[#This Row],[Product_ID]],'03_Product_Master'!$A$1:$D$14,4,FALSE),"Missing")</f>
        <v>280</v>
      </c>
      <c r="Q59" s="25" t="str">
        <f>IF('03_Clean_data'!E59="","Missing",IFERROR(IF(VLOOKUP(E59,'04_Branch_Master'!$A$1:$C$7,1,FALSE)='03_Clean_data'!E59,"Valid","Invalid"),"Invalid"))</f>
        <v>Valid</v>
      </c>
      <c r="R59" s="25" t="str">
        <f>IFERROR(VLOOKUP(tbl_clean_sales[[#This Row],[Branch_ID]],'04_Branch_Master'!$A$1:$C$7,2,FALSE),"Missing")</f>
        <v>Tirupur Central</v>
      </c>
      <c r="S59" s="25" t="str">
        <f>IFERROR(VLOOKUP(tbl_clean_sales[[#This Row],[Branch_ID]],'04_Branch_Master'!$A$1:$C$7,3,FALSE),"Missing")</f>
        <v>North</v>
      </c>
      <c r="T59" s="25" t="str">
        <f>C59&amp;"|"&amp;TEXT(tbl_clean_sales[[#This Row],[Date]],"yyyymm")</f>
        <v>E001|202605</v>
      </c>
      <c r="U59" s="25">
        <f>IFERROR(INDEX('05_Target_Master'!$A$1:$F$32,MATCH(tbl_clean_sales[[#This Row],[target key]],'05_Target_Master'!$F$1:$F$32,0),3),"Missing")</f>
        <v>169500</v>
      </c>
    </row>
    <row r="60" spans="1:21" x14ac:dyDescent="0.3">
      <c r="A60" s="21">
        <v>46155</v>
      </c>
      <c r="B60" s="22" t="s">
        <v>91</v>
      </c>
      <c r="C60" s="22" t="s">
        <v>18</v>
      </c>
      <c r="D60" s="22" t="s">
        <v>43</v>
      </c>
      <c r="E60" s="22" t="s">
        <v>14</v>
      </c>
      <c r="F60" s="22">
        <v>12</v>
      </c>
      <c r="G60" s="23">
        <v>3863.68</v>
      </c>
      <c r="H60" s="25" t="str">
        <f>IF(COUNTIF(tbl_clean_sales[Invoice_ID],tbl_clean_sales[[#This Row],[Invoice_ID]])&gt;1,"Duplicate","Unique")</f>
        <v>Unique</v>
      </c>
      <c r="I60" s="25"/>
      <c r="J6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" s="25" t="str">
        <f>IFERROR(VLOOKUP(tbl_clean_sales[[#This Row],[Employee_ID]],'02_Employee_Master'!$A$1:$C$12,2,FALSE),"Employee Name Missing")</f>
        <v>Rahul M</v>
      </c>
      <c r="L60" s="25" t="str">
        <f>IFERROR(VLOOKUP(tbl_clean_sales[[#This Row],[Employee_ID]],'02_Employee_Master'!$A$1:$C$12,3,FALSE),"Department Name Missing")</f>
        <v>Sales</v>
      </c>
      <c r="M60" s="25" t="str">
        <f>IF('03_Clean_data'!D60="","Missing",IFERROR(IF(VLOOKUP(D60,'03_Product_Master'!$A$1:$D$14,1,FALSE)='03_Clean_data'!D60,"Valid","Invalid"),"Invalid"))</f>
        <v>Valid</v>
      </c>
      <c r="N60" s="25" t="str">
        <f>IFERROR(VLOOKUP(tbl_clean_sales[[#This Row],[Product_ID]],'03_Product_Master'!$A$1:$D$14,2,FALSE),"Missing")</f>
        <v>Laundry Liquid</v>
      </c>
      <c r="O60" s="25" t="str">
        <f>IFERROR(VLOOKUP(tbl_clean_sales[[#This Row],[Product_ID]],'03_Product_Master'!$A$1:$D$14,3,FALSE),"Missing")</f>
        <v>Home Care</v>
      </c>
      <c r="P60" s="25">
        <f>IFERROR(VLOOKUP(tbl_clean_sales[[#This Row],[Product_ID]],'03_Product_Master'!$A$1:$D$14,4,FALSE),"Missing")</f>
        <v>340</v>
      </c>
      <c r="Q60" s="25" t="str">
        <f>IF('03_Clean_data'!E60="","Missing",IFERROR(IF(VLOOKUP(E60,'04_Branch_Master'!$A$1:$C$7,1,FALSE)='03_Clean_data'!E60,"Valid","Invalid"),"Invalid"))</f>
        <v>Valid</v>
      </c>
      <c r="R60" s="25" t="str">
        <f>IFERROR(VLOOKUP(tbl_clean_sales[[#This Row],[Branch_ID]],'04_Branch_Master'!$A$1:$C$7,2,FALSE),"Missing")</f>
        <v>Avinashi Road</v>
      </c>
      <c r="S60" s="25" t="str">
        <f>IFERROR(VLOOKUP(tbl_clean_sales[[#This Row],[Branch_ID]],'04_Branch_Master'!$A$1:$C$7,3,FALSE),"Missing")</f>
        <v>North</v>
      </c>
      <c r="T60" s="25" t="str">
        <f>C60&amp;"|"&amp;TEXT(tbl_clean_sales[[#This Row],[Date]],"yyyymm")</f>
        <v>E003|202605</v>
      </c>
      <c r="U60" s="25">
        <f>IFERROR(INDEX('05_Target_Master'!$A$1:$F$32,MATCH(tbl_clean_sales[[#This Row],[target key]],'05_Target_Master'!$F$1:$F$32,0),3),"Missing")</f>
        <v>126000</v>
      </c>
    </row>
    <row r="61" spans="1:21" x14ac:dyDescent="0.3">
      <c r="A61" s="21">
        <v>46203</v>
      </c>
      <c r="B61" s="22" t="s">
        <v>92</v>
      </c>
      <c r="C61" s="22" t="s">
        <v>46</v>
      </c>
      <c r="D61" s="22" t="s">
        <v>13</v>
      </c>
      <c r="E61" s="22" t="s">
        <v>32</v>
      </c>
      <c r="F61" s="22">
        <v>2</v>
      </c>
      <c r="G61" s="23">
        <v>691.54</v>
      </c>
      <c r="H61" s="25" t="str">
        <f>IF(COUNTIF(tbl_clean_sales[Invoice_ID],tbl_clean_sales[[#This Row],[Invoice_ID]])&gt;1,"Duplicate","Unique")</f>
        <v>Unique</v>
      </c>
      <c r="I61" s="25"/>
      <c r="J6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" s="25" t="str">
        <f>IFERROR(VLOOKUP(tbl_clean_sales[[#This Row],[Employee_ID]],'02_Employee_Master'!$A$1:$C$12,2,FALSE),"Employee Name Missing")</f>
        <v>Suresh B</v>
      </c>
      <c r="L61" s="25" t="str">
        <f>IFERROR(VLOOKUP(tbl_clean_sales[[#This Row],[Employee_ID]],'02_Employee_Master'!$A$1:$C$12,3,FALSE),"Department Name Missing")</f>
        <v>Sales</v>
      </c>
      <c r="M61" s="25" t="str">
        <f>IF('03_Clean_data'!D61="","Missing",IFERROR(IF(VLOOKUP(D61,'03_Product_Master'!$A$1:$D$14,1,FALSE)='03_Clean_data'!D61,"Valid","Invalid"),"Invalid"))</f>
        <v>Valid</v>
      </c>
      <c r="N61" s="25" t="str">
        <f>IFERROR(VLOOKUP(tbl_clean_sales[[#This Row],[Product_ID]],'03_Product_Master'!$A$1:$D$14,2,FALSE),"Missing")</f>
        <v>Body Lotion</v>
      </c>
      <c r="O61" s="25" t="str">
        <f>IFERROR(VLOOKUP(tbl_clean_sales[[#This Row],[Product_ID]],'03_Product_Master'!$A$1:$D$14,3,FALSE),"Missing")</f>
        <v>Personal Care</v>
      </c>
      <c r="P61" s="25">
        <f>IFERROR(VLOOKUP(tbl_clean_sales[[#This Row],[Product_ID]],'03_Product_Master'!$A$1:$D$14,4,FALSE),"Missing")</f>
        <v>390</v>
      </c>
      <c r="Q61" s="25" t="str">
        <f>IF('03_Clean_data'!E61="","Missing",IFERROR(IF(VLOOKUP(E61,'04_Branch_Master'!$A$1:$C$7,1,FALSE)='03_Clean_data'!E61,"Valid","Invalid"),"Invalid"))</f>
        <v>Valid</v>
      </c>
      <c r="R61" s="25" t="str">
        <f>IFERROR(VLOOKUP(tbl_clean_sales[[#This Row],[Branch_ID]],'04_Branch_Master'!$A$1:$C$7,2,FALSE),"Missing")</f>
        <v>Kangeyam</v>
      </c>
      <c r="S61" s="25" t="str">
        <f>IFERROR(VLOOKUP(tbl_clean_sales[[#This Row],[Branch_ID]],'04_Branch_Master'!$A$1:$C$7,3,FALSE),"Missing")</f>
        <v>East</v>
      </c>
      <c r="T61" s="25" t="str">
        <f>C61&amp;"|"&amp;TEXT(tbl_clean_sales[[#This Row],[Date]],"yyyymm")</f>
        <v>E007|202606</v>
      </c>
      <c r="U61" s="25">
        <f>IFERROR(INDEX('05_Target_Master'!$A$1:$F$32,MATCH(tbl_clean_sales[[#This Row],[target key]],'05_Target_Master'!$F$1:$F$32,0),3),"Missing")</f>
        <v>124400</v>
      </c>
    </row>
    <row r="62" spans="1:21" x14ac:dyDescent="0.3">
      <c r="A62" s="21">
        <v>46201</v>
      </c>
      <c r="B62" s="22" t="s">
        <v>93</v>
      </c>
      <c r="C62" s="22" t="s">
        <v>18</v>
      </c>
      <c r="D62" s="22" t="s">
        <v>13</v>
      </c>
      <c r="E62" s="22" t="s">
        <v>14</v>
      </c>
      <c r="F62" s="22">
        <v>6</v>
      </c>
      <c r="G62" s="23">
        <v>2176.4299999999998</v>
      </c>
      <c r="H62" s="25" t="str">
        <f>IF(COUNTIF(tbl_clean_sales[Invoice_ID],tbl_clean_sales[[#This Row],[Invoice_ID]])&gt;1,"Duplicate","Unique")</f>
        <v>Unique</v>
      </c>
      <c r="I62" s="25"/>
      <c r="J6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" s="25" t="str">
        <f>IFERROR(VLOOKUP(tbl_clean_sales[[#This Row],[Employee_ID]],'02_Employee_Master'!$A$1:$C$12,2,FALSE),"Employee Name Missing")</f>
        <v>Rahul M</v>
      </c>
      <c r="L62" s="25" t="str">
        <f>IFERROR(VLOOKUP(tbl_clean_sales[[#This Row],[Employee_ID]],'02_Employee_Master'!$A$1:$C$12,3,FALSE),"Department Name Missing")</f>
        <v>Sales</v>
      </c>
      <c r="M62" s="25" t="str">
        <f>IF('03_Clean_data'!D62="","Missing",IFERROR(IF(VLOOKUP(D62,'03_Product_Master'!$A$1:$D$14,1,FALSE)='03_Clean_data'!D62,"Valid","Invalid"),"Invalid"))</f>
        <v>Valid</v>
      </c>
      <c r="N62" s="25" t="str">
        <f>IFERROR(VLOOKUP(tbl_clean_sales[[#This Row],[Product_ID]],'03_Product_Master'!$A$1:$D$14,2,FALSE),"Missing")</f>
        <v>Body Lotion</v>
      </c>
      <c r="O62" s="25" t="str">
        <f>IFERROR(VLOOKUP(tbl_clean_sales[[#This Row],[Product_ID]],'03_Product_Master'!$A$1:$D$14,3,FALSE),"Missing")</f>
        <v>Personal Care</v>
      </c>
      <c r="P62" s="25">
        <f>IFERROR(VLOOKUP(tbl_clean_sales[[#This Row],[Product_ID]],'03_Product_Master'!$A$1:$D$14,4,FALSE),"Missing")</f>
        <v>390</v>
      </c>
      <c r="Q62" s="25" t="str">
        <f>IF('03_Clean_data'!E62="","Missing",IFERROR(IF(VLOOKUP(E62,'04_Branch_Master'!$A$1:$C$7,1,FALSE)='03_Clean_data'!E62,"Valid","Invalid"),"Invalid"))</f>
        <v>Valid</v>
      </c>
      <c r="R62" s="25" t="str">
        <f>IFERROR(VLOOKUP(tbl_clean_sales[[#This Row],[Branch_ID]],'04_Branch_Master'!$A$1:$C$7,2,FALSE),"Missing")</f>
        <v>Avinashi Road</v>
      </c>
      <c r="S62" s="25" t="str">
        <f>IFERROR(VLOOKUP(tbl_clean_sales[[#This Row],[Branch_ID]],'04_Branch_Master'!$A$1:$C$7,3,FALSE),"Missing")</f>
        <v>North</v>
      </c>
      <c r="T62" s="25" t="str">
        <f>C62&amp;"|"&amp;TEXT(tbl_clean_sales[[#This Row],[Date]],"yyyymm")</f>
        <v>E003|202606</v>
      </c>
      <c r="U62" s="25">
        <f>IFERROR(INDEX('05_Target_Master'!$A$1:$F$32,MATCH(tbl_clean_sales[[#This Row],[target key]],'05_Target_Master'!$F$1:$F$32,0),3),"Missing")</f>
        <v>112000</v>
      </c>
    </row>
    <row r="63" spans="1:21" x14ac:dyDescent="0.3">
      <c r="A63" s="21">
        <v>46131</v>
      </c>
      <c r="B63" s="22" t="s">
        <v>94</v>
      </c>
      <c r="C63" s="22" t="s">
        <v>46</v>
      </c>
      <c r="D63" s="22" t="s">
        <v>53</v>
      </c>
      <c r="E63" s="22" t="s">
        <v>32</v>
      </c>
      <c r="F63" s="22">
        <v>6</v>
      </c>
      <c r="G63" s="23">
        <v>1873.46</v>
      </c>
      <c r="H63" s="25" t="str">
        <f>IF(COUNTIF(tbl_clean_sales[Invoice_ID],tbl_clean_sales[[#This Row],[Invoice_ID]])&gt;1,"Duplicate","Unique")</f>
        <v>Unique</v>
      </c>
      <c r="I63" s="25"/>
      <c r="J6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" s="25" t="str">
        <f>IFERROR(VLOOKUP(tbl_clean_sales[[#This Row],[Employee_ID]],'02_Employee_Master'!$A$1:$C$12,2,FALSE),"Employee Name Missing")</f>
        <v>Suresh B</v>
      </c>
      <c r="L63" s="25" t="str">
        <f>IFERROR(VLOOKUP(tbl_clean_sales[[#This Row],[Employee_ID]],'02_Employee_Master'!$A$1:$C$12,3,FALSE),"Department Name Missing")</f>
        <v>Sales</v>
      </c>
      <c r="M63" s="25" t="str">
        <f>IF('03_Clean_data'!D63="","Missing",IFERROR(IF(VLOOKUP(D63,'03_Product_Master'!$A$1:$D$14,1,FALSE)='03_Clean_data'!D63,"Valid","Invalid"),"Invalid"))</f>
        <v>Valid</v>
      </c>
      <c r="N63" s="25" t="str">
        <f>IFERROR(VLOOKUP(tbl_clean_sales[[#This Row],[Product_ID]],'03_Product_Master'!$A$1:$D$14,2,FALSE),"Missing")</f>
        <v>Instant Coffee</v>
      </c>
      <c r="O63" s="25" t="str">
        <f>IFERROR(VLOOKUP(tbl_clean_sales[[#This Row],[Product_ID]],'03_Product_Master'!$A$1:$D$14,3,FALSE),"Missing")</f>
        <v>Beverages</v>
      </c>
      <c r="P63" s="25">
        <f>IFERROR(VLOOKUP(tbl_clean_sales[[#This Row],[Product_ID]],'03_Product_Master'!$A$1:$D$14,4,FALSE),"Missing")</f>
        <v>350</v>
      </c>
      <c r="Q63" s="25" t="str">
        <f>IF('03_Clean_data'!E63="","Missing",IFERROR(IF(VLOOKUP(E63,'04_Branch_Master'!$A$1:$C$7,1,FALSE)='03_Clean_data'!E63,"Valid","Invalid"),"Invalid"))</f>
        <v>Valid</v>
      </c>
      <c r="R63" s="25" t="str">
        <f>IFERROR(VLOOKUP(tbl_clean_sales[[#This Row],[Branch_ID]],'04_Branch_Master'!$A$1:$C$7,2,FALSE),"Missing")</f>
        <v>Kangeyam</v>
      </c>
      <c r="S63" s="25" t="str">
        <f>IFERROR(VLOOKUP(tbl_clean_sales[[#This Row],[Branch_ID]],'04_Branch_Master'!$A$1:$C$7,3,FALSE),"Missing")</f>
        <v>East</v>
      </c>
      <c r="T63" s="25" t="str">
        <f>C63&amp;"|"&amp;TEXT(tbl_clean_sales[[#This Row],[Date]],"yyyymm")</f>
        <v>E007|202604</v>
      </c>
      <c r="U63" s="25">
        <f>IFERROR(INDEX('05_Target_Master'!$A$1:$F$32,MATCH(tbl_clean_sales[[#This Row],[target key]],'05_Target_Master'!$F$1:$F$32,0),3),"Missing")</f>
        <v>129600</v>
      </c>
    </row>
    <row r="64" spans="1:21" x14ac:dyDescent="0.3">
      <c r="A64" s="21">
        <v>46118</v>
      </c>
      <c r="B64" s="22" t="s">
        <v>95</v>
      </c>
      <c r="C64" s="22" t="s">
        <v>40</v>
      </c>
      <c r="D64" s="22" t="s">
        <v>30</v>
      </c>
      <c r="E64" s="22" t="s">
        <v>26</v>
      </c>
      <c r="F64" s="22">
        <v>11</v>
      </c>
      <c r="G64" s="23">
        <v>1738.29</v>
      </c>
      <c r="H64" s="25" t="str">
        <f>IF(COUNTIF(tbl_clean_sales[Invoice_ID],tbl_clean_sales[[#This Row],[Invoice_ID]])&gt;1,"Duplicate","Unique")</f>
        <v>Unique</v>
      </c>
      <c r="I64" s="25"/>
      <c r="J6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" s="25" t="str">
        <f>IFERROR(VLOOKUP(tbl_clean_sales[[#This Row],[Employee_ID]],'02_Employee_Master'!$A$1:$C$12,2,FALSE),"Employee Name Missing")</f>
        <v>Meena V</v>
      </c>
      <c r="L64" s="25" t="str">
        <f>IFERROR(VLOOKUP(tbl_clean_sales[[#This Row],[Employee_ID]],'02_Employee_Master'!$A$1:$C$12,3,FALSE),"Department Name Missing")</f>
        <v>Sales</v>
      </c>
      <c r="M64" s="25" t="str">
        <f>IF('03_Clean_data'!D64="","Missing",IFERROR(IF(VLOOKUP(D64,'03_Product_Master'!$A$1:$D$14,1,FALSE)='03_Clean_data'!D64,"Valid","Invalid"),"Invalid"))</f>
        <v>Valid</v>
      </c>
      <c r="N64" s="25" t="str">
        <f>IFERROR(VLOOKUP(tbl_clean_sales[[#This Row],[Product_ID]],'03_Product_Master'!$A$1:$D$14,2,FALSE),"Missing")</f>
        <v>Cookies Pack</v>
      </c>
      <c r="O64" s="25" t="str">
        <f>IFERROR(VLOOKUP(tbl_clean_sales[[#This Row],[Product_ID]],'03_Product_Master'!$A$1:$D$14,3,FALSE),"Missing")</f>
        <v>Snacks</v>
      </c>
      <c r="P64" s="25">
        <f>IFERROR(VLOOKUP(tbl_clean_sales[[#This Row],[Product_ID]],'03_Product_Master'!$A$1:$D$14,4,FALSE),"Missing")</f>
        <v>160</v>
      </c>
      <c r="Q64" s="25" t="str">
        <f>IF('03_Clean_data'!E64="","Missing",IFERROR(IF(VLOOKUP(E64,'04_Branch_Master'!$A$1:$C$7,1,FALSE)='03_Clean_data'!E64,"Valid","Invalid"),"Invalid"))</f>
        <v>Valid</v>
      </c>
      <c r="R64" s="25" t="str">
        <f>IFERROR(VLOOKUP(tbl_clean_sales[[#This Row],[Branch_ID]],'04_Branch_Master'!$A$1:$C$7,2,FALSE),"Missing")</f>
        <v>Palladam</v>
      </c>
      <c r="S64" s="25" t="str">
        <f>IFERROR(VLOOKUP(tbl_clean_sales[[#This Row],[Branch_ID]],'04_Branch_Master'!$A$1:$C$7,3,FALSE),"Missing")</f>
        <v>South</v>
      </c>
      <c r="T64" s="25" t="str">
        <f>C64&amp;"|"&amp;TEXT(tbl_clean_sales[[#This Row],[Date]],"yyyymm")</f>
        <v>E006|202604</v>
      </c>
      <c r="U64" s="25">
        <f>IFERROR(INDEX('05_Target_Master'!$A$1:$F$32,MATCH(tbl_clean_sales[[#This Row],[target key]],'05_Target_Master'!$F$1:$F$32,0),3),"Missing")</f>
        <v>131000</v>
      </c>
    </row>
    <row r="65" spans="1:21" x14ac:dyDescent="0.3">
      <c r="A65" s="21">
        <v>46184</v>
      </c>
      <c r="B65" s="22" t="s">
        <v>96</v>
      </c>
      <c r="C65" s="22" t="s">
        <v>46</v>
      </c>
      <c r="D65" s="22" t="s">
        <v>36</v>
      </c>
      <c r="E65" s="22" t="s">
        <v>32</v>
      </c>
      <c r="F65" s="22">
        <v>4</v>
      </c>
      <c r="G65" s="23">
        <v>681.15</v>
      </c>
      <c r="H65" s="25" t="str">
        <f>IF(COUNTIF(tbl_clean_sales[Invoice_ID],tbl_clean_sales[[#This Row],[Invoice_ID]])&gt;1,"Duplicate","Unique")</f>
        <v>Unique</v>
      </c>
      <c r="I65" s="25"/>
      <c r="J6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" s="25" t="str">
        <f>IFERROR(VLOOKUP(tbl_clean_sales[[#This Row],[Employee_ID]],'02_Employee_Master'!$A$1:$C$12,2,FALSE),"Employee Name Missing")</f>
        <v>Suresh B</v>
      </c>
      <c r="L65" s="25" t="str">
        <f>IFERROR(VLOOKUP(tbl_clean_sales[[#This Row],[Employee_ID]],'02_Employee_Master'!$A$1:$C$12,3,FALSE),"Department Name Missing")</f>
        <v>Sales</v>
      </c>
      <c r="M65" s="25" t="str">
        <f>IF('03_Clean_data'!D65="","Missing",IFERROR(IF(VLOOKUP(D65,'03_Product_Master'!$A$1:$D$14,1,FALSE)='03_Clean_data'!D65,"Valid","Invalid"),"Invalid"))</f>
        <v>Valid</v>
      </c>
      <c r="N65" s="25" t="str">
        <f>IFERROR(VLOOKUP(tbl_clean_sales[[#This Row],[Product_ID]],'03_Product_Master'!$A$1:$D$14,2,FALSE),"Missing")</f>
        <v>Dish Wash</v>
      </c>
      <c r="O65" s="25" t="str">
        <f>IFERROR(VLOOKUP(tbl_clean_sales[[#This Row],[Product_ID]],'03_Product_Master'!$A$1:$D$14,3,FALSE),"Missing")</f>
        <v>Home Care</v>
      </c>
      <c r="P65" s="25">
        <f>IFERROR(VLOOKUP(tbl_clean_sales[[#This Row],[Product_ID]],'03_Product_Master'!$A$1:$D$14,4,FALSE),"Missing")</f>
        <v>190</v>
      </c>
      <c r="Q65" s="25" t="str">
        <f>IF('03_Clean_data'!E65="","Missing",IFERROR(IF(VLOOKUP(E65,'04_Branch_Master'!$A$1:$C$7,1,FALSE)='03_Clean_data'!E65,"Valid","Invalid"),"Invalid"))</f>
        <v>Valid</v>
      </c>
      <c r="R65" s="25" t="str">
        <f>IFERROR(VLOOKUP(tbl_clean_sales[[#This Row],[Branch_ID]],'04_Branch_Master'!$A$1:$C$7,2,FALSE),"Missing")</f>
        <v>Kangeyam</v>
      </c>
      <c r="S65" s="25" t="str">
        <f>IFERROR(VLOOKUP(tbl_clean_sales[[#This Row],[Branch_ID]],'04_Branch_Master'!$A$1:$C$7,3,FALSE),"Missing")</f>
        <v>East</v>
      </c>
      <c r="T65" s="25" t="str">
        <f>C65&amp;"|"&amp;TEXT(tbl_clean_sales[[#This Row],[Date]],"yyyymm")</f>
        <v>E007|202606</v>
      </c>
      <c r="U65" s="25">
        <f>IFERROR(INDEX('05_Target_Master'!$A$1:$F$32,MATCH(tbl_clean_sales[[#This Row],[target key]],'05_Target_Master'!$F$1:$F$32,0),3),"Missing")</f>
        <v>124400</v>
      </c>
    </row>
    <row r="66" spans="1:21" x14ac:dyDescent="0.3">
      <c r="A66" s="21">
        <v>46135</v>
      </c>
      <c r="B66" s="22" t="s">
        <v>97</v>
      </c>
      <c r="C66" s="22" t="s">
        <v>46</v>
      </c>
      <c r="D66" s="22" t="s">
        <v>25</v>
      </c>
      <c r="E66" s="22" t="s">
        <v>32</v>
      </c>
      <c r="F66" s="22">
        <v>6</v>
      </c>
      <c r="G66" s="23">
        <v>2283.41</v>
      </c>
      <c r="H66" s="25" t="str">
        <f>IF(COUNTIF(tbl_clean_sales[Invoice_ID],tbl_clean_sales[[#This Row],[Invoice_ID]])&gt;1,"Duplicate","Unique")</f>
        <v>Unique</v>
      </c>
      <c r="I66" s="25"/>
      <c r="J6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" s="25" t="str">
        <f>IFERROR(VLOOKUP(tbl_clean_sales[[#This Row],[Employee_ID]],'02_Employee_Master'!$A$1:$C$12,2,FALSE),"Employee Name Missing")</f>
        <v>Suresh B</v>
      </c>
      <c r="L66" s="25" t="str">
        <f>IFERROR(VLOOKUP(tbl_clean_sales[[#This Row],[Employee_ID]],'02_Employee_Master'!$A$1:$C$12,3,FALSE),"Department Name Missing")</f>
        <v>Sales</v>
      </c>
      <c r="M66" s="25" t="str">
        <f>IF('03_Clean_data'!D66="","Missing",IFERROR(IF(VLOOKUP(D66,'03_Product_Master'!$A$1:$D$14,1,FALSE)='03_Clean_data'!D66,"Valid","Invalid"),"Invalid"))</f>
        <v>Valid</v>
      </c>
      <c r="N66" s="25" t="str">
        <f>IFERROR(VLOOKUP(tbl_clean_sales[[#This Row],[Product_ID]],'03_Product_Master'!$A$1:$D$14,2,FALSE),"Missing")</f>
        <v>Premium Coffee</v>
      </c>
      <c r="O66" s="25" t="str">
        <f>IFERROR(VLOOKUP(tbl_clean_sales[[#This Row],[Product_ID]],'03_Product_Master'!$A$1:$D$14,3,FALSE),"Missing")</f>
        <v>Beverages</v>
      </c>
      <c r="P66" s="25">
        <f>IFERROR(VLOOKUP(tbl_clean_sales[[#This Row],[Product_ID]],'03_Product_Master'!$A$1:$D$14,4,FALSE),"Missing")</f>
        <v>420</v>
      </c>
      <c r="Q66" s="25" t="str">
        <f>IF('03_Clean_data'!E66="","Missing",IFERROR(IF(VLOOKUP(E66,'04_Branch_Master'!$A$1:$C$7,1,FALSE)='03_Clean_data'!E66,"Valid","Invalid"),"Invalid"))</f>
        <v>Valid</v>
      </c>
      <c r="R66" s="25" t="str">
        <f>IFERROR(VLOOKUP(tbl_clean_sales[[#This Row],[Branch_ID]],'04_Branch_Master'!$A$1:$C$7,2,FALSE),"Missing")</f>
        <v>Kangeyam</v>
      </c>
      <c r="S66" s="25" t="str">
        <f>IFERROR(VLOOKUP(tbl_clean_sales[[#This Row],[Branch_ID]],'04_Branch_Master'!$A$1:$C$7,3,FALSE),"Missing")</f>
        <v>East</v>
      </c>
      <c r="T66" s="25" t="str">
        <f>C66&amp;"|"&amp;TEXT(tbl_clean_sales[[#This Row],[Date]],"yyyymm")</f>
        <v>E007|202604</v>
      </c>
      <c r="U66" s="25">
        <f>IFERROR(INDEX('05_Target_Master'!$A$1:$F$32,MATCH(tbl_clean_sales[[#This Row],[target key]],'05_Target_Master'!$F$1:$F$32,0),3),"Missing")</f>
        <v>129600</v>
      </c>
    </row>
    <row r="67" spans="1:21" x14ac:dyDescent="0.3">
      <c r="A67" s="21">
        <v>46165</v>
      </c>
      <c r="B67" s="22" t="s">
        <v>98</v>
      </c>
      <c r="C67" s="22" t="s">
        <v>12</v>
      </c>
      <c r="D67" s="22" t="s">
        <v>82</v>
      </c>
      <c r="E67" s="22" t="s">
        <v>14</v>
      </c>
      <c r="F67" s="22">
        <v>12</v>
      </c>
      <c r="G67" s="23">
        <v>1421.32</v>
      </c>
      <c r="H67" s="25" t="str">
        <f>IF(COUNTIF(tbl_clean_sales[Invoice_ID],tbl_clean_sales[[#This Row],[Invoice_ID]])&gt;1,"Duplicate","Unique")</f>
        <v>Unique</v>
      </c>
      <c r="I67" s="25"/>
      <c r="J6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" s="25" t="str">
        <f>IFERROR(VLOOKUP(tbl_clean_sales[[#This Row],[Employee_ID]],'02_Employee_Master'!$A$1:$C$12,2,FALSE),"Employee Name Missing")</f>
        <v>Divya R</v>
      </c>
      <c r="L67" s="25" t="str">
        <f>IFERROR(VLOOKUP(tbl_clean_sales[[#This Row],[Employee_ID]],'02_Employee_Master'!$A$1:$C$12,3,FALSE),"Department Name Missing")</f>
        <v>Sales</v>
      </c>
      <c r="M67" s="25" t="str">
        <f>IF('03_Clean_data'!D67="","Missing",IFERROR(IF(VLOOKUP(D67,'03_Product_Master'!$A$1:$D$14,1,FALSE)='03_Clean_data'!D67,"Valid","Invalid"),"Invalid"))</f>
        <v>Valid</v>
      </c>
      <c r="N67" s="25" t="str">
        <f>IFERROR(VLOOKUP(tbl_clean_sales[[#This Row],[Product_ID]],'03_Product_Master'!$A$1:$D$14,2,FALSE),"Missing")</f>
        <v>Chocolate Bar</v>
      </c>
      <c r="O67" s="25" t="str">
        <f>IFERROR(VLOOKUP(tbl_clean_sales[[#This Row],[Product_ID]],'03_Product_Master'!$A$1:$D$14,3,FALSE),"Missing")</f>
        <v>Snacks</v>
      </c>
      <c r="P67" s="25">
        <f>IFERROR(VLOOKUP(tbl_clean_sales[[#This Row],[Product_ID]],'03_Product_Master'!$A$1:$D$14,4,FALSE),"Missing")</f>
        <v>120</v>
      </c>
      <c r="Q67" s="25" t="str">
        <f>IF('03_Clean_data'!E67="","Missing",IFERROR(IF(VLOOKUP(E67,'04_Branch_Master'!$A$1:$C$7,1,FALSE)='03_Clean_data'!E67,"Valid","Invalid"),"Invalid"))</f>
        <v>Valid</v>
      </c>
      <c r="R67" s="25" t="str">
        <f>IFERROR(VLOOKUP(tbl_clean_sales[[#This Row],[Branch_ID]],'04_Branch_Master'!$A$1:$C$7,2,FALSE),"Missing")</f>
        <v>Avinashi Road</v>
      </c>
      <c r="S67" s="25" t="str">
        <f>IFERROR(VLOOKUP(tbl_clean_sales[[#This Row],[Branch_ID]],'04_Branch_Master'!$A$1:$C$7,3,FALSE),"Missing")</f>
        <v>North</v>
      </c>
      <c r="T67" s="25" t="str">
        <f>C67&amp;"|"&amp;TEXT(tbl_clean_sales[[#This Row],[Date]],"yyyymm")</f>
        <v>E004|202605</v>
      </c>
      <c r="U67" s="25">
        <f>IFERROR(INDEX('05_Target_Master'!$A$1:$F$32,MATCH(tbl_clean_sales[[#This Row],[target key]],'05_Target_Master'!$F$1:$F$32,0),3),"Missing")</f>
        <v>176700</v>
      </c>
    </row>
    <row r="68" spans="1:21" x14ac:dyDescent="0.3">
      <c r="A68" s="21">
        <v>46117</v>
      </c>
      <c r="B68" s="22" t="s">
        <v>99</v>
      </c>
      <c r="C68" s="22" t="s">
        <v>38</v>
      </c>
      <c r="D68" s="22" t="s">
        <v>30</v>
      </c>
      <c r="E68" s="22" t="s">
        <v>32</v>
      </c>
      <c r="F68" s="22">
        <v>8</v>
      </c>
      <c r="G68" s="23">
        <v>1226.29</v>
      </c>
      <c r="H68" s="25" t="str">
        <f>IF(COUNTIF(tbl_clean_sales[Invoice_ID],tbl_clean_sales[[#This Row],[Invoice_ID]])&gt;1,"Duplicate","Unique")</f>
        <v>Unique</v>
      </c>
      <c r="I68" s="25"/>
      <c r="J6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" s="25" t="str">
        <f>IFERROR(VLOOKUP(tbl_clean_sales[[#This Row],[Employee_ID]],'02_Employee_Master'!$A$1:$C$12,2,FALSE),"Employee Name Missing")</f>
        <v>Nandhini K</v>
      </c>
      <c r="L68" s="25" t="str">
        <f>IFERROR(VLOOKUP(tbl_clean_sales[[#This Row],[Employee_ID]],'02_Employee_Master'!$A$1:$C$12,3,FALSE),"Department Name Missing")</f>
        <v>Sales</v>
      </c>
      <c r="M68" s="25" t="str">
        <f>IF('03_Clean_data'!D68="","Missing",IFERROR(IF(VLOOKUP(D68,'03_Product_Master'!$A$1:$D$14,1,FALSE)='03_Clean_data'!D68,"Valid","Invalid"),"Invalid"))</f>
        <v>Valid</v>
      </c>
      <c r="N68" s="25" t="str">
        <f>IFERROR(VLOOKUP(tbl_clean_sales[[#This Row],[Product_ID]],'03_Product_Master'!$A$1:$D$14,2,FALSE),"Missing")</f>
        <v>Cookies Pack</v>
      </c>
      <c r="O68" s="25" t="str">
        <f>IFERROR(VLOOKUP(tbl_clean_sales[[#This Row],[Product_ID]],'03_Product_Master'!$A$1:$D$14,3,FALSE),"Missing")</f>
        <v>Snacks</v>
      </c>
      <c r="P68" s="25">
        <f>IFERROR(VLOOKUP(tbl_clean_sales[[#This Row],[Product_ID]],'03_Product_Master'!$A$1:$D$14,4,FALSE),"Missing")</f>
        <v>160</v>
      </c>
      <c r="Q68" s="25" t="str">
        <f>IF('03_Clean_data'!E68="","Missing",IFERROR(IF(VLOOKUP(E68,'04_Branch_Master'!$A$1:$C$7,1,FALSE)='03_Clean_data'!E68,"Valid","Invalid"),"Invalid"))</f>
        <v>Valid</v>
      </c>
      <c r="R68" s="25" t="str">
        <f>IFERROR(VLOOKUP(tbl_clean_sales[[#This Row],[Branch_ID]],'04_Branch_Master'!$A$1:$C$7,2,FALSE),"Missing")</f>
        <v>Kangeyam</v>
      </c>
      <c r="S68" s="25" t="str">
        <f>IFERROR(VLOOKUP(tbl_clean_sales[[#This Row],[Branch_ID]],'04_Branch_Master'!$A$1:$C$7,3,FALSE),"Missing")</f>
        <v>East</v>
      </c>
      <c r="T68" s="25" t="str">
        <f>C68&amp;"|"&amp;TEXT(tbl_clean_sales[[#This Row],[Date]],"yyyymm")</f>
        <v>E008|202604</v>
      </c>
      <c r="U68" s="25">
        <f>IFERROR(INDEX('05_Target_Master'!$A$1:$F$32,MATCH(tbl_clean_sales[[#This Row],[target key]],'05_Target_Master'!$F$1:$F$32,0),3),"Missing")</f>
        <v>124100</v>
      </c>
    </row>
    <row r="69" spans="1:21" x14ac:dyDescent="0.3">
      <c r="A69" s="21">
        <v>46142</v>
      </c>
      <c r="B69" s="22" t="s">
        <v>100</v>
      </c>
      <c r="C69" s="22" t="s">
        <v>12</v>
      </c>
      <c r="D69" s="22" t="s">
        <v>25</v>
      </c>
      <c r="E69" s="22" t="s">
        <v>14</v>
      </c>
      <c r="F69" s="22">
        <v>7</v>
      </c>
      <c r="G69" s="23">
        <v>2824.19</v>
      </c>
      <c r="H69" s="25" t="str">
        <f>IF(COUNTIF(tbl_clean_sales[Invoice_ID],tbl_clean_sales[[#This Row],[Invoice_ID]])&gt;1,"Duplicate","Unique")</f>
        <v>Unique</v>
      </c>
      <c r="I69" s="25"/>
      <c r="J6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" s="25" t="str">
        <f>IFERROR(VLOOKUP(tbl_clean_sales[[#This Row],[Employee_ID]],'02_Employee_Master'!$A$1:$C$12,2,FALSE),"Employee Name Missing")</f>
        <v>Divya R</v>
      </c>
      <c r="L69" s="25" t="str">
        <f>IFERROR(VLOOKUP(tbl_clean_sales[[#This Row],[Employee_ID]],'02_Employee_Master'!$A$1:$C$12,3,FALSE),"Department Name Missing")</f>
        <v>Sales</v>
      </c>
      <c r="M69" s="25" t="str">
        <f>IF('03_Clean_data'!D69="","Missing",IFERROR(IF(VLOOKUP(D69,'03_Product_Master'!$A$1:$D$14,1,FALSE)='03_Clean_data'!D69,"Valid","Invalid"),"Invalid"))</f>
        <v>Valid</v>
      </c>
      <c r="N69" s="25" t="str">
        <f>IFERROR(VLOOKUP(tbl_clean_sales[[#This Row],[Product_ID]],'03_Product_Master'!$A$1:$D$14,2,FALSE),"Missing")</f>
        <v>Premium Coffee</v>
      </c>
      <c r="O69" s="25" t="str">
        <f>IFERROR(VLOOKUP(tbl_clean_sales[[#This Row],[Product_ID]],'03_Product_Master'!$A$1:$D$14,3,FALSE),"Missing")</f>
        <v>Beverages</v>
      </c>
      <c r="P69" s="25">
        <f>IFERROR(VLOOKUP(tbl_clean_sales[[#This Row],[Product_ID]],'03_Product_Master'!$A$1:$D$14,4,FALSE),"Missing")</f>
        <v>420</v>
      </c>
      <c r="Q69" s="25" t="str">
        <f>IF('03_Clean_data'!E69="","Missing",IFERROR(IF(VLOOKUP(E69,'04_Branch_Master'!$A$1:$C$7,1,FALSE)='03_Clean_data'!E69,"Valid","Invalid"),"Invalid"))</f>
        <v>Valid</v>
      </c>
      <c r="R69" s="25" t="str">
        <f>IFERROR(VLOOKUP(tbl_clean_sales[[#This Row],[Branch_ID]],'04_Branch_Master'!$A$1:$C$7,2,FALSE),"Missing")</f>
        <v>Avinashi Road</v>
      </c>
      <c r="S69" s="25" t="str">
        <f>IFERROR(VLOOKUP(tbl_clean_sales[[#This Row],[Branch_ID]],'04_Branch_Master'!$A$1:$C$7,3,FALSE),"Missing")</f>
        <v>North</v>
      </c>
      <c r="T69" s="25" t="str">
        <f>C69&amp;"|"&amp;TEXT(tbl_clean_sales[[#This Row],[Date]],"yyyymm")</f>
        <v>E004|202604</v>
      </c>
      <c r="U69" s="25">
        <f>IFERROR(INDEX('05_Target_Master'!$A$1:$F$32,MATCH(tbl_clean_sales[[#This Row],[target key]],'05_Target_Master'!$F$1:$F$32,0),3),"Missing")</f>
        <v>163600</v>
      </c>
    </row>
    <row r="70" spans="1:21" x14ac:dyDescent="0.3">
      <c r="A70" s="21">
        <v>46121</v>
      </c>
      <c r="B70" s="22" t="s">
        <v>101</v>
      </c>
      <c r="C70" s="22" t="s">
        <v>24</v>
      </c>
      <c r="D70" s="22" t="s">
        <v>34</v>
      </c>
      <c r="E70" s="22" t="s">
        <v>26</v>
      </c>
      <c r="F70" s="22">
        <v>7</v>
      </c>
      <c r="G70" s="23">
        <v>707.21</v>
      </c>
      <c r="H70" s="25" t="str">
        <f>IF(COUNTIF(tbl_clean_sales[Invoice_ID],tbl_clean_sales[[#This Row],[Invoice_ID]])&gt;1,"Duplicate","Unique")</f>
        <v>Unique</v>
      </c>
      <c r="I70" s="25"/>
      <c r="J7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" s="25" t="str">
        <f>IFERROR(VLOOKUP(tbl_clean_sales[[#This Row],[Employee_ID]],'02_Employee_Master'!$A$1:$C$12,2,FALSE),"Employee Name Missing")</f>
        <v>Karthik P</v>
      </c>
      <c r="L70" s="25" t="str">
        <f>IFERROR(VLOOKUP(tbl_clean_sales[[#This Row],[Employee_ID]],'02_Employee_Master'!$A$1:$C$12,3,FALSE),"Department Name Missing")</f>
        <v>Sales</v>
      </c>
      <c r="M70" s="25" t="str">
        <f>IF('03_Clean_data'!D70="","Missing",IFERROR(IF(VLOOKUP(D70,'03_Product_Master'!$A$1:$D$14,1,FALSE)='03_Clean_data'!D70,"Valid","Invalid"),"Invalid"))</f>
        <v>Valid</v>
      </c>
      <c r="N70" s="25" t="str">
        <f>IFERROR(VLOOKUP(tbl_clean_sales[[#This Row],[Product_ID]],'03_Product_Master'!$A$1:$D$14,2,FALSE),"Missing")</f>
        <v>Potato Chips</v>
      </c>
      <c r="O70" s="25" t="str">
        <f>IFERROR(VLOOKUP(tbl_clean_sales[[#This Row],[Product_ID]],'03_Product_Master'!$A$1:$D$14,3,FALSE),"Missing")</f>
        <v>Snacks</v>
      </c>
      <c r="P70" s="25">
        <f>IFERROR(VLOOKUP(tbl_clean_sales[[#This Row],[Product_ID]],'03_Product_Master'!$A$1:$D$14,4,FALSE),"Missing")</f>
        <v>110</v>
      </c>
      <c r="Q70" s="25" t="str">
        <f>IF('03_Clean_data'!E70="","Missing",IFERROR(IF(VLOOKUP(E70,'04_Branch_Master'!$A$1:$C$7,1,FALSE)='03_Clean_data'!E70,"Valid","Invalid"),"Invalid"))</f>
        <v>Valid</v>
      </c>
      <c r="R70" s="25" t="str">
        <f>IFERROR(VLOOKUP(tbl_clean_sales[[#This Row],[Branch_ID]],'04_Branch_Master'!$A$1:$C$7,2,FALSE),"Missing")</f>
        <v>Palladam</v>
      </c>
      <c r="S70" s="25" t="str">
        <f>IFERROR(VLOOKUP(tbl_clean_sales[[#This Row],[Branch_ID]],'04_Branch_Master'!$A$1:$C$7,3,FALSE),"Missing")</f>
        <v>South</v>
      </c>
      <c r="T70" s="25" t="str">
        <f>C70&amp;"|"&amp;TEXT(tbl_clean_sales[[#This Row],[Date]],"yyyymm")</f>
        <v>E005|202604</v>
      </c>
      <c r="U70" s="25">
        <f>IFERROR(INDEX('05_Target_Master'!$A$1:$F$32,MATCH(tbl_clean_sales[[#This Row],[target key]],'05_Target_Master'!$F$1:$F$32,0),3),"Missing")</f>
        <v>133000</v>
      </c>
    </row>
    <row r="71" spans="1:21" x14ac:dyDescent="0.3">
      <c r="A71" s="21">
        <v>46181</v>
      </c>
      <c r="B71" s="22" t="s">
        <v>102</v>
      </c>
      <c r="C71" s="22" t="s">
        <v>40</v>
      </c>
      <c r="D71" s="22" t="s">
        <v>25</v>
      </c>
      <c r="E71" s="22" t="s">
        <v>26</v>
      </c>
      <c r="F71" s="22">
        <v>5</v>
      </c>
      <c r="G71" s="23">
        <v>2055</v>
      </c>
      <c r="H71" s="25" t="str">
        <f>IF(COUNTIF(tbl_clean_sales[Invoice_ID],tbl_clean_sales[[#This Row],[Invoice_ID]])&gt;1,"Duplicate","Unique")</f>
        <v>Unique</v>
      </c>
      <c r="I71" s="25"/>
      <c r="J7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" s="25" t="str">
        <f>IFERROR(VLOOKUP(tbl_clean_sales[[#This Row],[Employee_ID]],'02_Employee_Master'!$A$1:$C$12,2,FALSE),"Employee Name Missing")</f>
        <v>Meena V</v>
      </c>
      <c r="L71" s="25" t="str">
        <f>IFERROR(VLOOKUP(tbl_clean_sales[[#This Row],[Employee_ID]],'02_Employee_Master'!$A$1:$C$12,3,FALSE),"Department Name Missing")</f>
        <v>Sales</v>
      </c>
      <c r="M71" s="25" t="str">
        <f>IF('03_Clean_data'!D71="","Missing",IFERROR(IF(VLOOKUP(D71,'03_Product_Master'!$A$1:$D$14,1,FALSE)='03_Clean_data'!D71,"Valid","Invalid"),"Invalid"))</f>
        <v>Valid</v>
      </c>
      <c r="N71" s="25" t="str">
        <f>IFERROR(VLOOKUP(tbl_clean_sales[[#This Row],[Product_ID]],'03_Product_Master'!$A$1:$D$14,2,FALSE),"Missing")</f>
        <v>Premium Coffee</v>
      </c>
      <c r="O71" s="25" t="str">
        <f>IFERROR(VLOOKUP(tbl_clean_sales[[#This Row],[Product_ID]],'03_Product_Master'!$A$1:$D$14,3,FALSE),"Missing")</f>
        <v>Beverages</v>
      </c>
      <c r="P71" s="25">
        <f>IFERROR(VLOOKUP(tbl_clean_sales[[#This Row],[Product_ID]],'03_Product_Master'!$A$1:$D$14,4,FALSE),"Missing")</f>
        <v>420</v>
      </c>
      <c r="Q71" s="25" t="str">
        <f>IF('03_Clean_data'!E71="","Missing",IFERROR(IF(VLOOKUP(E71,'04_Branch_Master'!$A$1:$C$7,1,FALSE)='03_Clean_data'!E71,"Valid","Invalid"),"Invalid"))</f>
        <v>Valid</v>
      </c>
      <c r="R71" s="25" t="str">
        <f>IFERROR(VLOOKUP(tbl_clean_sales[[#This Row],[Branch_ID]],'04_Branch_Master'!$A$1:$C$7,2,FALSE),"Missing")</f>
        <v>Palladam</v>
      </c>
      <c r="S71" s="25" t="str">
        <f>IFERROR(VLOOKUP(tbl_clean_sales[[#This Row],[Branch_ID]],'04_Branch_Master'!$A$1:$C$7,3,FALSE),"Missing")</f>
        <v>South</v>
      </c>
      <c r="T71" s="25" t="str">
        <f>C71&amp;"|"&amp;TEXT(tbl_clean_sales[[#This Row],[Date]],"yyyymm")</f>
        <v>E006|202606</v>
      </c>
      <c r="U71" s="25">
        <f>IFERROR(INDEX('05_Target_Master'!$A$1:$F$32,MATCH(tbl_clean_sales[[#This Row],[target key]],'05_Target_Master'!$F$1:$F$32,0),3),"Missing")</f>
        <v>125800</v>
      </c>
    </row>
    <row r="72" spans="1:21" x14ac:dyDescent="0.3">
      <c r="A72" s="21">
        <v>46146</v>
      </c>
      <c r="B72" s="22" t="s">
        <v>103</v>
      </c>
      <c r="C72" s="22" t="s">
        <v>74</v>
      </c>
      <c r="D72" s="22" t="s">
        <v>9</v>
      </c>
      <c r="E72" s="22" t="s">
        <v>22</v>
      </c>
      <c r="F72" s="22">
        <v>6</v>
      </c>
      <c r="G72" s="23">
        <v>1533.13</v>
      </c>
      <c r="H72" s="25" t="str">
        <f>IF(COUNTIF(tbl_clean_sales[Invoice_ID],tbl_clean_sales[[#This Row],[Invoice_ID]])&gt;1,"Duplicate","Unique")</f>
        <v>Unique</v>
      </c>
      <c r="I72" s="25"/>
      <c r="J7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" s="25" t="str">
        <f>IFERROR(VLOOKUP(tbl_clean_sales[[#This Row],[Employee_ID]],'02_Employee_Master'!$A$1:$C$12,2,FALSE),"Employee Name Missing")</f>
        <v>Arun Kumar</v>
      </c>
      <c r="L72" s="25" t="str">
        <f>IFERROR(VLOOKUP(tbl_clean_sales[[#This Row],[Employee_ID]],'02_Employee_Master'!$A$1:$C$12,3,FALSE),"Department Name Missing")</f>
        <v>Sales</v>
      </c>
      <c r="M72" s="25" t="str">
        <f>IF('03_Clean_data'!D72="","Missing",IFERROR(IF(VLOOKUP(D72,'03_Product_Master'!$A$1:$D$14,1,FALSE)='03_Clean_data'!D72,"Valid","Invalid"),"Invalid"))</f>
        <v>Valid</v>
      </c>
      <c r="N72" s="25" t="str">
        <f>IFERROR(VLOOKUP(tbl_clean_sales[[#This Row],[Product_ID]],'03_Product_Master'!$A$1:$D$14,2,FALSE),"Missing")</f>
        <v>Green Tea</v>
      </c>
      <c r="O72" s="25" t="str">
        <f>IFERROR(VLOOKUP(tbl_clean_sales[[#This Row],[Product_ID]],'03_Product_Master'!$A$1:$D$14,3,FALSE),"Missing")</f>
        <v>Beverages</v>
      </c>
      <c r="P72" s="25">
        <f>IFERROR(VLOOKUP(tbl_clean_sales[[#This Row],[Product_ID]],'03_Product_Master'!$A$1:$D$14,4,FALSE),"Missing")</f>
        <v>280</v>
      </c>
      <c r="Q72" s="25" t="str">
        <f>IF('03_Clean_data'!E72="","Missing",IFERROR(IF(VLOOKUP(E72,'04_Branch_Master'!$A$1:$C$7,1,FALSE)='03_Clean_data'!E72,"Valid","Invalid"),"Invalid"))</f>
        <v>Valid</v>
      </c>
      <c r="R72" s="25" t="str">
        <f>IFERROR(VLOOKUP(tbl_clean_sales[[#This Row],[Branch_ID]],'04_Branch_Master'!$A$1:$C$7,2,FALSE),"Missing")</f>
        <v>Tirupur Central</v>
      </c>
      <c r="S72" s="25" t="str">
        <f>IFERROR(VLOOKUP(tbl_clean_sales[[#This Row],[Branch_ID]],'04_Branch_Master'!$A$1:$C$7,3,FALSE),"Missing")</f>
        <v>North</v>
      </c>
      <c r="T72" s="25" t="str">
        <f>C72&amp;"|"&amp;TEXT(tbl_clean_sales[[#This Row],[Date]],"yyyymm")</f>
        <v>E001|202605</v>
      </c>
      <c r="U72" s="25">
        <f>IFERROR(INDEX('05_Target_Master'!$A$1:$F$32,MATCH(tbl_clean_sales[[#This Row],[target key]],'05_Target_Master'!$F$1:$F$32,0),3),"Missing")</f>
        <v>169500</v>
      </c>
    </row>
    <row r="73" spans="1:21" x14ac:dyDescent="0.3">
      <c r="A73" s="21">
        <v>46153</v>
      </c>
      <c r="B73" s="22" t="s">
        <v>104</v>
      </c>
      <c r="C73" s="22" t="s">
        <v>46</v>
      </c>
      <c r="D73" s="22" t="s">
        <v>36</v>
      </c>
      <c r="E73" s="22" t="s">
        <v>22</v>
      </c>
      <c r="F73" s="22">
        <v>7</v>
      </c>
      <c r="G73" s="23">
        <v>1186.44</v>
      </c>
      <c r="H73" s="25" t="str">
        <f>IF(COUNTIF(tbl_clean_sales[Invoice_ID],tbl_clean_sales[[#This Row],[Invoice_ID]])&gt;1,"Duplicate","Unique")</f>
        <v>Unique</v>
      </c>
      <c r="I73" s="25"/>
      <c r="J7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" s="25" t="str">
        <f>IFERROR(VLOOKUP(tbl_clean_sales[[#This Row],[Employee_ID]],'02_Employee_Master'!$A$1:$C$12,2,FALSE),"Employee Name Missing")</f>
        <v>Suresh B</v>
      </c>
      <c r="L73" s="25" t="str">
        <f>IFERROR(VLOOKUP(tbl_clean_sales[[#This Row],[Employee_ID]],'02_Employee_Master'!$A$1:$C$12,3,FALSE),"Department Name Missing")</f>
        <v>Sales</v>
      </c>
      <c r="M73" s="25" t="str">
        <f>IF('03_Clean_data'!D73="","Missing",IFERROR(IF(VLOOKUP(D73,'03_Product_Master'!$A$1:$D$14,1,FALSE)='03_Clean_data'!D73,"Valid","Invalid"),"Invalid"))</f>
        <v>Valid</v>
      </c>
      <c r="N73" s="25" t="str">
        <f>IFERROR(VLOOKUP(tbl_clean_sales[[#This Row],[Product_ID]],'03_Product_Master'!$A$1:$D$14,2,FALSE),"Missing")</f>
        <v>Dish Wash</v>
      </c>
      <c r="O73" s="25" t="str">
        <f>IFERROR(VLOOKUP(tbl_clean_sales[[#This Row],[Product_ID]],'03_Product_Master'!$A$1:$D$14,3,FALSE),"Missing")</f>
        <v>Home Care</v>
      </c>
      <c r="P73" s="25">
        <f>IFERROR(VLOOKUP(tbl_clean_sales[[#This Row],[Product_ID]],'03_Product_Master'!$A$1:$D$14,4,FALSE),"Missing")</f>
        <v>190</v>
      </c>
      <c r="Q73" s="25" t="str">
        <f>IF('03_Clean_data'!E73="","Missing",IFERROR(IF(VLOOKUP(E73,'04_Branch_Master'!$A$1:$C$7,1,FALSE)='03_Clean_data'!E73,"Valid","Invalid"),"Invalid"))</f>
        <v>Valid</v>
      </c>
      <c r="R73" s="25" t="str">
        <f>IFERROR(VLOOKUP(tbl_clean_sales[[#This Row],[Branch_ID]],'04_Branch_Master'!$A$1:$C$7,2,FALSE),"Missing")</f>
        <v>Tirupur Central</v>
      </c>
      <c r="S73" s="25" t="str">
        <f>IFERROR(VLOOKUP(tbl_clean_sales[[#This Row],[Branch_ID]],'04_Branch_Master'!$A$1:$C$7,3,FALSE),"Missing")</f>
        <v>North</v>
      </c>
      <c r="T73" s="25" t="str">
        <f>C73&amp;"|"&amp;TEXT(tbl_clean_sales[[#This Row],[Date]],"yyyymm")</f>
        <v>E007|202605</v>
      </c>
      <c r="U73" s="25">
        <f>IFERROR(INDEX('05_Target_Master'!$A$1:$F$32,MATCH(tbl_clean_sales[[#This Row],[target key]],'05_Target_Master'!$F$1:$F$32,0),3),"Missing")</f>
        <v>140000</v>
      </c>
    </row>
    <row r="74" spans="1:21" x14ac:dyDescent="0.3">
      <c r="A74" s="21">
        <v>46137</v>
      </c>
      <c r="B74" s="22" t="s">
        <v>105</v>
      </c>
      <c r="C74" s="22" t="s">
        <v>24</v>
      </c>
      <c r="D74" s="22" t="s">
        <v>25</v>
      </c>
      <c r="E74" s="22" t="s">
        <v>26</v>
      </c>
      <c r="F74" s="22">
        <v>1</v>
      </c>
      <c r="G74" s="23">
        <v>393.8</v>
      </c>
      <c r="H74" s="25" t="str">
        <f>IF(COUNTIF(tbl_clean_sales[Invoice_ID],tbl_clean_sales[[#This Row],[Invoice_ID]])&gt;1,"Duplicate","Unique")</f>
        <v>Unique</v>
      </c>
      <c r="I74" s="25"/>
      <c r="J7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" s="25" t="str">
        <f>IFERROR(VLOOKUP(tbl_clean_sales[[#This Row],[Employee_ID]],'02_Employee_Master'!$A$1:$C$12,2,FALSE),"Employee Name Missing")</f>
        <v>Karthik P</v>
      </c>
      <c r="L74" s="25" t="str">
        <f>IFERROR(VLOOKUP(tbl_clean_sales[[#This Row],[Employee_ID]],'02_Employee_Master'!$A$1:$C$12,3,FALSE),"Department Name Missing")</f>
        <v>Sales</v>
      </c>
      <c r="M74" s="25" t="str">
        <f>IF('03_Clean_data'!D74="","Missing",IFERROR(IF(VLOOKUP(D74,'03_Product_Master'!$A$1:$D$14,1,FALSE)='03_Clean_data'!D74,"Valid","Invalid"),"Invalid"))</f>
        <v>Valid</v>
      </c>
      <c r="N74" s="25" t="str">
        <f>IFERROR(VLOOKUP(tbl_clean_sales[[#This Row],[Product_ID]],'03_Product_Master'!$A$1:$D$14,2,FALSE),"Missing")</f>
        <v>Premium Coffee</v>
      </c>
      <c r="O74" s="25" t="str">
        <f>IFERROR(VLOOKUP(tbl_clean_sales[[#This Row],[Product_ID]],'03_Product_Master'!$A$1:$D$14,3,FALSE),"Missing")</f>
        <v>Beverages</v>
      </c>
      <c r="P74" s="25">
        <f>IFERROR(VLOOKUP(tbl_clean_sales[[#This Row],[Product_ID]],'03_Product_Master'!$A$1:$D$14,4,FALSE),"Missing")</f>
        <v>420</v>
      </c>
      <c r="Q74" s="25" t="str">
        <f>IF('03_Clean_data'!E74="","Missing",IFERROR(IF(VLOOKUP(E74,'04_Branch_Master'!$A$1:$C$7,1,FALSE)='03_Clean_data'!E74,"Valid","Invalid"),"Invalid"))</f>
        <v>Valid</v>
      </c>
      <c r="R74" s="25" t="str">
        <f>IFERROR(VLOOKUP(tbl_clean_sales[[#This Row],[Branch_ID]],'04_Branch_Master'!$A$1:$C$7,2,FALSE),"Missing")</f>
        <v>Palladam</v>
      </c>
      <c r="S74" s="25" t="str">
        <f>IFERROR(VLOOKUP(tbl_clean_sales[[#This Row],[Branch_ID]],'04_Branch_Master'!$A$1:$C$7,3,FALSE),"Missing")</f>
        <v>South</v>
      </c>
      <c r="T74" s="25" t="str">
        <f>C74&amp;"|"&amp;TEXT(tbl_clean_sales[[#This Row],[Date]],"yyyymm")</f>
        <v>E005|202604</v>
      </c>
      <c r="U74" s="25">
        <f>IFERROR(INDEX('05_Target_Master'!$A$1:$F$32,MATCH(tbl_clean_sales[[#This Row],[target key]],'05_Target_Master'!$F$1:$F$32,0),3),"Missing")</f>
        <v>133000</v>
      </c>
    </row>
    <row r="75" spans="1:21" x14ac:dyDescent="0.3">
      <c r="A75" s="21">
        <v>46181</v>
      </c>
      <c r="B75" s="22" t="s">
        <v>106</v>
      </c>
      <c r="C75" s="22" t="s">
        <v>12</v>
      </c>
      <c r="D75" s="22" t="s">
        <v>34</v>
      </c>
      <c r="E75" s="22" t="s">
        <v>14</v>
      </c>
      <c r="F75" s="22">
        <v>11</v>
      </c>
      <c r="G75" s="23">
        <v>1076.3</v>
      </c>
      <c r="H75" s="25" t="str">
        <f>IF(COUNTIF(tbl_clean_sales[Invoice_ID],tbl_clean_sales[[#This Row],[Invoice_ID]])&gt;1,"Duplicate","Unique")</f>
        <v>Unique</v>
      </c>
      <c r="I75" s="25"/>
      <c r="J7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5" s="25" t="str">
        <f>IFERROR(VLOOKUP(tbl_clean_sales[[#This Row],[Employee_ID]],'02_Employee_Master'!$A$1:$C$12,2,FALSE),"Employee Name Missing")</f>
        <v>Divya R</v>
      </c>
      <c r="L75" s="25" t="str">
        <f>IFERROR(VLOOKUP(tbl_clean_sales[[#This Row],[Employee_ID]],'02_Employee_Master'!$A$1:$C$12,3,FALSE),"Department Name Missing")</f>
        <v>Sales</v>
      </c>
      <c r="M75" s="25" t="str">
        <f>IF('03_Clean_data'!D75="","Missing",IFERROR(IF(VLOOKUP(D75,'03_Product_Master'!$A$1:$D$14,1,FALSE)='03_Clean_data'!D75,"Valid","Invalid"),"Invalid"))</f>
        <v>Valid</v>
      </c>
      <c r="N75" s="25" t="str">
        <f>IFERROR(VLOOKUP(tbl_clean_sales[[#This Row],[Product_ID]],'03_Product_Master'!$A$1:$D$14,2,FALSE),"Missing")</f>
        <v>Potato Chips</v>
      </c>
      <c r="O75" s="25" t="str">
        <f>IFERROR(VLOOKUP(tbl_clean_sales[[#This Row],[Product_ID]],'03_Product_Master'!$A$1:$D$14,3,FALSE),"Missing")</f>
        <v>Snacks</v>
      </c>
      <c r="P75" s="25">
        <f>IFERROR(VLOOKUP(tbl_clean_sales[[#This Row],[Product_ID]],'03_Product_Master'!$A$1:$D$14,4,FALSE),"Missing")</f>
        <v>110</v>
      </c>
      <c r="Q75" s="25" t="str">
        <f>IF('03_Clean_data'!E75="","Missing",IFERROR(IF(VLOOKUP(E75,'04_Branch_Master'!$A$1:$C$7,1,FALSE)='03_Clean_data'!E75,"Valid","Invalid"),"Invalid"))</f>
        <v>Valid</v>
      </c>
      <c r="R75" s="25" t="str">
        <f>IFERROR(VLOOKUP(tbl_clean_sales[[#This Row],[Branch_ID]],'04_Branch_Master'!$A$1:$C$7,2,FALSE),"Missing")</f>
        <v>Avinashi Road</v>
      </c>
      <c r="S75" s="25" t="str">
        <f>IFERROR(VLOOKUP(tbl_clean_sales[[#This Row],[Branch_ID]],'04_Branch_Master'!$A$1:$C$7,3,FALSE),"Missing")</f>
        <v>North</v>
      </c>
      <c r="T75" s="25" t="str">
        <f>C75&amp;"|"&amp;TEXT(tbl_clean_sales[[#This Row],[Date]],"yyyymm")</f>
        <v>E004|202606</v>
      </c>
      <c r="U75" s="25">
        <f>IFERROR(INDEX('05_Target_Master'!$A$1:$F$32,MATCH(tbl_clean_sales[[#This Row],[target key]],'05_Target_Master'!$F$1:$F$32,0),3),"Missing")</f>
        <v>157100</v>
      </c>
    </row>
    <row r="76" spans="1:21" x14ac:dyDescent="0.3">
      <c r="A76" s="21">
        <v>46192</v>
      </c>
      <c r="B76" s="22" t="s">
        <v>107</v>
      </c>
      <c r="C76" s="22" t="s">
        <v>40</v>
      </c>
      <c r="D76" s="22" t="s">
        <v>43</v>
      </c>
      <c r="E76" s="22" t="s">
        <v>26</v>
      </c>
      <c r="F76" s="22">
        <v>9</v>
      </c>
      <c r="G76" s="23">
        <v>2946.43</v>
      </c>
      <c r="H76" s="25" t="str">
        <f>IF(COUNTIF(tbl_clean_sales[Invoice_ID],tbl_clean_sales[[#This Row],[Invoice_ID]])&gt;1,"Duplicate","Unique")</f>
        <v>Unique</v>
      </c>
      <c r="I76" s="25"/>
      <c r="J7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6" s="25" t="str">
        <f>IFERROR(VLOOKUP(tbl_clean_sales[[#This Row],[Employee_ID]],'02_Employee_Master'!$A$1:$C$12,2,FALSE),"Employee Name Missing")</f>
        <v>Meena V</v>
      </c>
      <c r="L76" s="25" t="str">
        <f>IFERROR(VLOOKUP(tbl_clean_sales[[#This Row],[Employee_ID]],'02_Employee_Master'!$A$1:$C$12,3,FALSE),"Department Name Missing")</f>
        <v>Sales</v>
      </c>
      <c r="M76" s="25" t="str">
        <f>IF('03_Clean_data'!D76="","Missing",IFERROR(IF(VLOOKUP(D76,'03_Product_Master'!$A$1:$D$14,1,FALSE)='03_Clean_data'!D76,"Valid","Invalid"),"Invalid"))</f>
        <v>Valid</v>
      </c>
      <c r="N76" s="25" t="str">
        <f>IFERROR(VLOOKUP(tbl_clean_sales[[#This Row],[Product_ID]],'03_Product_Master'!$A$1:$D$14,2,FALSE),"Missing")</f>
        <v>Laundry Liquid</v>
      </c>
      <c r="O76" s="25" t="str">
        <f>IFERROR(VLOOKUP(tbl_clean_sales[[#This Row],[Product_ID]],'03_Product_Master'!$A$1:$D$14,3,FALSE),"Missing")</f>
        <v>Home Care</v>
      </c>
      <c r="P76" s="25">
        <f>IFERROR(VLOOKUP(tbl_clean_sales[[#This Row],[Product_ID]],'03_Product_Master'!$A$1:$D$14,4,FALSE),"Missing")</f>
        <v>340</v>
      </c>
      <c r="Q76" s="25" t="str">
        <f>IF('03_Clean_data'!E76="","Missing",IFERROR(IF(VLOOKUP(E76,'04_Branch_Master'!$A$1:$C$7,1,FALSE)='03_Clean_data'!E76,"Valid","Invalid"),"Invalid"))</f>
        <v>Valid</v>
      </c>
      <c r="R76" s="25" t="str">
        <f>IFERROR(VLOOKUP(tbl_clean_sales[[#This Row],[Branch_ID]],'04_Branch_Master'!$A$1:$C$7,2,FALSE),"Missing")</f>
        <v>Palladam</v>
      </c>
      <c r="S76" s="25" t="str">
        <f>IFERROR(VLOOKUP(tbl_clean_sales[[#This Row],[Branch_ID]],'04_Branch_Master'!$A$1:$C$7,3,FALSE),"Missing")</f>
        <v>South</v>
      </c>
      <c r="T76" s="25" t="str">
        <f>C76&amp;"|"&amp;TEXT(tbl_clean_sales[[#This Row],[Date]],"yyyymm")</f>
        <v>E006|202606</v>
      </c>
      <c r="U76" s="25">
        <f>IFERROR(INDEX('05_Target_Master'!$A$1:$F$32,MATCH(tbl_clean_sales[[#This Row],[target key]],'05_Target_Master'!$F$1:$F$32,0),3),"Missing")</f>
        <v>125800</v>
      </c>
    </row>
    <row r="77" spans="1:21" x14ac:dyDescent="0.3">
      <c r="A77" s="21">
        <v>46165</v>
      </c>
      <c r="B77" s="22" t="s">
        <v>108</v>
      </c>
      <c r="C77" s="22" t="s">
        <v>40</v>
      </c>
      <c r="D77" s="22" t="s">
        <v>16</v>
      </c>
      <c r="E77" s="22" t="s">
        <v>26</v>
      </c>
      <c r="F77" s="22">
        <v>9</v>
      </c>
      <c r="G77" s="23">
        <v>2747.38</v>
      </c>
      <c r="H77" s="25" t="str">
        <f>IF(COUNTIF(tbl_clean_sales[Invoice_ID],tbl_clean_sales[[#This Row],[Invoice_ID]])&gt;1,"Duplicate","Unique")</f>
        <v>Unique</v>
      </c>
      <c r="I77" s="25"/>
      <c r="J7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7" s="25" t="str">
        <f>IFERROR(VLOOKUP(tbl_clean_sales[[#This Row],[Employee_ID]],'02_Employee_Master'!$A$1:$C$12,2,FALSE),"Employee Name Missing")</f>
        <v>Meena V</v>
      </c>
      <c r="L77" s="25" t="str">
        <f>IFERROR(VLOOKUP(tbl_clean_sales[[#This Row],[Employee_ID]],'02_Employee_Master'!$A$1:$C$12,3,FALSE),"Department Name Missing")</f>
        <v>Sales</v>
      </c>
      <c r="M77" s="25" t="str">
        <f>IF('03_Clean_data'!D77="","Missing",IFERROR(IF(VLOOKUP(D77,'03_Product_Master'!$A$1:$D$14,1,FALSE)='03_Clean_data'!D77,"Valid","Invalid"),"Invalid"))</f>
        <v>Valid</v>
      </c>
      <c r="N77" s="25" t="str">
        <f>IFERROR(VLOOKUP(tbl_clean_sales[[#This Row],[Product_ID]],'03_Product_Master'!$A$1:$D$14,2,FALSE),"Missing")</f>
        <v>Shampoo</v>
      </c>
      <c r="O77" s="25" t="str">
        <f>IFERROR(VLOOKUP(tbl_clean_sales[[#This Row],[Product_ID]],'03_Product_Master'!$A$1:$D$14,3,FALSE),"Missing")</f>
        <v>Personal Care</v>
      </c>
      <c r="P77" s="25">
        <f>IFERROR(VLOOKUP(tbl_clean_sales[[#This Row],[Product_ID]],'03_Product_Master'!$A$1:$D$14,4,FALSE),"Missing")</f>
        <v>310</v>
      </c>
      <c r="Q77" s="25" t="str">
        <f>IF('03_Clean_data'!E77="","Missing",IFERROR(IF(VLOOKUP(E77,'04_Branch_Master'!$A$1:$C$7,1,FALSE)='03_Clean_data'!E77,"Valid","Invalid"),"Invalid"))</f>
        <v>Valid</v>
      </c>
      <c r="R77" s="25" t="str">
        <f>IFERROR(VLOOKUP(tbl_clean_sales[[#This Row],[Branch_ID]],'04_Branch_Master'!$A$1:$C$7,2,FALSE),"Missing")</f>
        <v>Palladam</v>
      </c>
      <c r="S77" s="25" t="str">
        <f>IFERROR(VLOOKUP(tbl_clean_sales[[#This Row],[Branch_ID]],'04_Branch_Master'!$A$1:$C$7,3,FALSE),"Missing")</f>
        <v>South</v>
      </c>
      <c r="T77" s="25" t="str">
        <f>C77&amp;"|"&amp;TEXT(tbl_clean_sales[[#This Row],[Date]],"yyyymm")</f>
        <v>E006|202605</v>
      </c>
      <c r="U77" s="25">
        <f>IFERROR(INDEX('05_Target_Master'!$A$1:$F$32,MATCH(tbl_clean_sales[[#This Row],[target key]],'05_Target_Master'!$F$1:$F$32,0),3),"Missing")</f>
        <v>141500</v>
      </c>
    </row>
    <row r="78" spans="1:21" x14ac:dyDescent="0.3">
      <c r="A78" s="21">
        <v>46166</v>
      </c>
      <c r="B78" s="22" t="s">
        <v>109</v>
      </c>
      <c r="C78" s="22" t="s">
        <v>46</v>
      </c>
      <c r="D78" s="22" t="s">
        <v>43</v>
      </c>
      <c r="E78" s="22" t="s">
        <v>32</v>
      </c>
      <c r="F78" s="22">
        <v>3</v>
      </c>
      <c r="G78" s="23">
        <v>944.66</v>
      </c>
      <c r="H78" s="25" t="str">
        <f>IF(COUNTIF(tbl_clean_sales[Invoice_ID],tbl_clean_sales[[#This Row],[Invoice_ID]])&gt;1,"Duplicate","Unique")</f>
        <v>Unique</v>
      </c>
      <c r="I78" s="25"/>
      <c r="J7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8" s="25" t="str">
        <f>IFERROR(VLOOKUP(tbl_clean_sales[[#This Row],[Employee_ID]],'02_Employee_Master'!$A$1:$C$12,2,FALSE),"Employee Name Missing")</f>
        <v>Suresh B</v>
      </c>
      <c r="L78" s="25" t="str">
        <f>IFERROR(VLOOKUP(tbl_clean_sales[[#This Row],[Employee_ID]],'02_Employee_Master'!$A$1:$C$12,3,FALSE),"Department Name Missing")</f>
        <v>Sales</v>
      </c>
      <c r="M78" s="25" t="str">
        <f>IF('03_Clean_data'!D78="","Missing",IFERROR(IF(VLOOKUP(D78,'03_Product_Master'!$A$1:$D$14,1,FALSE)='03_Clean_data'!D78,"Valid","Invalid"),"Invalid"))</f>
        <v>Valid</v>
      </c>
      <c r="N78" s="25" t="str">
        <f>IFERROR(VLOOKUP(tbl_clean_sales[[#This Row],[Product_ID]],'03_Product_Master'!$A$1:$D$14,2,FALSE),"Missing")</f>
        <v>Laundry Liquid</v>
      </c>
      <c r="O78" s="25" t="str">
        <f>IFERROR(VLOOKUP(tbl_clean_sales[[#This Row],[Product_ID]],'03_Product_Master'!$A$1:$D$14,3,FALSE),"Missing")</f>
        <v>Home Care</v>
      </c>
      <c r="P78" s="25">
        <f>IFERROR(VLOOKUP(tbl_clean_sales[[#This Row],[Product_ID]],'03_Product_Master'!$A$1:$D$14,4,FALSE),"Missing")</f>
        <v>340</v>
      </c>
      <c r="Q78" s="25" t="str">
        <f>IF('03_Clean_data'!E78="","Missing",IFERROR(IF(VLOOKUP(E78,'04_Branch_Master'!$A$1:$C$7,1,FALSE)='03_Clean_data'!E78,"Valid","Invalid"),"Invalid"))</f>
        <v>Valid</v>
      </c>
      <c r="R78" s="25" t="str">
        <f>IFERROR(VLOOKUP(tbl_clean_sales[[#This Row],[Branch_ID]],'04_Branch_Master'!$A$1:$C$7,2,FALSE),"Missing")</f>
        <v>Kangeyam</v>
      </c>
      <c r="S78" s="25" t="str">
        <f>IFERROR(VLOOKUP(tbl_clean_sales[[#This Row],[Branch_ID]],'04_Branch_Master'!$A$1:$C$7,3,FALSE),"Missing")</f>
        <v>East</v>
      </c>
      <c r="T78" s="25" t="str">
        <f>C78&amp;"|"&amp;TEXT(tbl_clean_sales[[#This Row],[Date]],"yyyymm")</f>
        <v>E007|202605</v>
      </c>
      <c r="U78" s="25">
        <f>IFERROR(INDEX('05_Target_Master'!$A$1:$F$32,MATCH(tbl_clean_sales[[#This Row],[target key]],'05_Target_Master'!$F$1:$F$32,0),3),"Missing")</f>
        <v>140000</v>
      </c>
    </row>
    <row r="79" spans="1:21" x14ac:dyDescent="0.3">
      <c r="A79" s="21">
        <v>46151</v>
      </c>
      <c r="B79" s="22" t="s">
        <v>110</v>
      </c>
      <c r="C79" s="22" t="s">
        <v>46</v>
      </c>
      <c r="D79" s="22" t="s">
        <v>13</v>
      </c>
      <c r="E79" s="22" t="s">
        <v>26</v>
      </c>
      <c r="F79" s="22">
        <v>5</v>
      </c>
      <c r="G79" s="23">
        <v>1900.82</v>
      </c>
      <c r="H79" s="25" t="str">
        <f>IF(COUNTIF(tbl_clean_sales[Invoice_ID],tbl_clean_sales[[#This Row],[Invoice_ID]])&gt;1,"Duplicate","Unique")</f>
        <v>Unique</v>
      </c>
      <c r="I79" s="25"/>
      <c r="J7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9" s="25" t="str">
        <f>IFERROR(VLOOKUP(tbl_clean_sales[[#This Row],[Employee_ID]],'02_Employee_Master'!$A$1:$C$12,2,FALSE),"Employee Name Missing")</f>
        <v>Suresh B</v>
      </c>
      <c r="L79" s="25" t="str">
        <f>IFERROR(VLOOKUP(tbl_clean_sales[[#This Row],[Employee_ID]],'02_Employee_Master'!$A$1:$C$12,3,FALSE),"Department Name Missing")</f>
        <v>Sales</v>
      </c>
      <c r="M79" s="25" t="str">
        <f>IF('03_Clean_data'!D79="","Missing",IFERROR(IF(VLOOKUP(D79,'03_Product_Master'!$A$1:$D$14,1,FALSE)='03_Clean_data'!D79,"Valid","Invalid"),"Invalid"))</f>
        <v>Valid</v>
      </c>
      <c r="N79" s="25" t="str">
        <f>IFERROR(VLOOKUP(tbl_clean_sales[[#This Row],[Product_ID]],'03_Product_Master'!$A$1:$D$14,2,FALSE),"Missing")</f>
        <v>Body Lotion</v>
      </c>
      <c r="O79" s="25" t="str">
        <f>IFERROR(VLOOKUP(tbl_clean_sales[[#This Row],[Product_ID]],'03_Product_Master'!$A$1:$D$14,3,FALSE),"Missing")</f>
        <v>Personal Care</v>
      </c>
      <c r="P79" s="25">
        <f>IFERROR(VLOOKUP(tbl_clean_sales[[#This Row],[Product_ID]],'03_Product_Master'!$A$1:$D$14,4,FALSE),"Missing")</f>
        <v>390</v>
      </c>
      <c r="Q79" s="25" t="str">
        <f>IF('03_Clean_data'!E79="","Missing",IFERROR(IF(VLOOKUP(E79,'04_Branch_Master'!$A$1:$C$7,1,FALSE)='03_Clean_data'!E79,"Valid","Invalid"),"Invalid"))</f>
        <v>Valid</v>
      </c>
      <c r="R79" s="25" t="str">
        <f>IFERROR(VLOOKUP(tbl_clean_sales[[#This Row],[Branch_ID]],'04_Branch_Master'!$A$1:$C$7,2,FALSE),"Missing")</f>
        <v>Palladam</v>
      </c>
      <c r="S79" s="25" t="str">
        <f>IFERROR(VLOOKUP(tbl_clean_sales[[#This Row],[Branch_ID]],'04_Branch_Master'!$A$1:$C$7,3,FALSE),"Missing")</f>
        <v>South</v>
      </c>
      <c r="T79" s="25" t="str">
        <f>C79&amp;"|"&amp;TEXT(tbl_clean_sales[[#This Row],[Date]],"yyyymm")</f>
        <v>E007|202605</v>
      </c>
      <c r="U79" s="25">
        <f>IFERROR(INDEX('05_Target_Master'!$A$1:$F$32,MATCH(tbl_clean_sales[[#This Row],[target key]],'05_Target_Master'!$F$1:$F$32,0),3),"Missing")</f>
        <v>140000</v>
      </c>
    </row>
    <row r="80" spans="1:21" x14ac:dyDescent="0.3">
      <c r="A80" s="21">
        <v>46187</v>
      </c>
      <c r="B80" s="22" t="s">
        <v>111</v>
      </c>
      <c r="C80" s="22" t="s">
        <v>29</v>
      </c>
      <c r="D80" s="22" t="s">
        <v>43</v>
      </c>
      <c r="E80" s="22" t="s">
        <v>10</v>
      </c>
      <c r="F80" s="22">
        <v>8</v>
      </c>
      <c r="G80" s="23">
        <v>2575.6799999999998</v>
      </c>
      <c r="H80" s="25" t="str">
        <f>IF(COUNTIF(tbl_clean_sales[Invoice_ID],tbl_clean_sales[[#This Row],[Invoice_ID]])&gt;1,"Duplicate","Unique")</f>
        <v>Unique</v>
      </c>
      <c r="I80" s="25"/>
      <c r="J8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0" s="25" t="str">
        <f>IFERROR(VLOOKUP(tbl_clean_sales[[#This Row],[Employee_ID]],'02_Employee_Master'!$A$1:$C$12,2,FALSE),"Employee Name Missing")</f>
        <v>Swetha L</v>
      </c>
      <c r="L80" s="25" t="str">
        <f>IFERROR(VLOOKUP(tbl_clean_sales[[#This Row],[Employee_ID]],'02_Employee_Master'!$A$1:$C$12,3,FALSE),"Department Name Missing")</f>
        <v>Sales</v>
      </c>
      <c r="M80" s="25" t="str">
        <f>IF('03_Clean_data'!D80="","Missing",IFERROR(IF(VLOOKUP(D80,'03_Product_Master'!$A$1:$D$14,1,FALSE)='03_Clean_data'!D80,"Valid","Invalid"),"Invalid"))</f>
        <v>Valid</v>
      </c>
      <c r="N80" s="25" t="str">
        <f>IFERROR(VLOOKUP(tbl_clean_sales[[#This Row],[Product_ID]],'03_Product_Master'!$A$1:$D$14,2,FALSE),"Missing")</f>
        <v>Laundry Liquid</v>
      </c>
      <c r="O80" s="25" t="str">
        <f>IFERROR(VLOOKUP(tbl_clean_sales[[#This Row],[Product_ID]],'03_Product_Master'!$A$1:$D$14,3,FALSE),"Missing")</f>
        <v>Home Care</v>
      </c>
      <c r="P80" s="25">
        <f>IFERROR(VLOOKUP(tbl_clean_sales[[#This Row],[Product_ID]],'03_Product_Master'!$A$1:$D$14,4,FALSE),"Missing")</f>
        <v>340</v>
      </c>
      <c r="Q80" s="25" t="str">
        <f>IF('03_Clean_data'!E80="","Missing",IFERROR(IF(VLOOKUP(E80,'04_Branch_Master'!$A$1:$C$7,1,FALSE)='03_Clean_data'!E80,"Valid","Invalid"),"Invalid"))</f>
        <v>Valid</v>
      </c>
      <c r="R80" s="25" t="str">
        <f>IFERROR(VLOOKUP(tbl_clean_sales[[#This Row],[Branch_ID]],'04_Branch_Master'!$A$1:$C$7,2,FALSE),"Missing")</f>
        <v>Dharapuram</v>
      </c>
      <c r="S80" s="25" t="str">
        <f>IFERROR(VLOOKUP(tbl_clean_sales[[#This Row],[Branch_ID]],'04_Branch_Master'!$A$1:$C$7,3,FALSE),"Missing")</f>
        <v>South</v>
      </c>
      <c r="T80" s="25" t="str">
        <f>C80&amp;"|"&amp;TEXT(tbl_clean_sales[[#This Row],[Date]],"yyyymm")</f>
        <v>E010|202606</v>
      </c>
      <c r="U80" s="25">
        <f>IFERROR(INDEX('05_Target_Master'!$A$1:$F$32,MATCH(tbl_clean_sales[[#This Row],[target key]],'05_Target_Master'!$F$1:$F$32,0),3),"Missing")</f>
        <v>116800</v>
      </c>
    </row>
    <row r="81" spans="1:21" x14ac:dyDescent="0.3">
      <c r="A81" s="21">
        <v>46140</v>
      </c>
      <c r="B81" s="22" t="s">
        <v>112</v>
      </c>
      <c r="C81" s="22" t="s">
        <v>8</v>
      </c>
      <c r="D81" s="22" t="s">
        <v>48</v>
      </c>
      <c r="E81" s="22" t="s">
        <v>14</v>
      </c>
      <c r="F81" s="22">
        <v>11</v>
      </c>
      <c r="G81" s="23">
        <v>2830.9</v>
      </c>
      <c r="H81" s="25" t="str">
        <f>IF(COUNTIF(tbl_clean_sales[Invoice_ID],tbl_clean_sales[[#This Row],[Invoice_ID]])&gt;1,"Duplicate","Unique")</f>
        <v>Unique</v>
      </c>
      <c r="I81" s="25"/>
      <c r="J8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1" s="25" t="str">
        <f>IFERROR(VLOOKUP(tbl_clean_sales[[#This Row],[Employee_ID]],'02_Employee_Master'!$A$1:$C$12,2,FALSE),"Employee Name Missing")</f>
        <v>Vignesh R</v>
      </c>
      <c r="L81" s="25" t="str">
        <f>IFERROR(VLOOKUP(tbl_clean_sales[[#This Row],[Employee_ID]],'02_Employee_Master'!$A$1:$C$12,3,FALSE),"Department Name Missing")</f>
        <v>Sales</v>
      </c>
      <c r="M81" s="25" t="str">
        <f>IF('03_Clean_data'!D81="","Missing",IFERROR(IF(VLOOKUP(D81,'03_Product_Master'!$A$1:$D$14,1,FALSE)='03_Clean_data'!D81,"Valid","Invalid"),"Invalid"))</f>
        <v>Valid</v>
      </c>
      <c r="N81" s="25" t="str">
        <f>IFERROR(VLOOKUP(tbl_clean_sales[[#This Row],[Product_ID]],'03_Product_Master'!$A$1:$D$14,2,FALSE),"Missing")</f>
        <v>Face Wash</v>
      </c>
      <c r="O81" s="25" t="str">
        <f>IFERROR(VLOOKUP(tbl_clean_sales[[#This Row],[Product_ID]],'03_Product_Master'!$A$1:$D$14,3,FALSE),"Missing")</f>
        <v>Personal Care</v>
      </c>
      <c r="P81" s="25">
        <f>IFERROR(VLOOKUP(tbl_clean_sales[[#This Row],[Product_ID]],'03_Product_Master'!$A$1:$D$14,4,FALSE),"Missing")</f>
        <v>260</v>
      </c>
      <c r="Q81" s="25" t="str">
        <f>IF('03_Clean_data'!E81="","Missing",IFERROR(IF(VLOOKUP(E81,'04_Branch_Master'!$A$1:$C$7,1,FALSE)='03_Clean_data'!E81,"Valid","Invalid"),"Invalid"))</f>
        <v>Valid</v>
      </c>
      <c r="R81" s="25" t="str">
        <f>IFERROR(VLOOKUP(tbl_clean_sales[[#This Row],[Branch_ID]],'04_Branch_Master'!$A$1:$C$7,2,FALSE),"Missing")</f>
        <v>Avinashi Road</v>
      </c>
      <c r="S81" s="25" t="str">
        <f>IFERROR(VLOOKUP(tbl_clean_sales[[#This Row],[Branch_ID]],'04_Branch_Master'!$A$1:$C$7,3,FALSE),"Missing")</f>
        <v>North</v>
      </c>
      <c r="T81" s="25" t="str">
        <f>C81&amp;"|"&amp;TEXT(tbl_clean_sales[[#This Row],[Date]],"yyyymm")</f>
        <v>E009|202604</v>
      </c>
      <c r="U81" s="25">
        <f>IFERROR(INDEX('05_Target_Master'!$A$1:$F$32,MATCH(tbl_clean_sales[[#This Row],[target key]],'05_Target_Master'!$F$1:$F$32,0),3),"Missing")</f>
        <v>163300</v>
      </c>
    </row>
    <row r="82" spans="1:21" x14ac:dyDescent="0.3">
      <c r="A82" s="21">
        <v>46178</v>
      </c>
      <c r="B82" s="22" t="s">
        <v>113</v>
      </c>
      <c r="C82" s="22" t="s">
        <v>29</v>
      </c>
      <c r="D82" s="22" t="s">
        <v>34</v>
      </c>
      <c r="E82" s="22" t="s">
        <v>10</v>
      </c>
      <c r="F82" s="22">
        <v>4</v>
      </c>
      <c r="G82" s="23">
        <v>404.48</v>
      </c>
      <c r="H82" s="25" t="str">
        <f>IF(COUNTIF(tbl_clean_sales[Invoice_ID],tbl_clean_sales[[#This Row],[Invoice_ID]])&gt;1,"Duplicate","Unique")</f>
        <v>Unique</v>
      </c>
      <c r="I82" s="25"/>
      <c r="J8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2" s="25" t="str">
        <f>IFERROR(VLOOKUP(tbl_clean_sales[[#This Row],[Employee_ID]],'02_Employee_Master'!$A$1:$C$12,2,FALSE),"Employee Name Missing")</f>
        <v>Swetha L</v>
      </c>
      <c r="L82" s="25" t="str">
        <f>IFERROR(VLOOKUP(tbl_clean_sales[[#This Row],[Employee_ID]],'02_Employee_Master'!$A$1:$C$12,3,FALSE),"Department Name Missing")</f>
        <v>Sales</v>
      </c>
      <c r="M82" s="25" t="str">
        <f>IF('03_Clean_data'!D82="","Missing",IFERROR(IF(VLOOKUP(D82,'03_Product_Master'!$A$1:$D$14,1,FALSE)='03_Clean_data'!D82,"Valid","Invalid"),"Invalid"))</f>
        <v>Valid</v>
      </c>
      <c r="N82" s="25" t="str">
        <f>IFERROR(VLOOKUP(tbl_clean_sales[[#This Row],[Product_ID]],'03_Product_Master'!$A$1:$D$14,2,FALSE),"Missing")</f>
        <v>Potato Chips</v>
      </c>
      <c r="O82" s="25" t="str">
        <f>IFERROR(VLOOKUP(tbl_clean_sales[[#This Row],[Product_ID]],'03_Product_Master'!$A$1:$D$14,3,FALSE),"Missing")</f>
        <v>Snacks</v>
      </c>
      <c r="P82" s="25">
        <f>IFERROR(VLOOKUP(tbl_clean_sales[[#This Row],[Product_ID]],'03_Product_Master'!$A$1:$D$14,4,FALSE),"Missing")</f>
        <v>110</v>
      </c>
      <c r="Q82" s="25" t="str">
        <f>IF('03_Clean_data'!E82="","Missing",IFERROR(IF(VLOOKUP(E82,'04_Branch_Master'!$A$1:$C$7,1,FALSE)='03_Clean_data'!E82,"Valid","Invalid"),"Invalid"))</f>
        <v>Valid</v>
      </c>
      <c r="R82" s="25" t="str">
        <f>IFERROR(VLOOKUP(tbl_clean_sales[[#This Row],[Branch_ID]],'04_Branch_Master'!$A$1:$C$7,2,FALSE),"Missing")</f>
        <v>Dharapuram</v>
      </c>
      <c r="S82" s="25" t="str">
        <f>IFERROR(VLOOKUP(tbl_clean_sales[[#This Row],[Branch_ID]],'04_Branch_Master'!$A$1:$C$7,3,FALSE),"Missing")</f>
        <v>South</v>
      </c>
      <c r="T82" s="25" t="str">
        <f>C82&amp;"|"&amp;TEXT(tbl_clean_sales[[#This Row],[Date]],"yyyymm")</f>
        <v>E010|202606</v>
      </c>
      <c r="U82" s="25">
        <f>IFERROR(INDEX('05_Target_Master'!$A$1:$F$32,MATCH(tbl_clean_sales[[#This Row],[target key]],'05_Target_Master'!$F$1:$F$32,0),3),"Missing")</f>
        <v>116800</v>
      </c>
    </row>
    <row r="83" spans="1:21" x14ac:dyDescent="0.3">
      <c r="A83" s="21">
        <v>46141</v>
      </c>
      <c r="B83" s="22" t="s">
        <v>114</v>
      </c>
      <c r="C83" s="22" t="s">
        <v>12</v>
      </c>
      <c r="D83" s="22" t="s">
        <v>53</v>
      </c>
      <c r="E83" s="22" t="s">
        <v>14</v>
      </c>
      <c r="F83" s="22">
        <v>4</v>
      </c>
      <c r="G83" s="23">
        <v>1234.7</v>
      </c>
      <c r="H83" s="25" t="str">
        <f>IF(COUNTIF(tbl_clean_sales[Invoice_ID],tbl_clean_sales[[#This Row],[Invoice_ID]])&gt;1,"Duplicate","Unique")</f>
        <v>Unique</v>
      </c>
      <c r="I83" s="25"/>
      <c r="J8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3" s="25" t="str">
        <f>IFERROR(VLOOKUP(tbl_clean_sales[[#This Row],[Employee_ID]],'02_Employee_Master'!$A$1:$C$12,2,FALSE),"Employee Name Missing")</f>
        <v>Divya R</v>
      </c>
      <c r="L83" s="25" t="str">
        <f>IFERROR(VLOOKUP(tbl_clean_sales[[#This Row],[Employee_ID]],'02_Employee_Master'!$A$1:$C$12,3,FALSE),"Department Name Missing")</f>
        <v>Sales</v>
      </c>
      <c r="M83" s="25" t="str">
        <f>IF('03_Clean_data'!D83="","Missing",IFERROR(IF(VLOOKUP(D83,'03_Product_Master'!$A$1:$D$14,1,FALSE)='03_Clean_data'!D83,"Valid","Invalid"),"Invalid"))</f>
        <v>Valid</v>
      </c>
      <c r="N83" s="25" t="str">
        <f>IFERROR(VLOOKUP(tbl_clean_sales[[#This Row],[Product_ID]],'03_Product_Master'!$A$1:$D$14,2,FALSE),"Missing")</f>
        <v>Instant Coffee</v>
      </c>
      <c r="O83" s="25" t="str">
        <f>IFERROR(VLOOKUP(tbl_clean_sales[[#This Row],[Product_ID]],'03_Product_Master'!$A$1:$D$14,3,FALSE),"Missing")</f>
        <v>Beverages</v>
      </c>
      <c r="P83" s="25">
        <f>IFERROR(VLOOKUP(tbl_clean_sales[[#This Row],[Product_ID]],'03_Product_Master'!$A$1:$D$14,4,FALSE),"Missing")</f>
        <v>350</v>
      </c>
      <c r="Q83" s="25" t="str">
        <f>IF('03_Clean_data'!E83="","Missing",IFERROR(IF(VLOOKUP(E83,'04_Branch_Master'!$A$1:$C$7,1,FALSE)='03_Clean_data'!E83,"Valid","Invalid"),"Invalid"))</f>
        <v>Valid</v>
      </c>
      <c r="R83" s="25" t="str">
        <f>IFERROR(VLOOKUP(tbl_clean_sales[[#This Row],[Branch_ID]],'04_Branch_Master'!$A$1:$C$7,2,FALSE),"Missing")</f>
        <v>Avinashi Road</v>
      </c>
      <c r="S83" s="25" t="str">
        <f>IFERROR(VLOOKUP(tbl_clean_sales[[#This Row],[Branch_ID]],'04_Branch_Master'!$A$1:$C$7,3,FALSE),"Missing")</f>
        <v>North</v>
      </c>
      <c r="T83" s="25" t="str">
        <f>C83&amp;"|"&amp;TEXT(tbl_clean_sales[[#This Row],[Date]],"yyyymm")</f>
        <v>E004|202604</v>
      </c>
      <c r="U83" s="25">
        <f>IFERROR(INDEX('05_Target_Master'!$A$1:$F$32,MATCH(tbl_clean_sales[[#This Row],[target key]],'05_Target_Master'!$F$1:$F$32,0),3),"Missing")</f>
        <v>163600</v>
      </c>
    </row>
    <row r="84" spans="1:21" x14ac:dyDescent="0.3">
      <c r="A84" s="21">
        <v>46191</v>
      </c>
      <c r="B84" s="22" t="s">
        <v>115</v>
      </c>
      <c r="C84" s="22" t="s">
        <v>21</v>
      </c>
      <c r="D84" s="22" t="s">
        <v>48</v>
      </c>
      <c r="E84" s="22" t="s">
        <v>22</v>
      </c>
      <c r="F84" s="22">
        <v>11</v>
      </c>
      <c r="G84" s="23">
        <v>2662.43</v>
      </c>
      <c r="H84" s="25" t="str">
        <f>IF(COUNTIF(tbl_clean_sales[Invoice_ID],tbl_clean_sales[[#This Row],[Invoice_ID]])&gt;1,"Duplicate","Unique")</f>
        <v>Unique</v>
      </c>
      <c r="I84" s="25"/>
      <c r="J8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4" s="25" t="str">
        <f>IFERROR(VLOOKUP(tbl_clean_sales[[#This Row],[Employee_ID]],'02_Employee_Master'!$A$1:$C$12,2,FALSE),"Employee Name Missing")</f>
        <v>Priya S</v>
      </c>
      <c r="L84" s="25" t="str">
        <f>IFERROR(VLOOKUP(tbl_clean_sales[[#This Row],[Employee_ID]],'02_Employee_Master'!$A$1:$C$12,3,FALSE),"Department Name Missing")</f>
        <v>Sales</v>
      </c>
      <c r="M84" s="25" t="str">
        <f>IF('03_Clean_data'!D84="","Missing",IFERROR(IF(VLOOKUP(D84,'03_Product_Master'!$A$1:$D$14,1,FALSE)='03_Clean_data'!D84,"Valid","Invalid"),"Invalid"))</f>
        <v>Valid</v>
      </c>
      <c r="N84" s="25" t="str">
        <f>IFERROR(VLOOKUP(tbl_clean_sales[[#This Row],[Product_ID]],'03_Product_Master'!$A$1:$D$14,2,FALSE),"Missing")</f>
        <v>Face Wash</v>
      </c>
      <c r="O84" s="25" t="str">
        <f>IFERROR(VLOOKUP(tbl_clean_sales[[#This Row],[Product_ID]],'03_Product_Master'!$A$1:$D$14,3,FALSE),"Missing")</f>
        <v>Personal Care</v>
      </c>
      <c r="P84" s="25">
        <f>IFERROR(VLOOKUP(tbl_clean_sales[[#This Row],[Product_ID]],'03_Product_Master'!$A$1:$D$14,4,FALSE),"Missing")</f>
        <v>260</v>
      </c>
      <c r="Q84" s="25" t="str">
        <f>IF('03_Clean_data'!E84="","Missing",IFERROR(IF(VLOOKUP(E84,'04_Branch_Master'!$A$1:$C$7,1,FALSE)='03_Clean_data'!E84,"Valid","Invalid"),"Invalid"))</f>
        <v>Valid</v>
      </c>
      <c r="R84" s="25" t="str">
        <f>IFERROR(VLOOKUP(tbl_clean_sales[[#This Row],[Branch_ID]],'04_Branch_Master'!$A$1:$C$7,2,FALSE),"Missing")</f>
        <v>Tirupur Central</v>
      </c>
      <c r="S84" s="25" t="str">
        <f>IFERROR(VLOOKUP(tbl_clean_sales[[#This Row],[Branch_ID]],'04_Branch_Master'!$A$1:$C$7,3,FALSE),"Missing")</f>
        <v>North</v>
      </c>
      <c r="T84" s="25" t="str">
        <f>C84&amp;"|"&amp;TEXT(tbl_clean_sales[[#This Row],[Date]],"yyyymm")</f>
        <v>E002|202606</v>
      </c>
      <c r="U84" s="25">
        <f>IFERROR(INDEX('05_Target_Master'!$A$1:$F$32,MATCH(tbl_clean_sales[[#This Row],[target key]],'05_Target_Master'!$F$1:$F$32,0),3),"Missing")</f>
        <v>117400</v>
      </c>
    </row>
    <row r="85" spans="1:21" x14ac:dyDescent="0.3">
      <c r="A85" s="21">
        <v>46202</v>
      </c>
      <c r="B85" s="22" t="s">
        <v>116</v>
      </c>
      <c r="C85" s="22" t="s">
        <v>46</v>
      </c>
      <c r="D85" s="22" t="s">
        <v>48</v>
      </c>
      <c r="E85" s="22" t="s">
        <v>32</v>
      </c>
      <c r="F85" s="22">
        <v>3</v>
      </c>
      <c r="G85" s="23">
        <v>718.59</v>
      </c>
      <c r="H85" s="25" t="str">
        <f>IF(COUNTIF(tbl_clean_sales[Invoice_ID],tbl_clean_sales[[#This Row],[Invoice_ID]])&gt;1,"Duplicate","Unique")</f>
        <v>Unique</v>
      </c>
      <c r="I85" s="25"/>
      <c r="J8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5" s="25" t="str">
        <f>IFERROR(VLOOKUP(tbl_clean_sales[[#This Row],[Employee_ID]],'02_Employee_Master'!$A$1:$C$12,2,FALSE),"Employee Name Missing")</f>
        <v>Suresh B</v>
      </c>
      <c r="L85" s="25" t="str">
        <f>IFERROR(VLOOKUP(tbl_clean_sales[[#This Row],[Employee_ID]],'02_Employee_Master'!$A$1:$C$12,3,FALSE),"Department Name Missing")</f>
        <v>Sales</v>
      </c>
      <c r="M85" s="25" t="str">
        <f>IF('03_Clean_data'!D85="","Missing",IFERROR(IF(VLOOKUP(D85,'03_Product_Master'!$A$1:$D$14,1,FALSE)='03_Clean_data'!D85,"Valid","Invalid"),"Invalid"))</f>
        <v>Valid</v>
      </c>
      <c r="N85" s="25" t="str">
        <f>IFERROR(VLOOKUP(tbl_clean_sales[[#This Row],[Product_ID]],'03_Product_Master'!$A$1:$D$14,2,FALSE),"Missing")</f>
        <v>Face Wash</v>
      </c>
      <c r="O85" s="25" t="str">
        <f>IFERROR(VLOOKUP(tbl_clean_sales[[#This Row],[Product_ID]],'03_Product_Master'!$A$1:$D$14,3,FALSE),"Missing")</f>
        <v>Personal Care</v>
      </c>
      <c r="P85" s="25">
        <f>IFERROR(VLOOKUP(tbl_clean_sales[[#This Row],[Product_ID]],'03_Product_Master'!$A$1:$D$14,4,FALSE),"Missing")</f>
        <v>260</v>
      </c>
      <c r="Q85" s="25" t="str">
        <f>IF('03_Clean_data'!E85="","Missing",IFERROR(IF(VLOOKUP(E85,'04_Branch_Master'!$A$1:$C$7,1,FALSE)='03_Clean_data'!E85,"Valid","Invalid"),"Invalid"))</f>
        <v>Valid</v>
      </c>
      <c r="R85" s="25" t="str">
        <f>IFERROR(VLOOKUP(tbl_clean_sales[[#This Row],[Branch_ID]],'04_Branch_Master'!$A$1:$C$7,2,FALSE),"Missing")</f>
        <v>Kangeyam</v>
      </c>
      <c r="S85" s="25" t="str">
        <f>IFERROR(VLOOKUP(tbl_clean_sales[[#This Row],[Branch_ID]],'04_Branch_Master'!$A$1:$C$7,3,FALSE),"Missing")</f>
        <v>East</v>
      </c>
      <c r="T85" s="25" t="str">
        <f>C85&amp;"|"&amp;TEXT(tbl_clean_sales[[#This Row],[Date]],"yyyymm")</f>
        <v>E007|202606</v>
      </c>
      <c r="U85" s="25">
        <f>IFERROR(INDEX('05_Target_Master'!$A$1:$F$32,MATCH(tbl_clean_sales[[#This Row],[target key]],'05_Target_Master'!$F$1:$F$32,0),3),"Missing")</f>
        <v>124400</v>
      </c>
    </row>
    <row r="86" spans="1:21" x14ac:dyDescent="0.3">
      <c r="A86" s="21">
        <v>46113</v>
      </c>
      <c r="B86" s="22" t="s">
        <v>117</v>
      </c>
      <c r="C86" s="22" t="s">
        <v>21</v>
      </c>
      <c r="D86" s="22" t="s">
        <v>16</v>
      </c>
      <c r="E86" s="22" t="s">
        <v>22</v>
      </c>
      <c r="F86" s="22">
        <v>12</v>
      </c>
      <c r="G86" s="23">
        <v>3488.78</v>
      </c>
      <c r="H86" s="25" t="str">
        <f>IF(COUNTIF(tbl_clean_sales[Invoice_ID],tbl_clean_sales[[#This Row],[Invoice_ID]])&gt;1,"Duplicate","Unique")</f>
        <v>Unique</v>
      </c>
      <c r="I86" s="25"/>
      <c r="J8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6" s="25" t="str">
        <f>IFERROR(VLOOKUP(tbl_clean_sales[[#This Row],[Employee_ID]],'02_Employee_Master'!$A$1:$C$12,2,FALSE),"Employee Name Missing")</f>
        <v>Priya S</v>
      </c>
      <c r="L86" s="25" t="str">
        <f>IFERROR(VLOOKUP(tbl_clean_sales[[#This Row],[Employee_ID]],'02_Employee_Master'!$A$1:$C$12,3,FALSE),"Department Name Missing")</f>
        <v>Sales</v>
      </c>
      <c r="M86" s="25" t="str">
        <f>IF('03_Clean_data'!D86="","Missing",IFERROR(IF(VLOOKUP(D86,'03_Product_Master'!$A$1:$D$14,1,FALSE)='03_Clean_data'!D86,"Valid","Invalid"),"Invalid"))</f>
        <v>Valid</v>
      </c>
      <c r="N86" s="25" t="str">
        <f>IFERROR(VLOOKUP(tbl_clean_sales[[#This Row],[Product_ID]],'03_Product_Master'!$A$1:$D$14,2,FALSE),"Missing")</f>
        <v>Shampoo</v>
      </c>
      <c r="O86" s="25" t="str">
        <f>IFERROR(VLOOKUP(tbl_clean_sales[[#This Row],[Product_ID]],'03_Product_Master'!$A$1:$D$14,3,FALSE),"Missing")</f>
        <v>Personal Care</v>
      </c>
      <c r="P86" s="25">
        <f>IFERROR(VLOOKUP(tbl_clean_sales[[#This Row],[Product_ID]],'03_Product_Master'!$A$1:$D$14,4,FALSE),"Missing")</f>
        <v>310</v>
      </c>
      <c r="Q86" s="25" t="str">
        <f>IF('03_Clean_data'!E86="","Missing",IFERROR(IF(VLOOKUP(E86,'04_Branch_Master'!$A$1:$C$7,1,FALSE)='03_Clean_data'!E86,"Valid","Invalid"),"Invalid"))</f>
        <v>Valid</v>
      </c>
      <c r="R86" s="25" t="str">
        <f>IFERROR(VLOOKUP(tbl_clean_sales[[#This Row],[Branch_ID]],'04_Branch_Master'!$A$1:$C$7,2,FALSE),"Missing")</f>
        <v>Tirupur Central</v>
      </c>
      <c r="S86" s="25" t="str">
        <f>IFERROR(VLOOKUP(tbl_clean_sales[[#This Row],[Branch_ID]],'04_Branch_Master'!$A$1:$C$7,3,FALSE),"Missing")</f>
        <v>North</v>
      </c>
      <c r="T86" s="25" t="str">
        <f>C86&amp;"|"&amp;TEXT(tbl_clean_sales[[#This Row],[Date]],"yyyymm")</f>
        <v>E002|202604</v>
      </c>
      <c r="U86" s="25">
        <f>IFERROR(INDEX('05_Target_Master'!$A$1:$F$32,MATCH(tbl_clean_sales[[#This Row],[target key]],'05_Target_Master'!$F$1:$F$32,0),3),"Missing")</f>
        <v>122300</v>
      </c>
    </row>
    <row r="87" spans="1:21" x14ac:dyDescent="0.3">
      <c r="A87" s="21">
        <v>46119</v>
      </c>
      <c r="B87" s="22" t="s">
        <v>118</v>
      </c>
      <c r="C87" s="22"/>
      <c r="D87" s="22" t="s">
        <v>30</v>
      </c>
      <c r="E87" s="22" t="s">
        <v>22</v>
      </c>
      <c r="F87" s="22">
        <v>8</v>
      </c>
      <c r="G87" s="23">
        <v>1259.52</v>
      </c>
      <c r="H87" s="25" t="str">
        <f>IF(COUNTIF(tbl_clean_sales[Invoice_ID],tbl_clean_sales[[#This Row],[Invoice_ID]])&gt;1,"Duplicate","Unique")</f>
        <v>Unique</v>
      </c>
      <c r="I87" s="25"/>
      <c r="J8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Missing</v>
      </c>
      <c r="K87" s="25" t="str">
        <f>IFERROR(VLOOKUP(tbl_clean_sales[[#This Row],[Employee_ID]],'02_Employee_Master'!$A$1:$C$12,2,FALSE),"Employee Name Missing")</f>
        <v>Employee Name Missing</v>
      </c>
      <c r="L87" s="25" t="str">
        <f>IFERROR(VLOOKUP(tbl_clean_sales[[#This Row],[Employee_ID]],'02_Employee_Master'!$A$1:$C$12,3,FALSE),"Department Name Missing")</f>
        <v>Department Name Missing</v>
      </c>
      <c r="M87" s="25" t="str">
        <f>IF('03_Clean_data'!D87="","Missing",IFERROR(IF(VLOOKUP(D87,'03_Product_Master'!$A$1:$D$14,1,FALSE)='03_Clean_data'!D87,"Valid","Invalid"),"Invalid"))</f>
        <v>Valid</v>
      </c>
      <c r="N87" s="25" t="str">
        <f>IFERROR(VLOOKUP(tbl_clean_sales[[#This Row],[Product_ID]],'03_Product_Master'!$A$1:$D$14,2,FALSE),"Missing")</f>
        <v>Cookies Pack</v>
      </c>
      <c r="O87" s="25" t="str">
        <f>IFERROR(VLOOKUP(tbl_clean_sales[[#This Row],[Product_ID]],'03_Product_Master'!$A$1:$D$14,3,FALSE),"Missing")</f>
        <v>Snacks</v>
      </c>
      <c r="P87" s="25">
        <f>IFERROR(VLOOKUP(tbl_clean_sales[[#This Row],[Product_ID]],'03_Product_Master'!$A$1:$D$14,4,FALSE),"Missing")</f>
        <v>160</v>
      </c>
      <c r="Q87" s="25" t="str">
        <f>IF('03_Clean_data'!E87="","Missing",IFERROR(IF(VLOOKUP(E87,'04_Branch_Master'!$A$1:$C$7,1,FALSE)='03_Clean_data'!E87,"Valid","Invalid"),"Invalid"))</f>
        <v>Valid</v>
      </c>
      <c r="R87" s="25" t="str">
        <f>IFERROR(VLOOKUP(tbl_clean_sales[[#This Row],[Branch_ID]],'04_Branch_Master'!$A$1:$C$7,2,FALSE),"Missing")</f>
        <v>Tirupur Central</v>
      </c>
      <c r="S87" s="25" t="str">
        <f>IFERROR(VLOOKUP(tbl_clean_sales[[#This Row],[Branch_ID]],'04_Branch_Master'!$A$1:$C$7,3,FALSE),"Missing")</f>
        <v>North</v>
      </c>
      <c r="T87" s="25" t="str">
        <f>C87&amp;"|"&amp;TEXT(tbl_clean_sales[[#This Row],[Date]],"yyyymm")</f>
        <v>|202604</v>
      </c>
      <c r="U87" s="25" t="str">
        <f>IFERROR(INDEX('05_Target_Master'!$A$1:$F$32,MATCH(tbl_clean_sales[[#This Row],[target key]],'05_Target_Master'!$F$1:$F$32,0),3),"Missing")</f>
        <v>Missing</v>
      </c>
    </row>
    <row r="88" spans="1:21" x14ac:dyDescent="0.3">
      <c r="A88" s="21">
        <v>46172</v>
      </c>
      <c r="B88" s="22" t="s">
        <v>119</v>
      </c>
      <c r="C88" s="22" t="s">
        <v>8</v>
      </c>
      <c r="D88" s="22" t="s">
        <v>13</v>
      </c>
      <c r="E88" s="22" t="s">
        <v>10</v>
      </c>
      <c r="F88" s="22">
        <v>8</v>
      </c>
      <c r="G88" s="23">
        <v>2890.62</v>
      </c>
      <c r="H88" s="25" t="str">
        <f>IF(COUNTIF(tbl_clean_sales[Invoice_ID],tbl_clean_sales[[#This Row],[Invoice_ID]])&gt;1,"Duplicate","Unique")</f>
        <v>Unique</v>
      </c>
      <c r="I88" s="25"/>
      <c r="J8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8" s="25" t="str">
        <f>IFERROR(VLOOKUP(tbl_clean_sales[[#This Row],[Employee_ID]],'02_Employee_Master'!$A$1:$C$12,2,FALSE),"Employee Name Missing")</f>
        <v>Vignesh R</v>
      </c>
      <c r="L88" s="25" t="str">
        <f>IFERROR(VLOOKUP(tbl_clean_sales[[#This Row],[Employee_ID]],'02_Employee_Master'!$A$1:$C$12,3,FALSE),"Department Name Missing")</f>
        <v>Sales</v>
      </c>
      <c r="M88" s="25" t="str">
        <f>IF('03_Clean_data'!D88="","Missing",IFERROR(IF(VLOOKUP(D88,'03_Product_Master'!$A$1:$D$14,1,FALSE)='03_Clean_data'!D88,"Valid","Invalid"),"Invalid"))</f>
        <v>Valid</v>
      </c>
      <c r="N88" s="25" t="str">
        <f>IFERROR(VLOOKUP(tbl_clean_sales[[#This Row],[Product_ID]],'03_Product_Master'!$A$1:$D$14,2,FALSE),"Missing")</f>
        <v>Body Lotion</v>
      </c>
      <c r="O88" s="25" t="str">
        <f>IFERROR(VLOOKUP(tbl_clean_sales[[#This Row],[Product_ID]],'03_Product_Master'!$A$1:$D$14,3,FALSE),"Missing")</f>
        <v>Personal Care</v>
      </c>
      <c r="P88" s="25">
        <f>IFERROR(VLOOKUP(tbl_clean_sales[[#This Row],[Product_ID]],'03_Product_Master'!$A$1:$D$14,4,FALSE),"Missing")</f>
        <v>390</v>
      </c>
      <c r="Q88" s="25" t="str">
        <f>IF('03_Clean_data'!E88="","Missing",IFERROR(IF(VLOOKUP(E88,'04_Branch_Master'!$A$1:$C$7,1,FALSE)='03_Clean_data'!E88,"Valid","Invalid"),"Invalid"))</f>
        <v>Valid</v>
      </c>
      <c r="R88" s="25" t="str">
        <f>IFERROR(VLOOKUP(tbl_clean_sales[[#This Row],[Branch_ID]],'04_Branch_Master'!$A$1:$C$7,2,FALSE),"Missing")</f>
        <v>Dharapuram</v>
      </c>
      <c r="S88" s="25" t="str">
        <f>IFERROR(VLOOKUP(tbl_clean_sales[[#This Row],[Branch_ID]],'04_Branch_Master'!$A$1:$C$7,3,FALSE),"Missing")</f>
        <v>South</v>
      </c>
      <c r="T88" s="25" t="str">
        <f>C88&amp;"|"&amp;TEXT(tbl_clean_sales[[#This Row],[Date]],"yyyymm")</f>
        <v>E009|202605</v>
      </c>
      <c r="U88" s="25">
        <f>IFERROR(INDEX('05_Target_Master'!$A$1:$F$32,MATCH(tbl_clean_sales[[#This Row],[target key]],'05_Target_Master'!$F$1:$F$32,0),3),"Missing")</f>
        <v>176300</v>
      </c>
    </row>
    <row r="89" spans="1:21" x14ac:dyDescent="0.3">
      <c r="A89" s="21">
        <v>46177</v>
      </c>
      <c r="B89" s="22" t="s">
        <v>120</v>
      </c>
      <c r="C89" s="22" t="s">
        <v>46</v>
      </c>
      <c r="D89" s="22" t="s">
        <v>13</v>
      </c>
      <c r="E89" s="22" t="s">
        <v>32</v>
      </c>
      <c r="F89" s="22">
        <v>3</v>
      </c>
      <c r="G89" s="23">
        <v>1065.5899999999999</v>
      </c>
      <c r="H89" s="25" t="str">
        <f>IF(COUNTIF(tbl_clean_sales[Invoice_ID],tbl_clean_sales[[#This Row],[Invoice_ID]])&gt;1,"Duplicate","Unique")</f>
        <v>Unique</v>
      </c>
      <c r="I89" s="25"/>
      <c r="J8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89" s="25" t="str">
        <f>IFERROR(VLOOKUP(tbl_clean_sales[[#This Row],[Employee_ID]],'02_Employee_Master'!$A$1:$C$12,2,FALSE),"Employee Name Missing")</f>
        <v>Suresh B</v>
      </c>
      <c r="L89" s="25" t="str">
        <f>IFERROR(VLOOKUP(tbl_clean_sales[[#This Row],[Employee_ID]],'02_Employee_Master'!$A$1:$C$12,3,FALSE),"Department Name Missing")</f>
        <v>Sales</v>
      </c>
      <c r="M89" s="25" t="str">
        <f>IF('03_Clean_data'!D89="","Missing",IFERROR(IF(VLOOKUP(D89,'03_Product_Master'!$A$1:$D$14,1,FALSE)='03_Clean_data'!D89,"Valid","Invalid"),"Invalid"))</f>
        <v>Valid</v>
      </c>
      <c r="N89" s="25" t="str">
        <f>IFERROR(VLOOKUP(tbl_clean_sales[[#This Row],[Product_ID]],'03_Product_Master'!$A$1:$D$14,2,FALSE),"Missing")</f>
        <v>Body Lotion</v>
      </c>
      <c r="O89" s="25" t="str">
        <f>IFERROR(VLOOKUP(tbl_clean_sales[[#This Row],[Product_ID]],'03_Product_Master'!$A$1:$D$14,3,FALSE),"Missing")</f>
        <v>Personal Care</v>
      </c>
      <c r="P89" s="25">
        <f>IFERROR(VLOOKUP(tbl_clean_sales[[#This Row],[Product_ID]],'03_Product_Master'!$A$1:$D$14,4,FALSE),"Missing")</f>
        <v>390</v>
      </c>
      <c r="Q89" s="25" t="str">
        <f>IF('03_Clean_data'!E89="","Missing",IFERROR(IF(VLOOKUP(E89,'04_Branch_Master'!$A$1:$C$7,1,FALSE)='03_Clean_data'!E89,"Valid","Invalid"),"Invalid"))</f>
        <v>Valid</v>
      </c>
      <c r="R89" s="25" t="str">
        <f>IFERROR(VLOOKUP(tbl_clean_sales[[#This Row],[Branch_ID]],'04_Branch_Master'!$A$1:$C$7,2,FALSE),"Missing")</f>
        <v>Kangeyam</v>
      </c>
      <c r="S89" s="25" t="str">
        <f>IFERROR(VLOOKUP(tbl_clean_sales[[#This Row],[Branch_ID]],'04_Branch_Master'!$A$1:$C$7,3,FALSE),"Missing")</f>
        <v>East</v>
      </c>
      <c r="T89" s="25" t="str">
        <f>C89&amp;"|"&amp;TEXT(tbl_clean_sales[[#This Row],[Date]],"yyyymm")</f>
        <v>E007|202606</v>
      </c>
      <c r="U89" s="25">
        <f>IFERROR(INDEX('05_Target_Master'!$A$1:$F$32,MATCH(tbl_clean_sales[[#This Row],[target key]],'05_Target_Master'!$F$1:$F$32,0),3),"Missing")</f>
        <v>124400</v>
      </c>
    </row>
    <row r="90" spans="1:21" x14ac:dyDescent="0.3">
      <c r="A90" s="21">
        <v>46173</v>
      </c>
      <c r="B90" s="22" t="s">
        <v>121</v>
      </c>
      <c r="C90" s="22" t="s">
        <v>38</v>
      </c>
      <c r="D90" s="22" t="s">
        <v>82</v>
      </c>
      <c r="E90" s="22" t="s">
        <v>32</v>
      </c>
      <c r="F90" s="22">
        <v>11</v>
      </c>
      <c r="G90" s="23">
        <v>1276.07</v>
      </c>
      <c r="H90" s="25" t="str">
        <f>IF(COUNTIF(tbl_clean_sales[Invoice_ID],tbl_clean_sales[[#This Row],[Invoice_ID]])&gt;1,"Duplicate","Unique")</f>
        <v>Unique</v>
      </c>
      <c r="I90" s="25"/>
      <c r="J9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0" s="25" t="str">
        <f>IFERROR(VLOOKUP(tbl_clean_sales[[#This Row],[Employee_ID]],'02_Employee_Master'!$A$1:$C$12,2,FALSE),"Employee Name Missing")</f>
        <v>Nandhini K</v>
      </c>
      <c r="L90" s="25" t="str">
        <f>IFERROR(VLOOKUP(tbl_clean_sales[[#This Row],[Employee_ID]],'02_Employee_Master'!$A$1:$C$12,3,FALSE),"Department Name Missing")</f>
        <v>Sales</v>
      </c>
      <c r="M90" s="25" t="str">
        <f>IF('03_Clean_data'!D90="","Missing",IFERROR(IF(VLOOKUP(D90,'03_Product_Master'!$A$1:$D$14,1,FALSE)='03_Clean_data'!D90,"Valid","Invalid"),"Invalid"))</f>
        <v>Valid</v>
      </c>
      <c r="N90" s="25" t="str">
        <f>IFERROR(VLOOKUP(tbl_clean_sales[[#This Row],[Product_ID]],'03_Product_Master'!$A$1:$D$14,2,FALSE),"Missing")</f>
        <v>Chocolate Bar</v>
      </c>
      <c r="O90" s="25" t="str">
        <f>IFERROR(VLOOKUP(tbl_clean_sales[[#This Row],[Product_ID]],'03_Product_Master'!$A$1:$D$14,3,FALSE),"Missing")</f>
        <v>Snacks</v>
      </c>
      <c r="P90" s="25">
        <f>IFERROR(VLOOKUP(tbl_clean_sales[[#This Row],[Product_ID]],'03_Product_Master'!$A$1:$D$14,4,FALSE),"Missing")</f>
        <v>120</v>
      </c>
      <c r="Q90" s="25" t="str">
        <f>IF('03_Clean_data'!E90="","Missing",IFERROR(IF(VLOOKUP(E90,'04_Branch_Master'!$A$1:$C$7,1,FALSE)='03_Clean_data'!E90,"Valid","Invalid"),"Invalid"))</f>
        <v>Valid</v>
      </c>
      <c r="R90" s="25" t="str">
        <f>IFERROR(VLOOKUP(tbl_clean_sales[[#This Row],[Branch_ID]],'04_Branch_Master'!$A$1:$C$7,2,FALSE),"Missing")</f>
        <v>Kangeyam</v>
      </c>
      <c r="S90" s="25" t="str">
        <f>IFERROR(VLOOKUP(tbl_clean_sales[[#This Row],[Branch_ID]],'04_Branch_Master'!$A$1:$C$7,3,FALSE),"Missing")</f>
        <v>East</v>
      </c>
      <c r="T90" s="25" t="str">
        <f>C90&amp;"|"&amp;TEXT(tbl_clean_sales[[#This Row],[Date]],"yyyymm")</f>
        <v>E008|202605</v>
      </c>
      <c r="U90" s="25">
        <f>IFERROR(INDEX('05_Target_Master'!$A$1:$F$32,MATCH(tbl_clean_sales[[#This Row],[target key]],'05_Target_Master'!$F$1:$F$32,0),3),"Missing")</f>
        <v>134100</v>
      </c>
    </row>
    <row r="91" spans="1:21" x14ac:dyDescent="0.3">
      <c r="A91" s="21">
        <v>46179</v>
      </c>
      <c r="B91" s="22" t="s">
        <v>122</v>
      </c>
      <c r="C91" s="22" t="s">
        <v>38</v>
      </c>
      <c r="D91" s="22" t="s">
        <v>43</v>
      </c>
      <c r="E91" s="22" t="s">
        <v>32</v>
      </c>
      <c r="F91" s="22">
        <v>8</v>
      </c>
      <c r="G91" s="23">
        <v>2694.71</v>
      </c>
      <c r="H91" s="25" t="str">
        <f>IF(COUNTIF(tbl_clean_sales[Invoice_ID],tbl_clean_sales[[#This Row],[Invoice_ID]])&gt;1,"Duplicate","Unique")</f>
        <v>Unique</v>
      </c>
      <c r="I91" s="25"/>
      <c r="J9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1" s="25" t="str">
        <f>IFERROR(VLOOKUP(tbl_clean_sales[[#This Row],[Employee_ID]],'02_Employee_Master'!$A$1:$C$12,2,FALSE),"Employee Name Missing")</f>
        <v>Nandhini K</v>
      </c>
      <c r="L91" s="25" t="str">
        <f>IFERROR(VLOOKUP(tbl_clean_sales[[#This Row],[Employee_ID]],'02_Employee_Master'!$A$1:$C$12,3,FALSE),"Department Name Missing")</f>
        <v>Sales</v>
      </c>
      <c r="M91" s="25" t="str">
        <f>IF('03_Clean_data'!D91="","Missing",IFERROR(IF(VLOOKUP(D91,'03_Product_Master'!$A$1:$D$14,1,FALSE)='03_Clean_data'!D91,"Valid","Invalid"),"Invalid"))</f>
        <v>Valid</v>
      </c>
      <c r="N91" s="25" t="str">
        <f>IFERROR(VLOOKUP(tbl_clean_sales[[#This Row],[Product_ID]],'03_Product_Master'!$A$1:$D$14,2,FALSE),"Missing")</f>
        <v>Laundry Liquid</v>
      </c>
      <c r="O91" s="25" t="str">
        <f>IFERROR(VLOOKUP(tbl_clean_sales[[#This Row],[Product_ID]],'03_Product_Master'!$A$1:$D$14,3,FALSE),"Missing")</f>
        <v>Home Care</v>
      </c>
      <c r="P91" s="25">
        <f>IFERROR(VLOOKUP(tbl_clean_sales[[#This Row],[Product_ID]],'03_Product_Master'!$A$1:$D$14,4,FALSE),"Missing")</f>
        <v>340</v>
      </c>
      <c r="Q91" s="25" t="str">
        <f>IF('03_Clean_data'!E91="","Missing",IFERROR(IF(VLOOKUP(E91,'04_Branch_Master'!$A$1:$C$7,1,FALSE)='03_Clean_data'!E91,"Valid","Invalid"),"Invalid"))</f>
        <v>Valid</v>
      </c>
      <c r="R91" s="25" t="str">
        <f>IFERROR(VLOOKUP(tbl_clean_sales[[#This Row],[Branch_ID]],'04_Branch_Master'!$A$1:$C$7,2,FALSE),"Missing")</f>
        <v>Kangeyam</v>
      </c>
      <c r="S91" s="25" t="str">
        <f>IFERROR(VLOOKUP(tbl_clean_sales[[#This Row],[Branch_ID]],'04_Branch_Master'!$A$1:$C$7,3,FALSE),"Missing")</f>
        <v>East</v>
      </c>
      <c r="T91" s="25" t="str">
        <f>C91&amp;"|"&amp;TEXT(tbl_clean_sales[[#This Row],[Date]],"yyyymm")</f>
        <v>E008|202606</v>
      </c>
      <c r="U91" s="25">
        <f>IFERROR(INDEX('05_Target_Master'!$A$1:$F$32,MATCH(tbl_clean_sales[[#This Row],[target key]],'05_Target_Master'!$F$1:$F$32,0),3),"Missing")</f>
        <v>119200</v>
      </c>
    </row>
    <row r="92" spans="1:21" x14ac:dyDescent="0.3">
      <c r="A92" s="21">
        <v>46149</v>
      </c>
      <c r="B92" s="22" t="s">
        <v>123</v>
      </c>
      <c r="C92" s="22" t="s">
        <v>12</v>
      </c>
      <c r="D92" s="22" t="s">
        <v>82</v>
      </c>
      <c r="E92" s="22" t="s">
        <v>14</v>
      </c>
      <c r="F92" s="22">
        <v>9</v>
      </c>
      <c r="G92" s="23">
        <v>1069.56</v>
      </c>
      <c r="H92" s="25" t="str">
        <f>IF(COUNTIF(tbl_clean_sales[Invoice_ID],tbl_clean_sales[[#This Row],[Invoice_ID]])&gt;1,"Duplicate","Unique")</f>
        <v>Unique</v>
      </c>
      <c r="I92" s="25"/>
      <c r="J9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2" s="25" t="str">
        <f>IFERROR(VLOOKUP(tbl_clean_sales[[#This Row],[Employee_ID]],'02_Employee_Master'!$A$1:$C$12,2,FALSE),"Employee Name Missing")</f>
        <v>Divya R</v>
      </c>
      <c r="L92" s="25" t="str">
        <f>IFERROR(VLOOKUP(tbl_clean_sales[[#This Row],[Employee_ID]],'02_Employee_Master'!$A$1:$C$12,3,FALSE),"Department Name Missing")</f>
        <v>Sales</v>
      </c>
      <c r="M92" s="25" t="str">
        <f>IF('03_Clean_data'!D92="","Missing",IFERROR(IF(VLOOKUP(D92,'03_Product_Master'!$A$1:$D$14,1,FALSE)='03_Clean_data'!D92,"Valid","Invalid"),"Invalid"))</f>
        <v>Valid</v>
      </c>
      <c r="N92" s="25" t="str">
        <f>IFERROR(VLOOKUP(tbl_clean_sales[[#This Row],[Product_ID]],'03_Product_Master'!$A$1:$D$14,2,FALSE),"Missing")</f>
        <v>Chocolate Bar</v>
      </c>
      <c r="O92" s="25" t="str">
        <f>IFERROR(VLOOKUP(tbl_clean_sales[[#This Row],[Product_ID]],'03_Product_Master'!$A$1:$D$14,3,FALSE),"Missing")</f>
        <v>Snacks</v>
      </c>
      <c r="P92" s="25">
        <f>IFERROR(VLOOKUP(tbl_clean_sales[[#This Row],[Product_ID]],'03_Product_Master'!$A$1:$D$14,4,FALSE),"Missing")</f>
        <v>120</v>
      </c>
      <c r="Q92" s="25" t="str">
        <f>IF('03_Clean_data'!E92="","Missing",IFERROR(IF(VLOOKUP(E92,'04_Branch_Master'!$A$1:$C$7,1,FALSE)='03_Clean_data'!E92,"Valid","Invalid"),"Invalid"))</f>
        <v>Valid</v>
      </c>
      <c r="R92" s="25" t="str">
        <f>IFERROR(VLOOKUP(tbl_clean_sales[[#This Row],[Branch_ID]],'04_Branch_Master'!$A$1:$C$7,2,FALSE),"Missing")</f>
        <v>Avinashi Road</v>
      </c>
      <c r="S92" s="25" t="str">
        <f>IFERROR(VLOOKUP(tbl_clean_sales[[#This Row],[Branch_ID]],'04_Branch_Master'!$A$1:$C$7,3,FALSE),"Missing")</f>
        <v>North</v>
      </c>
      <c r="T92" s="25" t="str">
        <f>C92&amp;"|"&amp;TEXT(tbl_clean_sales[[#This Row],[Date]],"yyyymm")</f>
        <v>E004|202605</v>
      </c>
      <c r="U92" s="25">
        <f>IFERROR(INDEX('05_Target_Master'!$A$1:$F$32,MATCH(tbl_clean_sales[[#This Row],[target key]],'05_Target_Master'!$F$1:$F$32,0),3),"Missing")</f>
        <v>176700</v>
      </c>
    </row>
    <row r="93" spans="1:21" x14ac:dyDescent="0.3">
      <c r="A93" s="21">
        <v>46132</v>
      </c>
      <c r="B93" s="22" t="s">
        <v>124</v>
      </c>
      <c r="C93" s="22" t="s">
        <v>12</v>
      </c>
      <c r="D93" s="22" t="s">
        <v>16</v>
      </c>
      <c r="E93" s="22" t="s">
        <v>14</v>
      </c>
      <c r="F93" s="22">
        <v>12</v>
      </c>
      <c r="G93" s="23">
        <v>3624.49</v>
      </c>
      <c r="H93" s="25" t="str">
        <f>IF(COUNTIF(tbl_clean_sales[Invoice_ID],tbl_clean_sales[[#This Row],[Invoice_ID]])&gt;1,"Duplicate","Unique")</f>
        <v>Unique</v>
      </c>
      <c r="I93" s="25"/>
      <c r="J9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3" s="25" t="str">
        <f>IFERROR(VLOOKUP(tbl_clean_sales[[#This Row],[Employee_ID]],'02_Employee_Master'!$A$1:$C$12,2,FALSE),"Employee Name Missing")</f>
        <v>Divya R</v>
      </c>
      <c r="L93" s="25" t="str">
        <f>IFERROR(VLOOKUP(tbl_clean_sales[[#This Row],[Employee_ID]],'02_Employee_Master'!$A$1:$C$12,3,FALSE),"Department Name Missing")</f>
        <v>Sales</v>
      </c>
      <c r="M93" s="25" t="str">
        <f>IF('03_Clean_data'!D93="","Missing",IFERROR(IF(VLOOKUP(D93,'03_Product_Master'!$A$1:$D$14,1,FALSE)='03_Clean_data'!D93,"Valid","Invalid"),"Invalid"))</f>
        <v>Valid</v>
      </c>
      <c r="N93" s="25" t="str">
        <f>IFERROR(VLOOKUP(tbl_clean_sales[[#This Row],[Product_ID]],'03_Product_Master'!$A$1:$D$14,2,FALSE),"Missing")</f>
        <v>Shampoo</v>
      </c>
      <c r="O93" s="25" t="str">
        <f>IFERROR(VLOOKUP(tbl_clean_sales[[#This Row],[Product_ID]],'03_Product_Master'!$A$1:$D$14,3,FALSE),"Missing")</f>
        <v>Personal Care</v>
      </c>
      <c r="P93" s="25">
        <f>IFERROR(VLOOKUP(tbl_clean_sales[[#This Row],[Product_ID]],'03_Product_Master'!$A$1:$D$14,4,FALSE),"Missing")</f>
        <v>310</v>
      </c>
      <c r="Q93" s="25" t="str">
        <f>IF('03_Clean_data'!E93="","Missing",IFERROR(IF(VLOOKUP(E93,'04_Branch_Master'!$A$1:$C$7,1,FALSE)='03_Clean_data'!E93,"Valid","Invalid"),"Invalid"))</f>
        <v>Valid</v>
      </c>
      <c r="R93" s="25" t="str">
        <f>IFERROR(VLOOKUP(tbl_clean_sales[[#This Row],[Branch_ID]],'04_Branch_Master'!$A$1:$C$7,2,FALSE),"Missing")</f>
        <v>Avinashi Road</v>
      </c>
      <c r="S93" s="25" t="str">
        <f>IFERROR(VLOOKUP(tbl_clean_sales[[#This Row],[Branch_ID]],'04_Branch_Master'!$A$1:$C$7,3,FALSE),"Missing")</f>
        <v>North</v>
      </c>
      <c r="T93" s="25" t="str">
        <f>C93&amp;"|"&amp;TEXT(tbl_clean_sales[[#This Row],[Date]],"yyyymm")</f>
        <v>E004|202604</v>
      </c>
      <c r="U93" s="25">
        <f>IFERROR(INDEX('05_Target_Master'!$A$1:$F$32,MATCH(tbl_clean_sales[[#This Row],[target key]],'05_Target_Master'!$F$1:$F$32,0),3),"Missing")</f>
        <v>163600</v>
      </c>
    </row>
    <row r="94" spans="1:21" x14ac:dyDescent="0.3">
      <c r="A94" s="21">
        <v>46166</v>
      </c>
      <c r="B94" s="22" t="s">
        <v>125</v>
      </c>
      <c r="C94" s="22" t="s">
        <v>46</v>
      </c>
      <c r="D94" s="22" t="s">
        <v>34</v>
      </c>
      <c r="E94" s="22" t="s">
        <v>32</v>
      </c>
      <c r="F94" s="22">
        <v>7</v>
      </c>
      <c r="G94" s="23">
        <v>764.25</v>
      </c>
      <c r="H94" s="25" t="str">
        <f>IF(COUNTIF(tbl_clean_sales[Invoice_ID],tbl_clean_sales[[#This Row],[Invoice_ID]])&gt;1,"Duplicate","Unique")</f>
        <v>Unique</v>
      </c>
      <c r="I94" s="25"/>
      <c r="J9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4" s="25" t="str">
        <f>IFERROR(VLOOKUP(tbl_clean_sales[[#This Row],[Employee_ID]],'02_Employee_Master'!$A$1:$C$12,2,FALSE),"Employee Name Missing")</f>
        <v>Suresh B</v>
      </c>
      <c r="L94" s="25" t="str">
        <f>IFERROR(VLOOKUP(tbl_clean_sales[[#This Row],[Employee_ID]],'02_Employee_Master'!$A$1:$C$12,3,FALSE),"Department Name Missing")</f>
        <v>Sales</v>
      </c>
      <c r="M94" s="25" t="str">
        <f>IF('03_Clean_data'!D94="","Missing",IFERROR(IF(VLOOKUP(D94,'03_Product_Master'!$A$1:$D$14,1,FALSE)='03_Clean_data'!D94,"Valid","Invalid"),"Invalid"))</f>
        <v>Valid</v>
      </c>
      <c r="N94" s="25" t="str">
        <f>IFERROR(VLOOKUP(tbl_clean_sales[[#This Row],[Product_ID]],'03_Product_Master'!$A$1:$D$14,2,FALSE),"Missing")</f>
        <v>Potato Chips</v>
      </c>
      <c r="O94" s="25" t="str">
        <f>IFERROR(VLOOKUP(tbl_clean_sales[[#This Row],[Product_ID]],'03_Product_Master'!$A$1:$D$14,3,FALSE),"Missing")</f>
        <v>Snacks</v>
      </c>
      <c r="P94" s="25">
        <f>IFERROR(VLOOKUP(tbl_clean_sales[[#This Row],[Product_ID]],'03_Product_Master'!$A$1:$D$14,4,FALSE),"Missing")</f>
        <v>110</v>
      </c>
      <c r="Q94" s="25" t="str">
        <f>IF('03_Clean_data'!E94="","Missing",IFERROR(IF(VLOOKUP(E94,'04_Branch_Master'!$A$1:$C$7,1,FALSE)='03_Clean_data'!E94,"Valid","Invalid"),"Invalid"))</f>
        <v>Valid</v>
      </c>
      <c r="R94" s="25" t="str">
        <f>IFERROR(VLOOKUP(tbl_clean_sales[[#This Row],[Branch_ID]],'04_Branch_Master'!$A$1:$C$7,2,FALSE),"Missing")</f>
        <v>Kangeyam</v>
      </c>
      <c r="S94" s="25" t="str">
        <f>IFERROR(VLOOKUP(tbl_clean_sales[[#This Row],[Branch_ID]],'04_Branch_Master'!$A$1:$C$7,3,FALSE),"Missing")</f>
        <v>East</v>
      </c>
      <c r="T94" s="25" t="str">
        <f>C94&amp;"|"&amp;TEXT(tbl_clean_sales[[#This Row],[Date]],"yyyymm")</f>
        <v>E007|202605</v>
      </c>
      <c r="U94" s="25">
        <f>IFERROR(INDEX('05_Target_Master'!$A$1:$F$32,MATCH(tbl_clean_sales[[#This Row],[target key]],'05_Target_Master'!$F$1:$F$32,0),3),"Missing")</f>
        <v>140000</v>
      </c>
    </row>
    <row r="95" spans="1:21" x14ac:dyDescent="0.3">
      <c r="A95" s="21">
        <v>46166</v>
      </c>
      <c r="B95" s="22" t="s">
        <v>126</v>
      </c>
      <c r="C95" s="22" t="s">
        <v>46</v>
      </c>
      <c r="D95" s="22" t="s">
        <v>36</v>
      </c>
      <c r="E95" s="22" t="s">
        <v>22</v>
      </c>
      <c r="F95" s="22">
        <v>10</v>
      </c>
      <c r="G95" s="23">
        <v>1813.27</v>
      </c>
      <c r="H95" s="25" t="str">
        <f>IF(COUNTIF(tbl_clean_sales[Invoice_ID],tbl_clean_sales[[#This Row],[Invoice_ID]])&gt;1,"Duplicate","Unique")</f>
        <v>Unique</v>
      </c>
      <c r="I95" s="25"/>
      <c r="J9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5" s="25" t="str">
        <f>IFERROR(VLOOKUP(tbl_clean_sales[[#This Row],[Employee_ID]],'02_Employee_Master'!$A$1:$C$12,2,FALSE),"Employee Name Missing")</f>
        <v>Suresh B</v>
      </c>
      <c r="L95" s="25" t="str">
        <f>IFERROR(VLOOKUP(tbl_clean_sales[[#This Row],[Employee_ID]],'02_Employee_Master'!$A$1:$C$12,3,FALSE),"Department Name Missing")</f>
        <v>Sales</v>
      </c>
      <c r="M95" s="25" t="str">
        <f>IF('03_Clean_data'!D95="","Missing",IFERROR(IF(VLOOKUP(D95,'03_Product_Master'!$A$1:$D$14,1,FALSE)='03_Clean_data'!D95,"Valid","Invalid"),"Invalid"))</f>
        <v>Valid</v>
      </c>
      <c r="N95" s="25" t="str">
        <f>IFERROR(VLOOKUP(tbl_clean_sales[[#This Row],[Product_ID]],'03_Product_Master'!$A$1:$D$14,2,FALSE),"Missing")</f>
        <v>Dish Wash</v>
      </c>
      <c r="O95" s="25" t="str">
        <f>IFERROR(VLOOKUP(tbl_clean_sales[[#This Row],[Product_ID]],'03_Product_Master'!$A$1:$D$14,3,FALSE),"Missing")</f>
        <v>Home Care</v>
      </c>
      <c r="P95" s="25">
        <f>IFERROR(VLOOKUP(tbl_clean_sales[[#This Row],[Product_ID]],'03_Product_Master'!$A$1:$D$14,4,FALSE),"Missing")</f>
        <v>190</v>
      </c>
      <c r="Q95" s="25" t="str">
        <f>IF('03_Clean_data'!E95="","Missing",IFERROR(IF(VLOOKUP(E95,'04_Branch_Master'!$A$1:$C$7,1,FALSE)='03_Clean_data'!E95,"Valid","Invalid"),"Invalid"))</f>
        <v>Valid</v>
      </c>
      <c r="R95" s="25" t="str">
        <f>IFERROR(VLOOKUP(tbl_clean_sales[[#This Row],[Branch_ID]],'04_Branch_Master'!$A$1:$C$7,2,FALSE),"Missing")</f>
        <v>Tirupur Central</v>
      </c>
      <c r="S95" s="25" t="str">
        <f>IFERROR(VLOOKUP(tbl_clean_sales[[#This Row],[Branch_ID]],'04_Branch_Master'!$A$1:$C$7,3,FALSE),"Missing")</f>
        <v>North</v>
      </c>
      <c r="T95" s="25" t="str">
        <f>C95&amp;"|"&amp;TEXT(tbl_clean_sales[[#This Row],[Date]],"yyyymm")</f>
        <v>E007|202605</v>
      </c>
      <c r="U95" s="25">
        <f>IFERROR(INDEX('05_Target_Master'!$A$1:$F$32,MATCH(tbl_clean_sales[[#This Row],[target key]],'05_Target_Master'!$F$1:$F$32,0),3),"Missing")</f>
        <v>140000</v>
      </c>
    </row>
    <row r="96" spans="1:21" x14ac:dyDescent="0.3">
      <c r="A96" s="21">
        <v>46113</v>
      </c>
      <c r="B96" s="22" t="s">
        <v>127</v>
      </c>
      <c r="C96" s="22" t="s">
        <v>40</v>
      </c>
      <c r="D96" s="22" t="s">
        <v>82</v>
      </c>
      <c r="E96" s="22" t="s">
        <v>26</v>
      </c>
      <c r="F96" s="22">
        <v>7</v>
      </c>
      <c r="G96" s="23">
        <v>785.75</v>
      </c>
      <c r="H96" s="25" t="str">
        <f>IF(COUNTIF(tbl_clean_sales[Invoice_ID],tbl_clean_sales[[#This Row],[Invoice_ID]])&gt;1,"Duplicate","Unique")</f>
        <v>Unique</v>
      </c>
      <c r="I96" s="25"/>
      <c r="J9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6" s="25" t="str">
        <f>IFERROR(VLOOKUP(tbl_clean_sales[[#This Row],[Employee_ID]],'02_Employee_Master'!$A$1:$C$12,2,FALSE),"Employee Name Missing")</f>
        <v>Meena V</v>
      </c>
      <c r="L96" s="25" t="str">
        <f>IFERROR(VLOOKUP(tbl_clean_sales[[#This Row],[Employee_ID]],'02_Employee_Master'!$A$1:$C$12,3,FALSE),"Department Name Missing")</f>
        <v>Sales</v>
      </c>
      <c r="M96" s="25" t="str">
        <f>IF('03_Clean_data'!D96="","Missing",IFERROR(IF(VLOOKUP(D96,'03_Product_Master'!$A$1:$D$14,1,FALSE)='03_Clean_data'!D96,"Valid","Invalid"),"Invalid"))</f>
        <v>Valid</v>
      </c>
      <c r="N96" s="25" t="str">
        <f>IFERROR(VLOOKUP(tbl_clean_sales[[#This Row],[Product_ID]],'03_Product_Master'!$A$1:$D$14,2,FALSE),"Missing")</f>
        <v>Chocolate Bar</v>
      </c>
      <c r="O96" s="25" t="str">
        <f>IFERROR(VLOOKUP(tbl_clean_sales[[#This Row],[Product_ID]],'03_Product_Master'!$A$1:$D$14,3,FALSE),"Missing")</f>
        <v>Snacks</v>
      </c>
      <c r="P96" s="25">
        <f>IFERROR(VLOOKUP(tbl_clean_sales[[#This Row],[Product_ID]],'03_Product_Master'!$A$1:$D$14,4,FALSE),"Missing")</f>
        <v>120</v>
      </c>
      <c r="Q96" s="25" t="str">
        <f>IF('03_Clean_data'!E96="","Missing",IFERROR(IF(VLOOKUP(E96,'04_Branch_Master'!$A$1:$C$7,1,FALSE)='03_Clean_data'!E96,"Valid","Invalid"),"Invalid"))</f>
        <v>Valid</v>
      </c>
      <c r="R96" s="25" t="str">
        <f>IFERROR(VLOOKUP(tbl_clean_sales[[#This Row],[Branch_ID]],'04_Branch_Master'!$A$1:$C$7,2,FALSE),"Missing")</f>
        <v>Palladam</v>
      </c>
      <c r="S96" s="25" t="str">
        <f>IFERROR(VLOOKUP(tbl_clean_sales[[#This Row],[Branch_ID]],'04_Branch_Master'!$A$1:$C$7,3,FALSE),"Missing")</f>
        <v>South</v>
      </c>
      <c r="T96" s="25" t="str">
        <f>C96&amp;"|"&amp;TEXT(tbl_clean_sales[[#This Row],[Date]],"yyyymm")</f>
        <v>E006|202604</v>
      </c>
      <c r="U96" s="25">
        <f>IFERROR(INDEX('05_Target_Master'!$A$1:$F$32,MATCH(tbl_clean_sales[[#This Row],[target key]],'05_Target_Master'!$F$1:$F$32,0),3),"Missing")</f>
        <v>131000</v>
      </c>
    </row>
    <row r="97" spans="1:21" x14ac:dyDescent="0.3">
      <c r="A97" s="21">
        <v>46182</v>
      </c>
      <c r="B97" s="22" t="s">
        <v>128</v>
      </c>
      <c r="C97" s="22" t="s">
        <v>29</v>
      </c>
      <c r="D97" s="22" t="s">
        <v>30</v>
      </c>
      <c r="E97" s="22" t="s">
        <v>10</v>
      </c>
      <c r="F97" s="22">
        <v>5</v>
      </c>
      <c r="G97" s="23">
        <v>758.16</v>
      </c>
      <c r="H97" s="25" t="str">
        <f>IF(COUNTIF(tbl_clean_sales[Invoice_ID],tbl_clean_sales[[#This Row],[Invoice_ID]])&gt;1,"Duplicate","Unique")</f>
        <v>Unique</v>
      </c>
      <c r="I97" s="25"/>
      <c r="J9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7" s="25" t="str">
        <f>IFERROR(VLOOKUP(tbl_clean_sales[[#This Row],[Employee_ID]],'02_Employee_Master'!$A$1:$C$12,2,FALSE),"Employee Name Missing")</f>
        <v>Swetha L</v>
      </c>
      <c r="L97" s="25" t="str">
        <f>IFERROR(VLOOKUP(tbl_clean_sales[[#This Row],[Employee_ID]],'02_Employee_Master'!$A$1:$C$12,3,FALSE),"Department Name Missing")</f>
        <v>Sales</v>
      </c>
      <c r="M97" s="25" t="str">
        <f>IF('03_Clean_data'!D97="","Missing",IFERROR(IF(VLOOKUP(D97,'03_Product_Master'!$A$1:$D$14,1,FALSE)='03_Clean_data'!D97,"Valid","Invalid"),"Invalid"))</f>
        <v>Valid</v>
      </c>
      <c r="N97" s="25" t="str">
        <f>IFERROR(VLOOKUP(tbl_clean_sales[[#This Row],[Product_ID]],'03_Product_Master'!$A$1:$D$14,2,FALSE),"Missing")</f>
        <v>Cookies Pack</v>
      </c>
      <c r="O97" s="25" t="str">
        <f>IFERROR(VLOOKUP(tbl_clean_sales[[#This Row],[Product_ID]],'03_Product_Master'!$A$1:$D$14,3,FALSE),"Missing")</f>
        <v>Snacks</v>
      </c>
      <c r="P97" s="25">
        <f>IFERROR(VLOOKUP(tbl_clean_sales[[#This Row],[Product_ID]],'03_Product_Master'!$A$1:$D$14,4,FALSE),"Missing")</f>
        <v>160</v>
      </c>
      <c r="Q97" s="25" t="str">
        <f>IF('03_Clean_data'!E97="","Missing",IFERROR(IF(VLOOKUP(E97,'04_Branch_Master'!$A$1:$C$7,1,FALSE)='03_Clean_data'!E97,"Valid","Invalid"),"Invalid"))</f>
        <v>Valid</v>
      </c>
      <c r="R97" s="25" t="str">
        <f>IFERROR(VLOOKUP(tbl_clean_sales[[#This Row],[Branch_ID]],'04_Branch_Master'!$A$1:$C$7,2,FALSE),"Missing")</f>
        <v>Dharapuram</v>
      </c>
      <c r="S97" s="25" t="str">
        <f>IFERROR(VLOOKUP(tbl_clean_sales[[#This Row],[Branch_ID]],'04_Branch_Master'!$A$1:$C$7,3,FALSE),"Missing")</f>
        <v>South</v>
      </c>
      <c r="T97" s="25" t="str">
        <f>C97&amp;"|"&amp;TEXT(tbl_clean_sales[[#This Row],[Date]],"yyyymm")</f>
        <v>E010|202606</v>
      </c>
      <c r="U97" s="25">
        <f>IFERROR(INDEX('05_Target_Master'!$A$1:$F$32,MATCH(tbl_clean_sales[[#This Row],[target key]],'05_Target_Master'!$F$1:$F$32,0),3),"Missing")</f>
        <v>116800</v>
      </c>
    </row>
    <row r="98" spans="1:21" x14ac:dyDescent="0.3">
      <c r="A98" s="21">
        <v>46116</v>
      </c>
      <c r="B98" s="22" t="s">
        <v>129</v>
      </c>
      <c r="C98" s="22" t="s">
        <v>46</v>
      </c>
      <c r="D98" s="22" t="s">
        <v>34</v>
      </c>
      <c r="E98" s="22" t="s">
        <v>32</v>
      </c>
      <c r="F98" s="22">
        <v>7</v>
      </c>
      <c r="G98" s="23">
        <v>703.09</v>
      </c>
      <c r="H98" s="25" t="str">
        <f>IF(COUNTIF(tbl_clean_sales[Invoice_ID],tbl_clean_sales[[#This Row],[Invoice_ID]])&gt;1,"Duplicate","Unique")</f>
        <v>Unique</v>
      </c>
      <c r="I98" s="25"/>
      <c r="J9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8" s="25" t="str">
        <f>IFERROR(VLOOKUP(tbl_clean_sales[[#This Row],[Employee_ID]],'02_Employee_Master'!$A$1:$C$12,2,FALSE),"Employee Name Missing")</f>
        <v>Suresh B</v>
      </c>
      <c r="L98" s="25" t="str">
        <f>IFERROR(VLOOKUP(tbl_clean_sales[[#This Row],[Employee_ID]],'02_Employee_Master'!$A$1:$C$12,3,FALSE),"Department Name Missing")</f>
        <v>Sales</v>
      </c>
      <c r="M98" s="25" t="str">
        <f>IF('03_Clean_data'!D98="","Missing",IFERROR(IF(VLOOKUP(D98,'03_Product_Master'!$A$1:$D$14,1,FALSE)='03_Clean_data'!D98,"Valid","Invalid"),"Invalid"))</f>
        <v>Valid</v>
      </c>
      <c r="N98" s="25" t="str">
        <f>IFERROR(VLOOKUP(tbl_clean_sales[[#This Row],[Product_ID]],'03_Product_Master'!$A$1:$D$14,2,FALSE),"Missing")</f>
        <v>Potato Chips</v>
      </c>
      <c r="O98" s="25" t="str">
        <f>IFERROR(VLOOKUP(tbl_clean_sales[[#This Row],[Product_ID]],'03_Product_Master'!$A$1:$D$14,3,FALSE),"Missing")</f>
        <v>Snacks</v>
      </c>
      <c r="P98" s="25">
        <f>IFERROR(VLOOKUP(tbl_clean_sales[[#This Row],[Product_ID]],'03_Product_Master'!$A$1:$D$14,4,FALSE),"Missing")</f>
        <v>110</v>
      </c>
      <c r="Q98" s="25" t="str">
        <f>IF('03_Clean_data'!E98="","Missing",IFERROR(IF(VLOOKUP(E98,'04_Branch_Master'!$A$1:$C$7,1,FALSE)='03_Clean_data'!E98,"Valid","Invalid"),"Invalid"))</f>
        <v>Valid</v>
      </c>
      <c r="R98" s="25" t="str">
        <f>IFERROR(VLOOKUP(tbl_clean_sales[[#This Row],[Branch_ID]],'04_Branch_Master'!$A$1:$C$7,2,FALSE),"Missing")</f>
        <v>Kangeyam</v>
      </c>
      <c r="S98" s="25" t="str">
        <f>IFERROR(VLOOKUP(tbl_clean_sales[[#This Row],[Branch_ID]],'04_Branch_Master'!$A$1:$C$7,3,FALSE),"Missing")</f>
        <v>East</v>
      </c>
      <c r="T98" s="25" t="str">
        <f>C98&amp;"|"&amp;TEXT(tbl_clean_sales[[#This Row],[Date]],"yyyymm")</f>
        <v>E007|202604</v>
      </c>
      <c r="U98" s="25">
        <f>IFERROR(INDEX('05_Target_Master'!$A$1:$F$32,MATCH(tbl_clean_sales[[#This Row],[target key]],'05_Target_Master'!$F$1:$F$32,0),3),"Missing")</f>
        <v>129600</v>
      </c>
    </row>
    <row r="99" spans="1:21" x14ac:dyDescent="0.3">
      <c r="A99" s="21">
        <v>46172</v>
      </c>
      <c r="B99" s="22" t="s">
        <v>130</v>
      </c>
      <c r="C99" s="22" t="s">
        <v>18</v>
      </c>
      <c r="D99" s="22" t="s">
        <v>36</v>
      </c>
      <c r="E99" s="22" t="s">
        <v>14</v>
      </c>
      <c r="F99" s="22">
        <v>7</v>
      </c>
      <c r="G99" s="23">
        <v>1235.53</v>
      </c>
      <c r="H99" s="25" t="str">
        <f>IF(COUNTIF(tbl_clean_sales[Invoice_ID],tbl_clean_sales[[#This Row],[Invoice_ID]])&gt;1,"Duplicate","Unique")</f>
        <v>Unique</v>
      </c>
      <c r="I99" s="25"/>
      <c r="J9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99" s="25" t="str">
        <f>IFERROR(VLOOKUP(tbl_clean_sales[[#This Row],[Employee_ID]],'02_Employee_Master'!$A$1:$C$12,2,FALSE),"Employee Name Missing")</f>
        <v>Rahul M</v>
      </c>
      <c r="L99" s="25" t="str">
        <f>IFERROR(VLOOKUP(tbl_clean_sales[[#This Row],[Employee_ID]],'02_Employee_Master'!$A$1:$C$12,3,FALSE),"Department Name Missing")</f>
        <v>Sales</v>
      </c>
      <c r="M99" s="25" t="str">
        <f>IF('03_Clean_data'!D99="","Missing",IFERROR(IF(VLOOKUP(D99,'03_Product_Master'!$A$1:$D$14,1,FALSE)='03_Clean_data'!D99,"Valid","Invalid"),"Invalid"))</f>
        <v>Valid</v>
      </c>
      <c r="N99" s="25" t="str">
        <f>IFERROR(VLOOKUP(tbl_clean_sales[[#This Row],[Product_ID]],'03_Product_Master'!$A$1:$D$14,2,FALSE),"Missing")</f>
        <v>Dish Wash</v>
      </c>
      <c r="O99" s="25" t="str">
        <f>IFERROR(VLOOKUP(tbl_clean_sales[[#This Row],[Product_ID]],'03_Product_Master'!$A$1:$D$14,3,FALSE),"Missing")</f>
        <v>Home Care</v>
      </c>
      <c r="P99" s="25">
        <f>IFERROR(VLOOKUP(tbl_clean_sales[[#This Row],[Product_ID]],'03_Product_Master'!$A$1:$D$14,4,FALSE),"Missing")</f>
        <v>190</v>
      </c>
      <c r="Q99" s="25" t="str">
        <f>IF('03_Clean_data'!E99="","Missing",IFERROR(IF(VLOOKUP(E99,'04_Branch_Master'!$A$1:$C$7,1,FALSE)='03_Clean_data'!E99,"Valid","Invalid"),"Invalid"))</f>
        <v>Valid</v>
      </c>
      <c r="R99" s="25" t="str">
        <f>IFERROR(VLOOKUP(tbl_clean_sales[[#This Row],[Branch_ID]],'04_Branch_Master'!$A$1:$C$7,2,FALSE),"Missing")</f>
        <v>Avinashi Road</v>
      </c>
      <c r="S99" s="25" t="str">
        <f>IFERROR(VLOOKUP(tbl_clean_sales[[#This Row],[Branch_ID]],'04_Branch_Master'!$A$1:$C$7,3,FALSE),"Missing")</f>
        <v>North</v>
      </c>
      <c r="T99" s="25" t="str">
        <f>C99&amp;"|"&amp;TEXT(tbl_clean_sales[[#This Row],[Date]],"yyyymm")</f>
        <v>E003|202605</v>
      </c>
      <c r="U99" s="25">
        <f>IFERROR(INDEX('05_Target_Master'!$A$1:$F$32,MATCH(tbl_clean_sales[[#This Row],[target key]],'05_Target_Master'!$F$1:$F$32,0),3),"Missing")</f>
        <v>126000</v>
      </c>
    </row>
    <row r="100" spans="1:21" x14ac:dyDescent="0.3">
      <c r="A100" s="21">
        <v>46197</v>
      </c>
      <c r="B100" s="22" t="s">
        <v>131</v>
      </c>
      <c r="C100" s="22" t="s">
        <v>74</v>
      </c>
      <c r="D100" s="22" t="s">
        <v>9</v>
      </c>
      <c r="E100" s="22" t="s">
        <v>22</v>
      </c>
      <c r="F100" s="22">
        <v>3</v>
      </c>
      <c r="G100" s="23">
        <v>752.62</v>
      </c>
      <c r="H100" s="25" t="str">
        <f>IF(COUNTIF(tbl_clean_sales[Invoice_ID],tbl_clean_sales[[#This Row],[Invoice_ID]])&gt;1,"Duplicate","Unique")</f>
        <v>Unique</v>
      </c>
      <c r="I100" s="25"/>
      <c r="J10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0" s="25" t="str">
        <f>IFERROR(VLOOKUP(tbl_clean_sales[[#This Row],[Employee_ID]],'02_Employee_Master'!$A$1:$C$12,2,FALSE),"Employee Name Missing")</f>
        <v>Arun Kumar</v>
      </c>
      <c r="L100" s="25" t="str">
        <f>IFERROR(VLOOKUP(tbl_clean_sales[[#This Row],[Employee_ID]],'02_Employee_Master'!$A$1:$C$12,3,FALSE),"Department Name Missing")</f>
        <v>Sales</v>
      </c>
      <c r="M100" s="25" t="str">
        <f>IF('03_Clean_data'!D100="","Missing",IFERROR(IF(VLOOKUP(D100,'03_Product_Master'!$A$1:$D$14,1,FALSE)='03_Clean_data'!D100,"Valid","Invalid"),"Invalid"))</f>
        <v>Valid</v>
      </c>
      <c r="N100" s="25" t="str">
        <f>IFERROR(VLOOKUP(tbl_clean_sales[[#This Row],[Product_ID]],'03_Product_Master'!$A$1:$D$14,2,FALSE),"Missing")</f>
        <v>Green Tea</v>
      </c>
      <c r="O100" s="25" t="str">
        <f>IFERROR(VLOOKUP(tbl_clean_sales[[#This Row],[Product_ID]],'03_Product_Master'!$A$1:$D$14,3,FALSE),"Missing")</f>
        <v>Beverages</v>
      </c>
      <c r="P100" s="25">
        <f>IFERROR(VLOOKUP(tbl_clean_sales[[#This Row],[Product_ID]],'03_Product_Master'!$A$1:$D$14,4,FALSE),"Missing")</f>
        <v>280</v>
      </c>
      <c r="Q100" s="25" t="str">
        <f>IF('03_Clean_data'!E100="","Missing",IFERROR(IF(VLOOKUP(E100,'04_Branch_Master'!$A$1:$C$7,1,FALSE)='03_Clean_data'!E100,"Valid","Invalid"),"Invalid"))</f>
        <v>Valid</v>
      </c>
      <c r="R100" s="25" t="str">
        <f>IFERROR(VLOOKUP(tbl_clean_sales[[#This Row],[Branch_ID]],'04_Branch_Master'!$A$1:$C$7,2,FALSE),"Missing")</f>
        <v>Tirupur Central</v>
      </c>
      <c r="S100" s="25" t="str">
        <f>IFERROR(VLOOKUP(tbl_clean_sales[[#This Row],[Branch_ID]],'04_Branch_Master'!$A$1:$C$7,3,FALSE),"Missing")</f>
        <v>North</v>
      </c>
      <c r="T100" s="25" t="str">
        <f>C100&amp;"|"&amp;TEXT(tbl_clean_sales[[#This Row],[Date]],"yyyymm")</f>
        <v>E001|202606</v>
      </c>
      <c r="U100" s="25">
        <f>IFERROR(INDEX('05_Target_Master'!$A$1:$F$32,MATCH(tbl_clean_sales[[#This Row],[target key]],'05_Target_Master'!$F$1:$F$32,0),3),"Missing")</f>
        <v>150600</v>
      </c>
    </row>
    <row r="101" spans="1:21" x14ac:dyDescent="0.3">
      <c r="A101" s="21">
        <v>46136</v>
      </c>
      <c r="B101" s="22" t="s">
        <v>132</v>
      </c>
      <c r="C101" s="22" t="s">
        <v>74</v>
      </c>
      <c r="D101" s="22" t="s">
        <v>82</v>
      </c>
      <c r="E101" s="22" t="s">
        <v>22</v>
      </c>
      <c r="F101" s="22">
        <v>4</v>
      </c>
      <c r="G101" s="23">
        <v>453.81</v>
      </c>
      <c r="H101" s="25" t="str">
        <f>IF(COUNTIF(tbl_clean_sales[Invoice_ID],tbl_clean_sales[[#This Row],[Invoice_ID]])&gt;1,"Duplicate","Unique")</f>
        <v>Unique</v>
      </c>
      <c r="I101" s="25"/>
      <c r="J10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1" s="25" t="str">
        <f>IFERROR(VLOOKUP(tbl_clean_sales[[#This Row],[Employee_ID]],'02_Employee_Master'!$A$1:$C$12,2,FALSE),"Employee Name Missing")</f>
        <v>Arun Kumar</v>
      </c>
      <c r="L101" s="25" t="str">
        <f>IFERROR(VLOOKUP(tbl_clean_sales[[#This Row],[Employee_ID]],'02_Employee_Master'!$A$1:$C$12,3,FALSE),"Department Name Missing")</f>
        <v>Sales</v>
      </c>
      <c r="M101" s="25" t="str">
        <f>IF('03_Clean_data'!D101="","Missing",IFERROR(IF(VLOOKUP(D101,'03_Product_Master'!$A$1:$D$14,1,FALSE)='03_Clean_data'!D101,"Valid","Invalid"),"Invalid"))</f>
        <v>Valid</v>
      </c>
      <c r="N101" s="25" t="str">
        <f>IFERROR(VLOOKUP(tbl_clean_sales[[#This Row],[Product_ID]],'03_Product_Master'!$A$1:$D$14,2,FALSE),"Missing")</f>
        <v>Chocolate Bar</v>
      </c>
      <c r="O101" s="25" t="str">
        <f>IFERROR(VLOOKUP(tbl_clean_sales[[#This Row],[Product_ID]],'03_Product_Master'!$A$1:$D$14,3,FALSE),"Missing")</f>
        <v>Snacks</v>
      </c>
      <c r="P101" s="25">
        <f>IFERROR(VLOOKUP(tbl_clean_sales[[#This Row],[Product_ID]],'03_Product_Master'!$A$1:$D$14,4,FALSE),"Missing")</f>
        <v>120</v>
      </c>
      <c r="Q101" s="25" t="str">
        <f>IF('03_Clean_data'!E101="","Missing",IFERROR(IF(VLOOKUP(E101,'04_Branch_Master'!$A$1:$C$7,1,FALSE)='03_Clean_data'!E101,"Valid","Invalid"),"Invalid"))</f>
        <v>Valid</v>
      </c>
      <c r="R101" s="25" t="str">
        <f>IFERROR(VLOOKUP(tbl_clean_sales[[#This Row],[Branch_ID]],'04_Branch_Master'!$A$1:$C$7,2,FALSE),"Missing")</f>
        <v>Tirupur Central</v>
      </c>
      <c r="S101" s="25" t="str">
        <f>IFERROR(VLOOKUP(tbl_clean_sales[[#This Row],[Branch_ID]],'04_Branch_Master'!$A$1:$C$7,3,FALSE),"Missing")</f>
        <v>North</v>
      </c>
      <c r="T101" s="25" t="str">
        <f>C101&amp;"|"&amp;TEXT(tbl_clean_sales[[#This Row],[Date]],"yyyymm")</f>
        <v>E001|202604</v>
      </c>
      <c r="U101" s="25">
        <f>IFERROR(INDEX('05_Target_Master'!$A$1:$F$32,MATCH(tbl_clean_sales[[#This Row],[target key]],'05_Target_Master'!$F$1:$F$32,0),3),"Missing")</f>
        <v>156900</v>
      </c>
    </row>
    <row r="102" spans="1:21" x14ac:dyDescent="0.3">
      <c r="A102" s="21">
        <v>46156</v>
      </c>
      <c r="B102" s="22" t="s">
        <v>133</v>
      </c>
      <c r="C102" s="22" t="s">
        <v>46</v>
      </c>
      <c r="D102" s="22" t="s">
        <v>82</v>
      </c>
      <c r="E102" s="22" t="s">
        <v>32</v>
      </c>
      <c r="F102" s="22">
        <v>7</v>
      </c>
      <c r="G102" s="23">
        <v>814.57</v>
      </c>
      <c r="H102" s="25" t="str">
        <f>IF(COUNTIF(tbl_clean_sales[Invoice_ID],tbl_clean_sales[[#This Row],[Invoice_ID]])&gt;1,"Duplicate","Unique")</f>
        <v>Unique</v>
      </c>
      <c r="I102" s="25"/>
      <c r="J10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2" s="25" t="str">
        <f>IFERROR(VLOOKUP(tbl_clean_sales[[#This Row],[Employee_ID]],'02_Employee_Master'!$A$1:$C$12,2,FALSE),"Employee Name Missing")</f>
        <v>Suresh B</v>
      </c>
      <c r="L102" s="25" t="str">
        <f>IFERROR(VLOOKUP(tbl_clean_sales[[#This Row],[Employee_ID]],'02_Employee_Master'!$A$1:$C$12,3,FALSE),"Department Name Missing")</f>
        <v>Sales</v>
      </c>
      <c r="M102" s="25" t="str">
        <f>IF('03_Clean_data'!D102="","Missing",IFERROR(IF(VLOOKUP(D102,'03_Product_Master'!$A$1:$D$14,1,FALSE)='03_Clean_data'!D102,"Valid","Invalid"),"Invalid"))</f>
        <v>Valid</v>
      </c>
      <c r="N102" s="25" t="str">
        <f>IFERROR(VLOOKUP(tbl_clean_sales[[#This Row],[Product_ID]],'03_Product_Master'!$A$1:$D$14,2,FALSE),"Missing")</f>
        <v>Chocolate Bar</v>
      </c>
      <c r="O102" s="25" t="str">
        <f>IFERROR(VLOOKUP(tbl_clean_sales[[#This Row],[Product_ID]],'03_Product_Master'!$A$1:$D$14,3,FALSE),"Missing")</f>
        <v>Snacks</v>
      </c>
      <c r="P102" s="25">
        <f>IFERROR(VLOOKUP(tbl_clean_sales[[#This Row],[Product_ID]],'03_Product_Master'!$A$1:$D$14,4,FALSE),"Missing")</f>
        <v>120</v>
      </c>
      <c r="Q102" s="25" t="str">
        <f>IF('03_Clean_data'!E102="","Missing",IFERROR(IF(VLOOKUP(E102,'04_Branch_Master'!$A$1:$C$7,1,FALSE)='03_Clean_data'!E102,"Valid","Invalid"),"Invalid"))</f>
        <v>Valid</v>
      </c>
      <c r="R102" s="25" t="str">
        <f>IFERROR(VLOOKUP(tbl_clean_sales[[#This Row],[Branch_ID]],'04_Branch_Master'!$A$1:$C$7,2,FALSE),"Missing")</f>
        <v>Kangeyam</v>
      </c>
      <c r="S102" s="25" t="str">
        <f>IFERROR(VLOOKUP(tbl_clean_sales[[#This Row],[Branch_ID]],'04_Branch_Master'!$A$1:$C$7,3,FALSE),"Missing")</f>
        <v>East</v>
      </c>
      <c r="T102" s="25" t="str">
        <f>C102&amp;"|"&amp;TEXT(tbl_clean_sales[[#This Row],[Date]],"yyyymm")</f>
        <v>E007|202605</v>
      </c>
      <c r="U102" s="25">
        <f>IFERROR(INDEX('05_Target_Master'!$A$1:$F$32,MATCH(tbl_clean_sales[[#This Row],[target key]],'05_Target_Master'!$F$1:$F$32,0),3),"Missing")</f>
        <v>140000</v>
      </c>
    </row>
    <row r="103" spans="1:21" x14ac:dyDescent="0.3">
      <c r="A103" s="21">
        <v>46123</v>
      </c>
      <c r="B103" s="22" t="s">
        <v>134</v>
      </c>
      <c r="C103" s="22" t="s">
        <v>38</v>
      </c>
      <c r="D103" s="22" t="s">
        <v>25</v>
      </c>
      <c r="E103" s="22" t="s">
        <v>32</v>
      </c>
      <c r="F103" s="22">
        <v>1</v>
      </c>
      <c r="G103" s="23">
        <v>369.6</v>
      </c>
      <c r="H103" s="25" t="str">
        <f>IF(COUNTIF(tbl_clean_sales[Invoice_ID],tbl_clean_sales[[#This Row],[Invoice_ID]])&gt;1,"Duplicate","Unique")</f>
        <v>Unique</v>
      </c>
      <c r="I103" s="25"/>
      <c r="J10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3" s="25" t="str">
        <f>IFERROR(VLOOKUP(tbl_clean_sales[[#This Row],[Employee_ID]],'02_Employee_Master'!$A$1:$C$12,2,FALSE),"Employee Name Missing")</f>
        <v>Nandhini K</v>
      </c>
      <c r="L103" s="25" t="str">
        <f>IFERROR(VLOOKUP(tbl_clean_sales[[#This Row],[Employee_ID]],'02_Employee_Master'!$A$1:$C$12,3,FALSE),"Department Name Missing")</f>
        <v>Sales</v>
      </c>
      <c r="M103" s="25" t="str">
        <f>IF('03_Clean_data'!D103="","Missing",IFERROR(IF(VLOOKUP(D103,'03_Product_Master'!$A$1:$D$14,1,FALSE)='03_Clean_data'!D103,"Valid","Invalid"),"Invalid"))</f>
        <v>Valid</v>
      </c>
      <c r="N103" s="25" t="str">
        <f>IFERROR(VLOOKUP(tbl_clean_sales[[#This Row],[Product_ID]],'03_Product_Master'!$A$1:$D$14,2,FALSE),"Missing")</f>
        <v>Premium Coffee</v>
      </c>
      <c r="O103" s="25" t="str">
        <f>IFERROR(VLOOKUP(tbl_clean_sales[[#This Row],[Product_ID]],'03_Product_Master'!$A$1:$D$14,3,FALSE),"Missing")</f>
        <v>Beverages</v>
      </c>
      <c r="P103" s="25">
        <f>IFERROR(VLOOKUP(tbl_clean_sales[[#This Row],[Product_ID]],'03_Product_Master'!$A$1:$D$14,4,FALSE),"Missing")</f>
        <v>420</v>
      </c>
      <c r="Q103" s="25" t="str">
        <f>IF('03_Clean_data'!E103="","Missing",IFERROR(IF(VLOOKUP(E103,'04_Branch_Master'!$A$1:$C$7,1,FALSE)='03_Clean_data'!E103,"Valid","Invalid"),"Invalid"))</f>
        <v>Valid</v>
      </c>
      <c r="R103" s="25" t="str">
        <f>IFERROR(VLOOKUP(tbl_clean_sales[[#This Row],[Branch_ID]],'04_Branch_Master'!$A$1:$C$7,2,FALSE),"Missing")</f>
        <v>Kangeyam</v>
      </c>
      <c r="S103" s="25" t="str">
        <f>IFERROR(VLOOKUP(tbl_clean_sales[[#This Row],[Branch_ID]],'04_Branch_Master'!$A$1:$C$7,3,FALSE),"Missing")</f>
        <v>East</v>
      </c>
      <c r="T103" s="25" t="str">
        <f>C103&amp;"|"&amp;TEXT(tbl_clean_sales[[#This Row],[Date]],"yyyymm")</f>
        <v>E008|202604</v>
      </c>
      <c r="U103" s="25">
        <f>IFERROR(INDEX('05_Target_Master'!$A$1:$F$32,MATCH(tbl_clean_sales[[#This Row],[target key]],'05_Target_Master'!$F$1:$F$32,0),3),"Missing")</f>
        <v>124100</v>
      </c>
    </row>
    <row r="104" spans="1:21" x14ac:dyDescent="0.3">
      <c r="A104" s="21">
        <v>46157</v>
      </c>
      <c r="B104" s="22" t="s">
        <v>135</v>
      </c>
      <c r="C104" s="22" t="s">
        <v>12</v>
      </c>
      <c r="D104" s="22" t="s">
        <v>43</v>
      </c>
      <c r="E104" s="22" t="s">
        <v>14</v>
      </c>
      <c r="F104" s="22">
        <v>11</v>
      </c>
      <c r="G104" s="23">
        <v>3721.93</v>
      </c>
      <c r="H104" s="25" t="str">
        <f>IF(COUNTIF(tbl_clean_sales[Invoice_ID],tbl_clean_sales[[#This Row],[Invoice_ID]])&gt;1,"Duplicate","Unique")</f>
        <v>Unique</v>
      </c>
      <c r="I104" s="25"/>
      <c r="J10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4" s="25" t="str">
        <f>IFERROR(VLOOKUP(tbl_clean_sales[[#This Row],[Employee_ID]],'02_Employee_Master'!$A$1:$C$12,2,FALSE),"Employee Name Missing")</f>
        <v>Divya R</v>
      </c>
      <c r="L104" s="25" t="str">
        <f>IFERROR(VLOOKUP(tbl_clean_sales[[#This Row],[Employee_ID]],'02_Employee_Master'!$A$1:$C$12,3,FALSE),"Department Name Missing")</f>
        <v>Sales</v>
      </c>
      <c r="M104" s="25" t="str">
        <f>IF('03_Clean_data'!D104="","Missing",IFERROR(IF(VLOOKUP(D104,'03_Product_Master'!$A$1:$D$14,1,FALSE)='03_Clean_data'!D104,"Valid","Invalid"),"Invalid"))</f>
        <v>Valid</v>
      </c>
      <c r="N104" s="25" t="str">
        <f>IFERROR(VLOOKUP(tbl_clean_sales[[#This Row],[Product_ID]],'03_Product_Master'!$A$1:$D$14,2,FALSE),"Missing")</f>
        <v>Laundry Liquid</v>
      </c>
      <c r="O104" s="25" t="str">
        <f>IFERROR(VLOOKUP(tbl_clean_sales[[#This Row],[Product_ID]],'03_Product_Master'!$A$1:$D$14,3,FALSE),"Missing")</f>
        <v>Home Care</v>
      </c>
      <c r="P104" s="25">
        <f>IFERROR(VLOOKUP(tbl_clean_sales[[#This Row],[Product_ID]],'03_Product_Master'!$A$1:$D$14,4,FALSE),"Missing")</f>
        <v>340</v>
      </c>
      <c r="Q104" s="25" t="str">
        <f>IF('03_Clean_data'!E104="","Missing",IFERROR(IF(VLOOKUP(E104,'04_Branch_Master'!$A$1:$C$7,1,FALSE)='03_Clean_data'!E104,"Valid","Invalid"),"Invalid"))</f>
        <v>Valid</v>
      </c>
      <c r="R104" s="25" t="str">
        <f>IFERROR(VLOOKUP(tbl_clean_sales[[#This Row],[Branch_ID]],'04_Branch_Master'!$A$1:$C$7,2,FALSE),"Missing")</f>
        <v>Avinashi Road</v>
      </c>
      <c r="S104" s="25" t="str">
        <f>IFERROR(VLOOKUP(tbl_clean_sales[[#This Row],[Branch_ID]],'04_Branch_Master'!$A$1:$C$7,3,FALSE),"Missing")</f>
        <v>North</v>
      </c>
      <c r="T104" s="25" t="str">
        <f>C104&amp;"|"&amp;TEXT(tbl_clean_sales[[#This Row],[Date]],"yyyymm")</f>
        <v>E004|202605</v>
      </c>
      <c r="U104" s="25">
        <f>IFERROR(INDEX('05_Target_Master'!$A$1:$F$32,MATCH(tbl_clean_sales[[#This Row],[target key]],'05_Target_Master'!$F$1:$F$32,0),3),"Missing")</f>
        <v>176700</v>
      </c>
    </row>
    <row r="105" spans="1:21" x14ac:dyDescent="0.3">
      <c r="A105" s="21">
        <v>46116</v>
      </c>
      <c r="B105" s="22" t="s">
        <v>136</v>
      </c>
      <c r="C105" s="22" t="s">
        <v>12</v>
      </c>
      <c r="D105" s="22" t="s">
        <v>30</v>
      </c>
      <c r="E105" s="22" t="s">
        <v>10</v>
      </c>
      <c r="F105" s="22">
        <v>3</v>
      </c>
      <c r="G105" s="23">
        <v>466.26</v>
      </c>
      <c r="H105" s="25" t="str">
        <f>IF(COUNTIF(tbl_clean_sales[Invoice_ID],tbl_clean_sales[[#This Row],[Invoice_ID]])&gt;1,"Duplicate","Unique")</f>
        <v>Unique</v>
      </c>
      <c r="I105" s="25"/>
      <c r="J10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5" s="25" t="str">
        <f>IFERROR(VLOOKUP(tbl_clean_sales[[#This Row],[Employee_ID]],'02_Employee_Master'!$A$1:$C$12,2,FALSE),"Employee Name Missing")</f>
        <v>Divya R</v>
      </c>
      <c r="L105" s="25" t="str">
        <f>IFERROR(VLOOKUP(tbl_clean_sales[[#This Row],[Employee_ID]],'02_Employee_Master'!$A$1:$C$12,3,FALSE),"Department Name Missing")</f>
        <v>Sales</v>
      </c>
      <c r="M105" s="25" t="str">
        <f>IF('03_Clean_data'!D105="","Missing",IFERROR(IF(VLOOKUP(D105,'03_Product_Master'!$A$1:$D$14,1,FALSE)='03_Clean_data'!D105,"Valid","Invalid"),"Invalid"))</f>
        <v>Valid</v>
      </c>
      <c r="N105" s="25" t="str">
        <f>IFERROR(VLOOKUP(tbl_clean_sales[[#This Row],[Product_ID]],'03_Product_Master'!$A$1:$D$14,2,FALSE),"Missing")</f>
        <v>Cookies Pack</v>
      </c>
      <c r="O105" s="25" t="str">
        <f>IFERROR(VLOOKUP(tbl_clean_sales[[#This Row],[Product_ID]],'03_Product_Master'!$A$1:$D$14,3,FALSE),"Missing")</f>
        <v>Snacks</v>
      </c>
      <c r="P105" s="25">
        <f>IFERROR(VLOOKUP(tbl_clean_sales[[#This Row],[Product_ID]],'03_Product_Master'!$A$1:$D$14,4,FALSE),"Missing")</f>
        <v>160</v>
      </c>
      <c r="Q105" s="25" t="str">
        <f>IF('03_Clean_data'!E105="","Missing",IFERROR(IF(VLOOKUP(E105,'04_Branch_Master'!$A$1:$C$7,1,FALSE)='03_Clean_data'!E105,"Valid","Invalid"),"Invalid"))</f>
        <v>Valid</v>
      </c>
      <c r="R105" s="25" t="str">
        <f>IFERROR(VLOOKUP(tbl_clean_sales[[#This Row],[Branch_ID]],'04_Branch_Master'!$A$1:$C$7,2,FALSE),"Missing")</f>
        <v>Dharapuram</v>
      </c>
      <c r="S105" s="25" t="str">
        <f>IFERROR(VLOOKUP(tbl_clean_sales[[#This Row],[Branch_ID]],'04_Branch_Master'!$A$1:$C$7,3,FALSE),"Missing")</f>
        <v>South</v>
      </c>
      <c r="T105" s="25" t="str">
        <f>C105&amp;"|"&amp;TEXT(tbl_clean_sales[[#This Row],[Date]],"yyyymm")</f>
        <v>E004|202604</v>
      </c>
      <c r="U105" s="25">
        <f>IFERROR(INDEX('05_Target_Master'!$A$1:$F$32,MATCH(tbl_clean_sales[[#This Row],[target key]],'05_Target_Master'!$F$1:$F$32,0),3),"Missing")</f>
        <v>163600</v>
      </c>
    </row>
    <row r="106" spans="1:21" x14ac:dyDescent="0.3">
      <c r="A106" s="21">
        <v>46173</v>
      </c>
      <c r="B106" s="22" t="s">
        <v>137</v>
      </c>
      <c r="C106" s="22" t="s">
        <v>21</v>
      </c>
      <c r="D106" s="22" t="s">
        <v>36</v>
      </c>
      <c r="E106" s="22" t="s">
        <v>32</v>
      </c>
      <c r="F106" s="22">
        <v>12</v>
      </c>
      <c r="G106" s="23">
        <v>2209.89</v>
      </c>
      <c r="H106" s="25" t="str">
        <f>IF(COUNTIF(tbl_clean_sales[Invoice_ID],tbl_clean_sales[[#This Row],[Invoice_ID]])&gt;1,"Duplicate","Unique")</f>
        <v>Unique</v>
      </c>
      <c r="I106" s="25"/>
      <c r="J10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6" s="25" t="str">
        <f>IFERROR(VLOOKUP(tbl_clean_sales[[#This Row],[Employee_ID]],'02_Employee_Master'!$A$1:$C$12,2,FALSE),"Employee Name Missing")</f>
        <v>Priya S</v>
      </c>
      <c r="L106" s="25" t="str">
        <f>IFERROR(VLOOKUP(tbl_clean_sales[[#This Row],[Employee_ID]],'02_Employee_Master'!$A$1:$C$12,3,FALSE),"Department Name Missing")</f>
        <v>Sales</v>
      </c>
      <c r="M106" s="25" t="str">
        <f>IF('03_Clean_data'!D106="","Missing",IFERROR(IF(VLOOKUP(D106,'03_Product_Master'!$A$1:$D$14,1,FALSE)='03_Clean_data'!D106,"Valid","Invalid"),"Invalid"))</f>
        <v>Valid</v>
      </c>
      <c r="N106" s="25" t="str">
        <f>IFERROR(VLOOKUP(tbl_clean_sales[[#This Row],[Product_ID]],'03_Product_Master'!$A$1:$D$14,2,FALSE),"Missing")</f>
        <v>Dish Wash</v>
      </c>
      <c r="O106" s="25" t="str">
        <f>IFERROR(VLOOKUP(tbl_clean_sales[[#This Row],[Product_ID]],'03_Product_Master'!$A$1:$D$14,3,FALSE),"Missing")</f>
        <v>Home Care</v>
      </c>
      <c r="P106" s="25">
        <f>IFERROR(VLOOKUP(tbl_clean_sales[[#This Row],[Product_ID]],'03_Product_Master'!$A$1:$D$14,4,FALSE),"Missing")</f>
        <v>190</v>
      </c>
      <c r="Q106" s="25" t="str">
        <f>IF('03_Clean_data'!E106="","Missing",IFERROR(IF(VLOOKUP(E106,'04_Branch_Master'!$A$1:$C$7,1,FALSE)='03_Clean_data'!E106,"Valid","Invalid"),"Invalid"))</f>
        <v>Valid</v>
      </c>
      <c r="R106" s="25" t="str">
        <f>IFERROR(VLOOKUP(tbl_clean_sales[[#This Row],[Branch_ID]],'04_Branch_Master'!$A$1:$C$7,2,FALSE),"Missing")</f>
        <v>Kangeyam</v>
      </c>
      <c r="S106" s="25" t="str">
        <f>IFERROR(VLOOKUP(tbl_clean_sales[[#This Row],[Branch_ID]],'04_Branch_Master'!$A$1:$C$7,3,FALSE),"Missing")</f>
        <v>East</v>
      </c>
      <c r="T106" s="25" t="str">
        <f>C106&amp;"|"&amp;TEXT(tbl_clean_sales[[#This Row],[Date]],"yyyymm")</f>
        <v>E002|202605</v>
      </c>
      <c r="U106" s="25">
        <f>IFERROR(INDEX('05_Target_Master'!$A$1:$F$32,MATCH(tbl_clean_sales[[#This Row],[target key]],'05_Target_Master'!$F$1:$F$32,0),3),"Missing")</f>
        <v>132100</v>
      </c>
    </row>
    <row r="107" spans="1:21" x14ac:dyDescent="0.3">
      <c r="A107" s="21">
        <v>46160</v>
      </c>
      <c r="B107" s="22" t="s">
        <v>138</v>
      </c>
      <c r="C107" s="22" t="s">
        <v>18</v>
      </c>
      <c r="D107" s="22" t="s">
        <v>36</v>
      </c>
      <c r="E107" s="22" t="s">
        <v>14</v>
      </c>
      <c r="F107" s="22">
        <v>12</v>
      </c>
      <c r="G107" s="23">
        <v>2083.46</v>
      </c>
      <c r="H107" s="25" t="str">
        <f>IF(COUNTIF(tbl_clean_sales[Invoice_ID],tbl_clean_sales[[#This Row],[Invoice_ID]])&gt;1,"Duplicate","Unique")</f>
        <v>Unique</v>
      </c>
      <c r="I107" s="25"/>
      <c r="J10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7" s="25" t="str">
        <f>IFERROR(VLOOKUP(tbl_clean_sales[[#This Row],[Employee_ID]],'02_Employee_Master'!$A$1:$C$12,2,FALSE),"Employee Name Missing")</f>
        <v>Rahul M</v>
      </c>
      <c r="L107" s="25" t="str">
        <f>IFERROR(VLOOKUP(tbl_clean_sales[[#This Row],[Employee_ID]],'02_Employee_Master'!$A$1:$C$12,3,FALSE),"Department Name Missing")</f>
        <v>Sales</v>
      </c>
      <c r="M107" s="25" t="str">
        <f>IF('03_Clean_data'!D107="","Missing",IFERROR(IF(VLOOKUP(D107,'03_Product_Master'!$A$1:$D$14,1,FALSE)='03_Clean_data'!D107,"Valid","Invalid"),"Invalid"))</f>
        <v>Valid</v>
      </c>
      <c r="N107" s="25" t="str">
        <f>IFERROR(VLOOKUP(tbl_clean_sales[[#This Row],[Product_ID]],'03_Product_Master'!$A$1:$D$14,2,FALSE),"Missing")</f>
        <v>Dish Wash</v>
      </c>
      <c r="O107" s="25" t="str">
        <f>IFERROR(VLOOKUP(tbl_clean_sales[[#This Row],[Product_ID]],'03_Product_Master'!$A$1:$D$14,3,FALSE),"Missing")</f>
        <v>Home Care</v>
      </c>
      <c r="P107" s="25">
        <f>IFERROR(VLOOKUP(tbl_clean_sales[[#This Row],[Product_ID]],'03_Product_Master'!$A$1:$D$14,4,FALSE),"Missing")</f>
        <v>190</v>
      </c>
      <c r="Q107" s="25" t="str">
        <f>IF('03_Clean_data'!E107="","Missing",IFERROR(IF(VLOOKUP(E107,'04_Branch_Master'!$A$1:$C$7,1,FALSE)='03_Clean_data'!E107,"Valid","Invalid"),"Invalid"))</f>
        <v>Valid</v>
      </c>
      <c r="R107" s="25" t="str">
        <f>IFERROR(VLOOKUP(tbl_clean_sales[[#This Row],[Branch_ID]],'04_Branch_Master'!$A$1:$C$7,2,FALSE),"Missing")</f>
        <v>Avinashi Road</v>
      </c>
      <c r="S107" s="25" t="str">
        <f>IFERROR(VLOOKUP(tbl_clean_sales[[#This Row],[Branch_ID]],'04_Branch_Master'!$A$1:$C$7,3,FALSE),"Missing")</f>
        <v>North</v>
      </c>
      <c r="T107" s="25" t="str">
        <f>C107&amp;"|"&amp;TEXT(tbl_clean_sales[[#This Row],[Date]],"yyyymm")</f>
        <v>E003|202605</v>
      </c>
      <c r="U107" s="25">
        <f>IFERROR(INDEX('05_Target_Master'!$A$1:$F$32,MATCH(tbl_clean_sales[[#This Row],[target key]],'05_Target_Master'!$F$1:$F$32,0),3),"Missing")</f>
        <v>126000</v>
      </c>
    </row>
    <row r="108" spans="1:21" x14ac:dyDescent="0.3">
      <c r="A108" s="21">
        <v>46133</v>
      </c>
      <c r="B108" s="22" t="s">
        <v>139</v>
      </c>
      <c r="C108" s="22" t="s">
        <v>24</v>
      </c>
      <c r="D108" s="22" t="s">
        <v>9</v>
      </c>
      <c r="E108" s="22" t="s">
        <v>26</v>
      </c>
      <c r="F108" s="22">
        <v>5</v>
      </c>
      <c r="G108" s="23">
        <v>1303.27</v>
      </c>
      <c r="H108" s="25" t="str">
        <f>IF(COUNTIF(tbl_clean_sales[Invoice_ID],tbl_clean_sales[[#This Row],[Invoice_ID]])&gt;1,"Duplicate","Unique")</f>
        <v>Unique</v>
      </c>
      <c r="I108" s="25"/>
      <c r="J10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8" s="25" t="str">
        <f>IFERROR(VLOOKUP(tbl_clean_sales[[#This Row],[Employee_ID]],'02_Employee_Master'!$A$1:$C$12,2,FALSE),"Employee Name Missing")</f>
        <v>Karthik P</v>
      </c>
      <c r="L108" s="25" t="str">
        <f>IFERROR(VLOOKUP(tbl_clean_sales[[#This Row],[Employee_ID]],'02_Employee_Master'!$A$1:$C$12,3,FALSE),"Department Name Missing")</f>
        <v>Sales</v>
      </c>
      <c r="M108" s="25" t="str">
        <f>IF('03_Clean_data'!D108="","Missing",IFERROR(IF(VLOOKUP(D108,'03_Product_Master'!$A$1:$D$14,1,FALSE)='03_Clean_data'!D108,"Valid","Invalid"),"Invalid"))</f>
        <v>Valid</v>
      </c>
      <c r="N108" s="25" t="str">
        <f>IFERROR(VLOOKUP(tbl_clean_sales[[#This Row],[Product_ID]],'03_Product_Master'!$A$1:$D$14,2,FALSE),"Missing")</f>
        <v>Green Tea</v>
      </c>
      <c r="O108" s="25" t="str">
        <f>IFERROR(VLOOKUP(tbl_clean_sales[[#This Row],[Product_ID]],'03_Product_Master'!$A$1:$D$14,3,FALSE),"Missing")</f>
        <v>Beverages</v>
      </c>
      <c r="P108" s="25">
        <f>IFERROR(VLOOKUP(tbl_clean_sales[[#This Row],[Product_ID]],'03_Product_Master'!$A$1:$D$14,4,FALSE),"Missing")</f>
        <v>280</v>
      </c>
      <c r="Q108" s="25" t="str">
        <f>IF('03_Clean_data'!E108="","Missing",IFERROR(IF(VLOOKUP(E108,'04_Branch_Master'!$A$1:$C$7,1,FALSE)='03_Clean_data'!E108,"Valid","Invalid"),"Invalid"))</f>
        <v>Valid</v>
      </c>
      <c r="R108" s="25" t="str">
        <f>IFERROR(VLOOKUP(tbl_clean_sales[[#This Row],[Branch_ID]],'04_Branch_Master'!$A$1:$C$7,2,FALSE),"Missing")</f>
        <v>Palladam</v>
      </c>
      <c r="S108" s="25" t="str">
        <f>IFERROR(VLOOKUP(tbl_clean_sales[[#This Row],[Branch_ID]],'04_Branch_Master'!$A$1:$C$7,3,FALSE),"Missing")</f>
        <v>South</v>
      </c>
      <c r="T108" s="25" t="str">
        <f>C108&amp;"|"&amp;TEXT(tbl_clean_sales[[#This Row],[Date]],"yyyymm")</f>
        <v>E005|202604</v>
      </c>
      <c r="U108" s="25">
        <f>IFERROR(INDEX('05_Target_Master'!$A$1:$F$32,MATCH(tbl_clean_sales[[#This Row],[target key]],'05_Target_Master'!$F$1:$F$32,0),3),"Missing")</f>
        <v>133000</v>
      </c>
    </row>
    <row r="109" spans="1:21" x14ac:dyDescent="0.3">
      <c r="A109" s="21">
        <v>46161</v>
      </c>
      <c r="B109" s="22" t="s">
        <v>140</v>
      </c>
      <c r="C109" s="22" t="s">
        <v>46</v>
      </c>
      <c r="D109" s="22" t="s">
        <v>19</v>
      </c>
      <c r="E109" s="22" t="s">
        <v>32</v>
      </c>
      <c r="F109" s="22">
        <v>10</v>
      </c>
      <c r="G109" s="23">
        <v>2109.39</v>
      </c>
      <c r="H109" s="25" t="str">
        <f>IF(COUNTIF(tbl_clean_sales[Invoice_ID],tbl_clean_sales[[#This Row],[Invoice_ID]])&gt;1,"Duplicate","Unique")</f>
        <v>Unique</v>
      </c>
      <c r="I109" s="25"/>
      <c r="J10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09" s="25" t="str">
        <f>IFERROR(VLOOKUP(tbl_clean_sales[[#This Row],[Employee_ID]],'02_Employee_Master'!$A$1:$C$12,2,FALSE),"Employee Name Missing")</f>
        <v>Suresh B</v>
      </c>
      <c r="L109" s="25" t="str">
        <f>IFERROR(VLOOKUP(tbl_clean_sales[[#This Row],[Employee_ID]],'02_Employee_Master'!$A$1:$C$12,3,FALSE),"Department Name Missing")</f>
        <v>Sales</v>
      </c>
      <c r="M109" s="25" t="str">
        <f>IF('03_Clean_data'!D109="","Missing",IFERROR(IF(VLOOKUP(D109,'03_Product_Master'!$A$1:$D$14,1,FALSE)='03_Clean_data'!D109,"Valid","Invalid"),"Invalid"))</f>
        <v>Valid</v>
      </c>
      <c r="N109" s="25" t="str">
        <f>IFERROR(VLOOKUP(tbl_clean_sales[[#This Row],[Product_ID]],'03_Product_Master'!$A$1:$D$14,2,FALSE),"Missing")</f>
        <v>Floor Cleaner</v>
      </c>
      <c r="O109" s="25" t="str">
        <f>IFERROR(VLOOKUP(tbl_clean_sales[[#This Row],[Product_ID]],'03_Product_Master'!$A$1:$D$14,3,FALSE),"Missing")</f>
        <v>Home Care</v>
      </c>
      <c r="P109" s="25">
        <f>IFERROR(VLOOKUP(tbl_clean_sales[[#This Row],[Product_ID]],'03_Product_Master'!$A$1:$D$14,4,FALSE),"Missing")</f>
        <v>230</v>
      </c>
      <c r="Q109" s="25" t="str">
        <f>IF('03_Clean_data'!E109="","Missing",IFERROR(IF(VLOOKUP(E109,'04_Branch_Master'!$A$1:$C$7,1,FALSE)='03_Clean_data'!E109,"Valid","Invalid"),"Invalid"))</f>
        <v>Valid</v>
      </c>
      <c r="R109" s="25" t="str">
        <f>IFERROR(VLOOKUP(tbl_clean_sales[[#This Row],[Branch_ID]],'04_Branch_Master'!$A$1:$C$7,2,FALSE),"Missing")</f>
        <v>Kangeyam</v>
      </c>
      <c r="S109" s="25" t="str">
        <f>IFERROR(VLOOKUP(tbl_clean_sales[[#This Row],[Branch_ID]],'04_Branch_Master'!$A$1:$C$7,3,FALSE),"Missing")</f>
        <v>East</v>
      </c>
      <c r="T109" s="25" t="str">
        <f>C109&amp;"|"&amp;TEXT(tbl_clean_sales[[#This Row],[Date]],"yyyymm")</f>
        <v>E007|202605</v>
      </c>
      <c r="U109" s="25">
        <f>IFERROR(INDEX('05_Target_Master'!$A$1:$F$32,MATCH(tbl_clean_sales[[#This Row],[target key]],'05_Target_Master'!$F$1:$F$32,0),3),"Missing")</f>
        <v>140000</v>
      </c>
    </row>
    <row r="110" spans="1:21" x14ac:dyDescent="0.3">
      <c r="A110" s="21">
        <v>46193</v>
      </c>
      <c r="B110" s="22" t="s">
        <v>141</v>
      </c>
      <c r="C110" s="22" t="s">
        <v>12</v>
      </c>
      <c r="D110" s="22" t="s">
        <v>9</v>
      </c>
      <c r="E110" s="22" t="s">
        <v>14</v>
      </c>
      <c r="F110" s="22">
        <v>5</v>
      </c>
      <c r="G110" s="23">
        <v>1257.1500000000001</v>
      </c>
      <c r="H110" s="25" t="str">
        <f>IF(COUNTIF(tbl_clean_sales[Invoice_ID],tbl_clean_sales[[#This Row],[Invoice_ID]])&gt;1,"Duplicate","Unique")</f>
        <v>Unique</v>
      </c>
      <c r="I110" s="25"/>
      <c r="J1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0" s="25" t="str">
        <f>IFERROR(VLOOKUP(tbl_clean_sales[[#This Row],[Employee_ID]],'02_Employee_Master'!$A$1:$C$12,2,FALSE),"Employee Name Missing")</f>
        <v>Divya R</v>
      </c>
      <c r="L110" s="25" t="str">
        <f>IFERROR(VLOOKUP(tbl_clean_sales[[#This Row],[Employee_ID]],'02_Employee_Master'!$A$1:$C$12,3,FALSE),"Department Name Missing")</f>
        <v>Sales</v>
      </c>
      <c r="M110" s="25" t="str">
        <f>IF('03_Clean_data'!D110="","Missing",IFERROR(IF(VLOOKUP(D110,'03_Product_Master'!$A$1:$D$14,1,FALSE)='03_Clean_data'!D110,"Valid","Invalid"),"Invalid"))</f>
        <v>Valid</v>
      </c>
      <c r="N110" s="25" t="str">
        <f>IFERROR(VLOOKUP(tbl_clean_sales[[#This Row],[Product_ID]],'03_Product_Master'!$A$1:$D$14,2,FALSE),"Missing")</f>
        <v>Green Tea</v>
      </c>
      <c r="O110" s="25" t="str">
        <f>IFERROR(VLOOKUP(tbl_clean_sales[[#This Row],[Product_ID]],'03_Product_Master'!$A$1:$D$14,3,FALSE),"Missing")</f>
        <v>Beverages</v>
      </c>
      <c r="P110" s="25">
        <f>IFERROR(VLOOKUP(tbl_clean_sales[[#This Row],[Product_ID]],'03_Product_Master'!$A$1:$D$14,4,FALSE),"Missing")</f>
        <v>280</v>
      </c>
      <c r="Q110" s="25" t="str">
        <f>IF('03_Clean_data'!E110="","Missing",IFERROR(IF(VLOOKUP(E110,'04_Branch_Master'!$A$1:$C$7,1,FALSE)='03_Clean_data'!E110,"Valid","Invalid"),"Invalid"))</f>
        <v>Valid</v>
      </c>
      <c r="R110" s="25" t="str">
        <f>IFERROR(VLOOKUP(tbl_clean_sales[[#This Row],[Branch_ID]],'04_Branch_Master'!$A$1:$C$7,2,FALSE),"Missing")</f>
        <v>Avinashi Road</v>
      </c>
      <c r="S110" s="25" t="str">
        <f>IFERROR(VLOOKUP(tbl_clean_sales[[#This Row],[Branch_ID]],'04_Branch_Master'!$A$1:$C$7,3,FALSE),"Missing")</f>
        <v>North</v>
      </c>
      <c r="T110" s="25" t="str">
        <f>C110&amp;"|"&amp;TEXT(tbl_clean_sales[[#This Row],[Date]],"yyyymm")</f>
        <v>E004|202606</v>
      </c>
      <c r="U110" s="25">
        <f>IFERROR(INDEX('05_Target_Master'!$A$1:$F$32,MATCH(tbl_clean_sales[[#This Row],[target key]],'05_Target_Master'!$F$1:$F$32,0),3),"Missing")</f>
        <v>157100</v>
      </c>
    </row>
    <row r="111" spans="1:21" x14ac:dyDescent="0.3">
      <c r="A111" s="21">
        <v>46189</v>
      </c>
      <c r="B111" s="22" t="s">
        <v>142</v>
      </c>
      <c r="C111" s="22" t="s">
        <v>21</v>
      </c>
      <c r="D111" s="22" t="s">
        <v>36</v>
      </c>
      <c r="E111" s="22" t="s">
        <v>26</v>
      </c>
      <c r="F111" s="22">
        <v>9</v>
      </c>
      <c r="G111" s="23">
        <v>1622.1</v>
      </c>
      <c r="H111" s="25" t="str">
        <f>IF(COUNTIF(tbl_clean_sales[Invoice_ID],tbl_clean_sales[[#This Row],[Invoice_ID]])&gt;1,"Duplicate","Unique")</f>
        <v>Unique</v>
      </c>
      <c r="I111" s="25"/>
      <c r="J1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1" s="25" t="str">
        <f>IFERROR(VLOOKUP(tbl_clean_sales[[#This Row],[Employee_ID]],'02_Employee_Master'!$A$1:$C$12,2,FALSE),"Employee Name Missing")</f>
        <v>Priya S</v>
      </c>
      <c r="L111" s="25" t="str">
        <f>IFERROR(VLOOKUP(tbl_clean_sales[[#This Row],[Employee_ID]],'02_Employee_Master'!$A$1:$C$12,3,FALSE),"Department Name Missing")</f>
        <v>Sales</v>
      </c>
      <c r="M111" s="25" t="str">
        <f>IF('03_Clean_data'!D111="","Missing",IFERROR(IF(VLOOKUP(D111,'03_Product_Master'!$A$1:$D$14,1,FALSE)='03_Clean_data'!D111,"Valid","Invalid"),"Invalid"))</f>
        <v>Valid</v>
      </c>
      <c r="N111" s="25" t="str">
        <f>IFERROR(VLOOKUP(tbl_clean_sales[[#This Row],[Product_ID]],'03_Product_Master'!$A$1:$D$14,2,FALSE),"Missing")</f>
        <v>Dish Wash</v>
      </c>
      <c r="O111" s="25" t="str">
        <f>IFERROR(VLOOKUP(tbl_clean_sales[[#This Row],[Product_ID]],'03_Product_Master'!$A$1:$D$14,3,FALSE),"Missing")</f>
        <v>Home Care</v>
      </c>
      <c r="P111" s="25">
        <f>IFERROR(VLOOKUP(tbl_clean_sales[[#This Row],[Product_ID]],'03_Product_Master'!$A$1:$D$14,4,FALSE),"Missing")</f>
        <v>190</v>
      </c>
      <c r="Q111" s="25" t="str">
        <f>IF('03_Clean_data'!E111="","Missing",IFERROR(IF(VLOOKUP(E111,'04_Branch_Master'!$A$1:$C$7,1,FALSE)='03_Clean_data'!E111,"Valid","Invalid"),"Invalid"))</f>
        <v>Valid</v>
      </c>
      <c r="R111" s="25" t="str">
        <f>IFERROR(VLOOKUP(tbl_clean_sales[[#This Row],[Branch_ID]],'04_Branch_Master'!$A$1:$C$7,2,FALSE),"Missing")</f>
        <v>Palladam</v>
      </c>
      <c r="S111" s="25" t="str">
        <f>IFERROR(VLOOKUP(tbl_clean_sales[[#This Row],[Branch_ID]],'04_Branch_Master'!$A$1:$C$7,3,FALSE),"Missing")</f>
        <v>South</v>
      </c>
      <c r="T111" s="25" t="str">
        <f>C111&amp;"|"&amp;TEXT(tbl_clean_sales[[#This Row],[Date]],"yyyymm")</f>
        <v>E002|202606</v>
      </c>
      <c r="U111" s="25">
        <f>IFERROR(INDEX('05_Target_Master'!$A$1:$F$32,MATCH(tbl_clean_sales[[#This Row],[target key]],'05_Target_Master'!$F$1:$F$32,0),3),"Missing")</f>
        <v>117400</v>
      </c>
    </row>
    <row r="112" spans="1:21" x14ac:dyDescent="0.3">
      <c r="A112" s="21">
        <v>46160</v>
      </c>
      <c r="B112" s="22" t="s">
        <v>143</v>
      </c>
      <c r="C112" s="22" t="s">
        <v>21</v>
      </c>
      <c r="D112" s="22" t="s">
        <v>13</v>
      </c>
      <c r="E112" s="22" t="s">
        <v>22</v>
      </c>
      <c r="F112" s="22">
        <v>1</v>
      </c>
      <c r="G112" s="23">
        <v>350.24</v>
      </c>
      <c r="H112" s="25" t="str">
        <f>IF(COUNTIF(tbl_clean_sales[Invoice_ID],tbl_clean_sales[[#This Row],[Invoice_ID]])&gt;1,"Duplicate","Unique")</f>
        <v>Unique</v>
      </c>
      <c r="I112" s="25"/>
      <c r="J1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2" s="25" t="str">
        <f>IFERROR(VLOOKUP(tbl_clean_sales[[#This Row],[Employee_ID]],'02_Employee_Master'!$A$1:$C$12,2,FALSE),"Employee Name Missing")</f>
        <v>Priya S</v>
      </c>
      <c r="L112" s="25" t="str">
        <f>IFERROR(VLOOKUP(tbl_clean_sales[[#This Row],[Employee_ID]],'02_Employee_Master'!$A$1:$C$12,3,FALSE),"Department Name Missing")</f>
        <v>Sales</v>
      </c>
      <c r="M112" s="25" t="str">
        <f>IF('03_Clean_data'!D112="","Missing",IFERROR(IF(VLOOKUP(D112,'03_Product_Master'!$A$1:$D$14,1,FALSE)='03_Clean_data'!D112,"Valid","Invalid"),"Invalid"))</f>
        <v>Valid</v>
      </c>
      <c r="N112" s="25" t="str">
        <f>IFERROR(VLOOKUP(tbl_clean_sales[[#This Row],[Product_ID]],'03_Product_Master'!$A$1:$D$14,2,FALSE),"Missing")</f>
        <v>Body Lotion</v>
      </c>
      <c r="O112" s="25" t="str">
        <f>IFERROR(VLOOKUP(tbl_clean_sales[[#This Row],[Product_ID]],'03_Product_Master'!$A$1:$D$14,3,FALSE),"Missing")</f>
        <v>Personal Care</v>
      </c>
      <c r="P112" s="25">
        <f>IFERROR(VLOOKUP(tbl_clean_sales[[#This Row],[Product_ID]],'03_Product_Master'!$A$1:$D$14,4,FALSE),"Missing")</f>
        <v>390</v>
      </c>
      <c r="Q112" s="25" t="str">
        <f>IF('03_Clean_data'!E112="","Missing",IFERROR(IF(VLOOKUP(E112,'04_Branch_Master'!$A$1:$C$7,1,FALSE)='03_Clean_data'!E112,"Valid","Invalid"),"Invalid"))</f>
        <v>Valid</v>
      </c>
      <c r="R112" s="25" t="str">
        <f>IFERROR(VLOOKUP(tbl_clean_sales[[#This Row],[Branch_ID]],'04_Branch_Master'!$A$1:$C$7,2,FALSE),"Missing")</f>
        <v>Tirupur Central</v>
      </c>
      <c r="S112" s="25" t="str">
        <f>IFERROR(VLOOKUP(tbl_clean_sales[[#This Row],[Branch_ID]],'04_Branch_Master'!$A$1:$C$7,3,FALSE),"Missing")</f>
        <v>North</v>
      </c>
      <c r="T112" s="25" t="str">
        <f>C112&amp;"|"&amp;TEXT(tbl_clean_sales[[#This Row],[Date]],"yyyymm")</f>
        <v>E002|202605</v>
      </c>
      <c r="U112" s="25">
        <f>IFERROR(INDEX('05_Target_Master'!$A$1:$F$32,MATCH(tbl_clean_sales[[#This Row],[target key]],'05_Target_Master'!$F$1:$F$32,0),3),"Missing")</f>
        <v>132100</v>
      </c>
    </row>
    <row r="113" spans="1:21" x14ac:dyDescent="0.3">
      <c r="A113" s="22" t="s">
        <v>144</v>
      </c>
      <c r="B113" s="22" t="s">
        <v>145</v>
      </c>
      <c r="C113" s="22" t="s">
        <v>21</v>
      </c>
      <c r="D113" s="22" t="s">
        <v>16</v>
      </c>
      <c r="E113" s="22" t="s">
        <v>32</v>
      </c>
      <c r="F113" s="22">
        <v>12</v>
      </c>
      <c r="G113" s="23">
        <v>3651.7</v>
      </c>
      <c r="H113" s="25" t="str">
        <f>IF(COUNTIF(tbl_clean_sales[Invoice_ID],tbl_clean_sales[[#This Row],[Invoice_ID]])&gt;1,"Duplicate","Unique")</f>
        <v>Unique</v>
      </c>
      <c r="I113" s="25"/>
      <c r="J1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3" s="25" t="str">
        <f>IFERROR(VLOOKUP(tbl_clean_sales[[#This Row],[Employee_ID]],'02_Employee_Master'!$A$1:$C$12,2,FALSE),"Employee Name Missing")</f>
        <v>Priya S</v>
      </c>
      <c r="L113" s="25" t="str">
        <f>IFERROR(VLOOKUP(tbl_clean_sales[[#This Row],[Employee_ID]],'02_Employee_Master'!$A$1:$C$12,3,FALSE),"Department Name Missing")</f>
        <v>Sales</v>
      </c>
      <c r="M113" s="25" t="str">
        <f>IF('03_Clean_data'!D113="","Missing",IFERROR(IF(VLOOKUP(D113,'03_Product_Master'!$A$1:$D$14,1,FALSE)='03_Clean_data'!D113,"Valid","Invalid"),"Invalid"))</f>
        <v>Valid</v>
      </c>
      <c r="N113" s="25" t="str">
        <f>IFERROR(VLOOKUP(tbl_clean_sales[[#This Row],[Product_ID]],'03_Product_Master'!$A$1:$D$14,2,FALSE),"Missing")</f>
        <v>Shampoo</v>
      </c>
      <c r="O113" s="25" t="str">
        <f>IFERROR(VLOOKUP(tbl_clean_sales[[#This Row],[Product_ID]],'03_Product_Master'!$A$1:$D$14,3,FALSE),"Missing")</f>
        <v>Personal Care</v>
      </c>
      <c r="P113" s="25">
        <f>IFERROR(VLOOKUP(tbl_clean_sales[[#This Row],[Product_ID]],'03_Product_Master'!$A$1:$D$14,4,FALSE),"Missing")</f>
        <v>310</v>
      </c>
      <c r="Q113" s="25" t="str">
        <f>IF('03_Clean_data'!E113="","Missing",IFERROR(IF(VLOOKUP(E113,'04_Branch_Master'!$A$1:$C$7,1,FALSE)='03_Clean_data'!E113,"Valid","Invalid"),"Invalid"))</f>
        <v>Valid</v>
      </c>
      <c r="R113" s="25" t="str">
        <f>IFERROR(VLOOKUP(tbl_clean_sales[[#This Row],[Branch_ID]],'04_Branch_Master'!$A$1:$C$7,2,FALSE),"Missing")</f>
        <v>Kangeyam</v>
      </c>
      <c r="S113" s="25" t="str">
        <f>IFERROR(VLOOKUP(tbl_clean_sales[[#This Row],[Branch_ID]],'04_Branch_Master'!$A$1:$C$7,3,FALSE),"Missing")</f>
        <v>East</v>
      </c>
      <c r="T113" s="25" t="str">
        <f>C113&amp;"|"&amp;TEXT(tbl_clean_sales[[#This Row],[Date]],"yyyymm")</f>
        <v>E002|31-Feb-2026</v>
      </c>
      <c r="U113" s="25" t="str">
        <f>IFERROR(INDEX('05_Target_Master'!$A$1:$F$32,MATCH(tbl_clean_sales[[#This Row],[target key]],'05_Target_Master'!$F$1:$F$32,0),3),"Missing")</f>
        <v>Missing</v>
      </c>
    </row>
    <row r="114" spans="1:21" x14ac:dyDescent="0.3">
      <c r="A114" s="21">
        <v>46135</v>
      </c>
      <c r="B114" s="22" t="s">
        <v>146</v>
      </c>
      <c r="C114" s="22" t="s">
        <v>8</v>
      </c>
      <c r="D114" s="22" t="s">
        <v>43</v>
      </c>
      <c r="E114" s="22" t="s">
        <v>10</v>
      </c>
      <c r="F114" s="22">
        <v>9</v>
      </c>
      <c r="G114" s="23">
        <v>2775.55</v>
      </c>
      <c r="H114" s="25" t="str">
        <f>IF(COUNTIF(tbl_clean_sales[Invoice_ID],tbl_clean_sales[[#This Row],[Invoice_ID]])&gt;1,"Duplicate","Unique")</f>
        <v>Unique</v>
      </c>
      <c r="I114" s="25"/>
      <c r="J1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4" s="25" t="str">
        <f>IFERROR(VLOOKUP(tbl_clean_sales[[#This Row],[Employee_ID]],'02_Employee_Master'!$A$1:$C$12,2,FALSE),"Employee Name Missing")</f>
        <v>Vignesh R</v>
      </c>
      <c r="L114" s="25" t="str">
        <f>IFERROR(VLOOKUP(tbl_clean_sales[[#This Row],[Employee_ID]],'02_Employee_Master'!$A$1:$C$12,3,FALSE),"Department Name Missing")</f>
        <v>Sales</v>
      </c>
      <c r="M114" s="25" t="str">
        <f>IF('03_Clean_data'!D114="","Missing",IFERROR(IF(VLOOKUP(D114,'03_Product_Master'!$A$1:$D$14,1,FALSE)='03_Clean_data'!D114,"Valid","Invalid"),"Invalid"))</f>
        <v>Valid</v>
      </c>
      <c r="N114" s="25" t="str">
        <f>IFERROR(VLOOKUP(tbl_clean_sales[[#This Row],[Product_ID]],'03_Product_Master'!$A$1:$D$14,2,FALSE),"Missing")</f>
        <v>Laundry Liquid</v>
      </c>
      <c r="O114" s="25" t="str">
        <f>IFERROR(VLOOKUP(tbl_clean_sales[[#This Row],[Product_ID]],'03_Product_Master'!$A$1:$D$14,3,FALSE),"Missing")</f>
        <v>Home Care</v>
      </c>
      <c r="P114" s="25">
        <f>IFERROR(VLOOKUP(tbl_clean_sales[[#This Row],[Product_ID]],'03_Product_Master'!$A$1:$D$14,4,FALSE),"Missing")</f>
        <v>340</v>
      </c>
      <c r="Q114" s="25" t="str">
        <f>IF('03_Clean_data'!E114="","Missing",IFERROR(IF(VLOOKUP(E114,'04_Branch_Master'!$A$1:$C$7,1,FALSE)='03_Clean_data'!E114,"Valid","Invalid"),"Invalid"))</f>
        <v>Valid</v>
      </c>
      <c r="R114" s="25" t="str">
        <f>IFERROR(VLOOKUP(tbl_clean_sales[[#This Row],[Branch_ID]],'04_Branch_Master'!$A$1:$C$7,2,FALSE),"Missing")</f>
        <v>Dharapuram</v>
      </c>
      <c r="S114" s="25" t="str">
        <f>IFERROR(VLOOKUP(tbl_clean_sales[[#This Row],[Branch_ID]],'04_Branch_Master'!$A$1:$C$7,3,FALSE),"Missing")</f>
        <v>South</v>
      </c>
      <c r="T114" s="25" t="str">
        <f>C114&amp;"|"&amp;TEXT(tbl_clean_sales[[#This Row],[Date]],"yyyymm")</f>
        <v>E009|202604</v>
      </c>
      <c r="U114" s="25">
        <f>IFERROR(INDEX('05_Target_Master'!$A$1:$F$32,MATCH(tbl_clean_sales[[#This Row],[target key]],'05_Target_Master'!$F$1:$F$32,0),3),"Missing")</f>
        <v>163300</v>
      </c>
    </row>
    <row r="115" spans="1:21" x14ac:dyDescent="0.3">
      <c r="A115" s="21">
        <v>46172</v>
      </c>
      <c r="B115" s="22" t="s">
        <v>147</v>
      </c>
      <c r="C115" s="22" t="s">
        <v>46</v>
      </c>
      <c r="D115" s="22" t="s">
        <v>19</v>
      </c>
      <c r="E115" s="22" t="s">
        <v>32</v>
      </c>
      <c r="F115" s="22">
        <v>6</v>
      </c>
      <c r="G115" s="23">
        <v>1238.96</v>
      </c>
      <c r="H115" s="25" t="str">
        <f>IF(COUNTIF(tbl_clean_sales[Invoice_ID],tbl_clean_sales[[#This Row],[Invoice_ID]])&gt;1,"Duplicate","Unique")</f>
        <v>Unique</v>
      </c>
      <c r="I115" s="25"/>
      <c r="J1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5" s="25" t="str">
        <f>IFERROR(VLOOKUP(tbl_clean_sales[[#This Row],[Employee_ID]],'02_Employee_Master'!$A$1:$C$12,2,FALSE),"Employee Name Missing")</f>
        <v>Suresh B</v>
      </c>
      <c r="L115" s="25" t="str">
        <f>IFERROR(VLOOKUP(tbl_clean_sales[[#This Row],[Employee_ID]],'02_Employee_Master'!$A$1:$C$12,3,FALSE),"Department Name Missing")</f>
        <v>Sales</v>
      </c>
      <c r="M115" s="25" t="str">
        <f>IF('03_Clean_data'!D115="","Missing",IFERROR(IF(VLOOKUP(D115,'03_Product_Master'!$A$1:$D$14,1,FALSE)='03_Clean_data'!D115,"Valid","Invalid"),"Invalid"))</f>
        <v>Valid</v>
      </c>
      <c r="N115" s="25" t="str">
        <f>IFERROR(VLOOKUP(tbl_clean_sales[[#This Row],[Product_ID]],'03_Product_Master'!$A$1:$D$14,2,FALSE),"Missing")</f>
        <v>Floor Cleaner</v>
      </c>
      <c r="O115" s="25" t="str">
        <f>IFERROR(VLOOKUP(tbl_clean_sales[[#This Row],[Product_ID]],'03_Product_Master'!$A$1:$D$14,3,FALSE),"Missing")</f>
        <v>Home Care</v>
      </c>
      <c r="P115" s="25">
        <f>IFERROR(VLOOKUP(tbl_clean_sales[[#This Row],[Product_ID]],'03_Product_Master'!$A$1:$D$14,4,FALSE),"Missing")</f>
        <v>230</v>
      </c>
      <c r="Q115" s="25" t="str">
        <f>IF('03_Clean_data'!E115="","Missing",IFERROR(IF(VLOOKUP(E115,'04_Branch_Master'!$A$1:$C$7,1,FALSE)='03_Clean_data'!E115,"Valid","Invalid"),"Invalid"))</f>
        <v>Valid</v>
      </c>
      <c r="R115" s="25" t="str">
        <f>IFERROR(VLOOKUP(tbl_clean_sales[[#This Row],[Branch_ID]],'04_Branch_Master'!$A$1:$C$7,2,FALSE),"Missing")</f>
        <v>Kangeyam</v>
      </c>
      <c r="S115" s="25" t="str">
        <f>IFERROR(VLOOKUP(tbl_clean_sales[[#This Row],[Branch_ID]],'04_Branch_Master'!$A$1:$C$7,3,FALSE),"Missing")</f>
        <v>East</v>
      </c>
      <c r="T115" s="25" t="str">
        <f>C115&amp;"|"&amp;TEXT(tbl_clean_sales[[#This Row],[Date]],"yyyymm")</f>
        <v>E007|202605</v>
      </c>
      <c r="U115" s="25">
        <f>IFERROR(INDEX('05_Target_Master'!$A$1:$F$32,MATCH(tbl_clean_sales[[#This Row],[target key]],'05_Target_Master'!$F$1:$F$32,0),3),"Missing")</f>
        <v>140000</v>
      </c>
    </row>
    <row r="116" spans="1:21" x14ac:dyDescent="0.3">
      <c r="A116" s="21">
        <v>46124</v>
      </c>
      <c r="B116" s="22" t="s">
        <v>148</v>
      </c>
      <c r="C116" s="22" t="s">
        <v>24</v>
      </c>
      <c r="D116" s="22" t="s">
        <v>48</v>
      </c>
      <c r="E116" s="22" t="s">
        <v>26</v>
      </c>
      <c r="F116" s="22">
        <v>8</v>
      </c>
      <c r="G116" s="23">
        <v>1937.77</v>
      </c>
      <c r="H116" s="25" t="str">
        <f>IF(COUNTIF(tbl_clean_sales[Invoice_ID],tbl_clean_sales[[#This Row],[Invoice_ID]])&gt;1,"Duplicate","Unique")</f>
        <v>Unique</v>
      </c>
      <c r="I116" s="25"/>
      <c r="J1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6" s="25" t="str">
        <f>IFERROR(VLOOKUP(tbl_clean_sales[[#This Row],[Employee_ID]],'02_Employee_Master'!$A$1:$C$12,2,FALSE),"Employee Name Missing")</f>
        <v>Karthik P</v>
      </c>
      <c r="L116" s="25" t="str">
        <f>IFERROR(VLOOKUP(tbl_clean_sales[[#This Row],[Employee_ID]],'02_Employee_Master'!$A$1:$C$12,3,FALSE),"Department Name Missing")</f>
        <v>Sales</v>
      </c>
      <c r="M116" s="25" t="str">
        <f>IF('03_Clean_data'!D116="","Missing",IFERROR(IF(VLOOKUP(D116,'03_Product_Master'!$A$1:$D$14,1,FALSE)='03_Clean_data'!D116,"Valid","Invalid"),"Invalid"))</f>
        <v>Valid</v>
      </c>
      <c r="N116" s="25" t="str">
        <f>IFERROR(VLOOKUP(tbl_clean_sales[[#This Row],[Product_ID]],'03_Product_Master'!$A$1:$D$14,2,FALSE),"Missing")</f>
        <v>Face Wash</v>
      </c>
      <c r="O116" s="25" t="str">
        <f>IFERROR(VLOOKUP(tbl_clean_sales[[#This Row],[Product_ID]],'03_Product_Master'!$A$1:$D$14,3,FALSE),"Missing")</f>
        <v>Personal Care</v>
      </c>
      <c r="P116" s="25">
        <f>IFERROR(VLOOKUP(tbl_clean_sales[[#This Row],[Product_ID]],'03_Product_Master'!$A$1:$D$14,4,FALSE),"Missing")</f>
        <v>260</v>
      </c>
      <c r="Q116" s="25" t="str">
        <f>IF('03_Clean_data'!E116="","Missing",IFERROR(IF(VLOOKUP(E116,'04_Branch_Master'!$A$1:$C$7,1,FALSE)='03_Clean_data'!E116,"Valid","Invalid"),"Invalid"))</f>
        <v>Valid</v>
      </c>
      <c r="R116" s="25" t="str">
        <f>IFERROR(VLOOKUP(tbl_clean_sales[[#This Row],[Branch_ID]],'04_Branch_Master'!$A$1:$C$7,2,FALSE),"Missing")</f>
        <v>Palladam</v>
      </c>
      <c r="S116" s="25" t="str">
        <f>IFERROR(VLOOKUP(tbl_clean_sales[[#This Row],[Branch_ID]],'04_Branch_Master'!$A$1:$C$7,3,FALSE),"Missing")</f>
        <v>South</v>
      </c>
      <c r="T116" s="25" t="str">
        <f>C116&amp;"|"&amp;TEXT(tbl_clean_sales[[#This Row],[Date]],"yyyymm")</f>
        <v>E005|202604</v>
      </c>
      <c r="U116" s="25">
        <f>IFERROR(INDEX('05_Target_Master'!$A$1:$F$32,MATCH(tbl_clean_sales[[#This Row],[target key]],'05_Target_Master'!$F$1:$F$32,0),3),"Missing")</f>
        <v>133000</v>
      </c>
    </row>
    <row r="117" spans="1:21" x14ac:dyDescent="0.3">
      <c r="A117" s="21">
        <v>46198</v>
      </c>
      <c r="B117" s="22" t="s">
        <v>149</v>
      </c>
      <c r="C117" s="22" t="s">
        <v>46</v>
      </c>
      <c r="D117" s="22" t="s">
        <v>34</v>
      </c>
      <c r="E117" s="22" t="s">
        <v>32</v>
      </c>
      <c r="F117" s="22">
        <v>6</v>
      </c>
      <c r="G117" s="23">
        <v>645.6</v>
      </c>
      <c r="H117" s="25" t="str">
        <f>IF(COUNTIF(tbl_clean_sales[Invoice_ID],tbl_clean_sales[[#This Row],[Invoice_ID]])&gt;1,"Duplicate","Unique")</f>
        <v>Unique</v>
      </c>
      <c r="I117" s="25"/>
      <c r="J1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7" s="25" t="str">
        <f>IFERROR(VLOOKUP(tbl_clean_sales[[#This Row],[Employee_ID]],'02_Employee_Master'!$A$1:$C$12,2,FALSE),"Employee Name Missing")</f>
        <v>Suresh B</v>
      </c>
      <c r="L117" s="25" t="str">
        <f>IFERROR(VLOOKUP(tbl_clean_sales[[#This Row],[Employee_ID]],'02_Employee_Master'!$A$1:$C$12,3,FALSE),"Department Name Missing")</f>
        <v>Sales</v>
      </c>
      <c r="M117" s="25" t="str">
        <f>IF('03_Clean_data'!D117="","Missing",IFERROR(IF(VLOOKUP(D117,'03_Product_Master'!$A$1:$D$14,1,FALSE)='03_Clean_data'!D117,"Valid","Invalid"),"Invalid"))</f>
        <v>Valid</v>
      </c>
      <c r="N117" s="25" t="str">
        <f>IFERROR(VLOOKUP(tbl_clean_sales[[#This Row],[Product_ID]],'03_Product_Master'!$A$1:$D$14,2,FALSE),"Missing")</f>
        <v>Potato Chips</v>
      </c>
      <c r="O117" s="25" t="str">
        <f>IFERROR(VLOOKUP(tbl_clean_sales[[#This Row],[Product_ID]],'03_Product_Master'!$A$1:$D$14,3,FALSE),"Missing")</f>
        <v>Snacks</v>
      </c>
      <c r="P117" s="25">
        <f>IFERROR(VLOOKUP(tbl_clean_sales[[#This Row],[Product_ID]],'03_Product_Master'!$A$1:$D$14,4,FALSE),"Missing")</f>
        <v>110</v>
      </c>
      <c r="Q117" s="25" t="str">
        <f>IF('03_Clean_data'!E117="","Missing",IFERROR(IF(VLOOKUP(E117,'04_Branch_Master'!$A$1:$C$7,1,FALSE)='03_Clean_data'!E117,"Valid","Invalid"),"Invalid"))</f>
        <v>Valid</v>
      </c>
      <c r="R117" s="25" t="str">
        <f>IFERROR(VLOOKUP(tbl_clean_sales[[#This Row],[Branch_ID]],'04_Branch_Master'!$A$1:$C$7,2,FALSE),"Missing")</f>
        <v>Kangeyam</v>
      </c>
      <c r="S117" s="25" t="str">
        <f>IFERROR(VLOOKUP(tbl_clean_sales[[#This Row],[Branch_ID]],'04_Branch_Master'!$A$1:$C$7,3,FALSE),"Missing")</f>
        <v>East</v>
      </c>
      <c r="T117" s="25" t="str">
        <f>C117&amp;"|"&amp;TEXT(tbl_clean_sales[[#This Row],[Date]],"yyyymm")</f>
        <v>E007|202606</v>
      </c>
      <c r="U117" s="25">
        <f>IFERROR(INDEX('05_Target_Master'!$A$1:$F$32,MATCH(tbl_clean_sales[[#This Row],[target key]],'05_Target_Master'!$F$1:$F$32,0),3),"Missing")</f>
        <v>124400</v>
      </c>
    </row>
    <row r="118" spans="1:21" x14ac:dyDescent="0.3">
      <c r="A118" s="21">
        <v>46140</v>
      </c>
      <c r="B118" s="22" t="s">
        <v>150</v>
      </c>
      <c r="C118" s="22" t="s">
        <v>40</v>
      </c>
      <c r="D118" s="22" t="s">
        <v>82</v>
      </c>
      <c r="E118" s="22" t="s">
        <v>26</v>
      </c>
      <c r="F118" s="22">
        <v>10</v>
      </c>
      <c r="G118" s="23">
        <v>1099.03</v>
      </c>
      <c r="H118" s="25" t="str">
        <f>IF(COUNTIF(tbl_clean_sales[Invoice_ID],tbl_clean_sales[[#This Row],[Invoice_ID]])&gt;1,"Duplicate","Unique")</f>
        <v>Unique</v>
      </c>
      <c r="I118" s="25"/>
      <c r="J1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8" s="25" t="str">
        <f>IFERROR(VLOOKUP(tbl_clean_sales[[#This Row],[Employee_ID]],'02_Employee_Master'!$A$1:$C$12,2,FALSE),"Employee Name Missing")</f>
        <v>Meena V</v>
      </c>
      <c r="L118" s="25" t="str">
        <f>IFERROR(VLOOKUP(tbl_clean_sales[[#This Row],[Employee_ID]],'02_Employee_Master'!$A$1:$C$12,3,FALSE),"Department Name Missing")</f>
        <v>Sales</v>
      </c>
      <c r="M118" s="25" t="str">
        <f>IF('03_Clean_data'!D118="","Missing",IFERROR(IF(VLOOKUP(D118,'03_Product_Master'!$A$1:$D$14,1,FALSE)='03_Clean_data'!D118,"Valid","Invalid"),"Invalid"))</f>
        <v>Valid</v>
      </c>
      <c r="N118" s="25" t="str">
        <f>IFERROR(VLOOKUP(tbl_clean_sales[[#This Row],[Product_ID]],'03_Product_Master'!$A$1:$D$14,2,FALSE),"Missing")</f>
        <v>Chocolate Bar</v>
      </c>
      <c r="O118" s="25" t="str">
        <f>IFERROR(VLOOKUP(tbl_clean_sales[[#This Row],[Product_ID]],'03_Product_Master'!$A$1:$D$14,3,FALSE),"Missing")</f>
        <v>Snacks</v>
      </c>
      <c r="P118" s="25">
        <f>IFERROR(VLOOKUP(tbl_clean_sales[[#This Row],[Product_ID]],'03_Product_Master'!$A$1:$D$14,4,FALSE),"Missing")</f>
        <v>120</v>
      </c>
      <c r="Q118" s="25" t="str">
        <f>IF('03_Clean_data'!E118="","Missing",IFERROR(IF(VLOOKUP(E118,'04_Branch_Master'!$A$1:$C$7,1,FALSE)='03_Clean_data'!E118,"Valid","Invalid"),"Invalid"))</f>
        <v>Valid</v>
      </c>
      <c r="R118" s="25" t="str">
        <f>IFERROR(VLOOKUP(tbl_clean_sales[[#This Row],[Branch_ID]],'04_Branch_Master'!$A$1:$C$7,2,FALSE),"Missing")</f>
        <v>Palladam</v>
      </c>
      <c r="S118" s="25" t="str">
        <f>IFERROR(VLOOKUP(tbl_clean_sales[[#This Row],[Branch_ID]],'04_Branch_Master'!$A$1:$C$7,3,FALSE),"Missing")</f>
        <v>South</v>
      </c>
      <c r="T118" s="25" t="str">
        <f>C118&amp;"|"&amp;TEXT(tbl_clean_sales[[#This Row],[Date]],"yyyymm")</f>
        <v>E006|202604</v>
      </c>
      <c r="U118" s="25">
        <f>IFERROR(INDEX('05_Target_Master'!$A$1:$F$32,MATCH(tbl_clean_sales[[#This Row],[target key]],'05_Target_Master'!$F$1:$F$32,0),3),"Missing")</f>
        <v>131000</v>
      </c>
    </row>
    <row r="119" spans="1:21" x14ac:dyDescent="0.3">
      <c r="A119" s="21">
        <v>46148</v>
      </c>
      <c r="B119" s="22" t="s">
        <v>151</v>
      </c>
      <c r="C119" s="22" t="s">
        <v>8</v>
      </c>
      <c r="D119" s="22" t="s">
        <v>25</v>
      </c>
      <c r="E119" s="22" t="s">
        <v>10</v>
      </c>
      <c r="F119" s="22">
        <v>4</v>
      </c>
      <c r="G119" s="23">
        <v>1662.74</v>
      </c>
      <c r="H119" s="25" t="str">
        <f>IF(COUNTIF(tbl_clean_sales[Invoice_ID],tbl_clean_sales[[#This Row],[Invoice_ID]])&gt;1,"Duplicate","Unique")</f>
        <v>Unique</v>
      </c>
      <c r="I119" s="25"/>
      <c r="J1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19" s="25" t="str">
        <f>IFERROR(VLOOKUP(tbl_clean_sales[[#This Row],[Employee_ID]],'02_Employee_Master'!$A$1:$C$12,2,FALSE),"Employee Name Missing")</f>
        <v>Vignesh R</v>
      </c>
      <c r="L119" s="25" t="str">
        <f>IFERROR(VLOOKUP(tbl_clean_sales[[#This Row],[Employee_ID]],'02_Employee_Master'!$A$1:$C$12,3,FALSE),"Department Name Missing")</f>
        <v>Sales</v>
      </c>
      <c r="M119" s="25" t="str">
        <f>IF('03_Clean_data'!D119="","Missing",IFERROR(IF(VLOOKUP(D119,'03_Product_Master'!$A$1:$D$14,1,FALSE)='03_Clean_data'!D119,"Valid","Invalid"),"Invalid"))</f>
        <v>Valid</v>
      </c>
      <c r="N119" s="25" t="str">
        <f>IFERROR(VLOOKUP(tbl_clean_sales[[#This Row],[Product_ID]],'03_Product_Master'!$A$1:$D$14,2,FALSE),"Missing")</f>
        <v>Premium Coffee</v>
      </c>
      <c r="O119" s="25" t="str">
        <f>IFERROR(VLOOKUP(tbl_clean_sales[[#This Row],[Product_ID]],'03_Product_Master'!$A$1:$D$14,3,FALSE),"Missing")</f>
        <v>Beverages</v>
      </c>
      <c r="P119" s="25">
        <f>IFERROR(VLOOKUP(tbl_clean_sales[[#This Row],[Product_ID]],'03_Product_Master'!$A$1:$D$14,4,FALSE),"Missing")</f>
        <v>420</v>
      </c>
      <c r="Q119" s="25" t="str">
        <f>IF('03_Clean_data'!E119="","Missing",IFERROR(IF(VLOOKUP(E119,'04_Branch_Master'!$A$1:$C$7,1,FALSE)='03_Clean_data'!E119,"Valid","Invalid"),"Invalid"))</f>
        <v>Valid</v>
      </c>
      <c r="R119" s="25" t="str">
        <f>IFERROR(VLOOKUP(tbl_clean_sales[[#This Row],[Branch_ID]],'04_Branch_Master'!$A$1:$C$7,2,FALSE),"Missing")</f>
        <v>Dharapuram</v>
      </c>
      <c r="S119" s="25" t="str">
        <f>IFERROR(VLOOKUP(tbl_clean_sales[[#This Row],[Branch_ID]],'04_Branch_Master'!$A$1:$C$7,3,FALSE),"Missing")</f>
        <v>South</v>
      </c>
      <c r="T119" s="25" t="str">
        <f>C119&amp;"|"&amp;TEXT(tbl_clean_sales[[#This Row],[Date]],"yyyymm")</f>
        <v>E009|202605</v>
      </c>
      <c r="U119" s="25">
        <f>IFERROR(INDEX('05_Target_Master'!$A$1:$F$32,MATCH(tbl_clean_sales[[#This Row],[target key]],'05_Target_Master'!$F$1:$F$32,0),3),"Missing")</f>
        <v>176300</v>
      </c>
    </row>
    <row r="120" spans="1:21" x14ac:dyDescent="0.3">
      <c r="A120" s="21">
        <v>46165</v>
      </c>
      <c r="B120" s="22" t="s">
        <v>152</v>
      </c>
      <c r="C120" s="22" t="s">
        <v>38</v>
      </c>
      <c r="D120" s="22" t="s">
        <v>13</v>
      </c>
      <c r="E120" s="22" t="s">
        <v>32</v>
      </c>
      <c r="F120" s="22">
        <v>12</v>
      </c>
      <c r="G120" s="23">
        <v>4412.63</v>
      </c>
      <c r="H120" s="25" t="str">
        <f>IF(COUNTIF(tbl_clean_sales[Invoice_ID],tbl_clean_sales[[#This Row],[Invoice_ID]])&gt;1,"Duplicate","Unique")</f>
        <v>Unique</v>
      </c>
      <c r="I120" s="25"/>
      <c r="J1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0" s="25" t="str">
        <f>IFERROR(VLOOKUP(tbl_clean_sales[[#This Row],[Employee_ID]],'02_Employee_Master'!$A$1:$C$12,2,FALSE),"Employee Name Missing")</f>
        <v>Nandhini K</v>
      </c>
      <c r="L120" s="25" t="str">
        <f>IFERROR(VLOOKUP(tbl_clean_sales[[#This Row],[Employee_ID]],'02_Employee_Master'!$A$1:$C$12,3,FALSE),"Department Name Missing")</f>
        <v>Sales</v>
      </c>
      <c r="M120" s="25" t="str">
        <f>IF('03_Clean_data'!D120="","Missing",IFERROR(IF(VLOOKUP(D120,'03_Product_Master'!$A$1:$D$14,1,FALSE)='03_Clean_data'!D120,"Valid","Invalid"),"Invalid"))</f>
        <v>Valid</v>
      </c>
      <c r="N120" s="25" t="str">
        <f>IFERROR(VLOOKUP(tbl_clean_sales[[#This Row],[Product_ID]],'03_Product_Master'!$A$1:$D$14,2,FALSE),"Missing")</f>
        <v>Body Lotion</v>
      </c>
      <c r="O120" s="25" t="str">
        <f>IFERROR(VLOOKUP(tbl_clean_sales[[#This Row],[Product_ID]],'03_Product_Master'!$A$1:$D$14,3,FALSE),"Missing")</f>
        <v>Personal Care</v>
      </c>
      <c r="P120" s="25">
        <f>IFERROR(VLOOKUP(tbl_clean_sales[[#This Row],[Product_ID]],'03_Product_Master'!$A$1:$D$14,4,FALSE),"Missing")</f>
        <v>390</v>
      </c>
      <c r="Q120" s="25" t="str">
        <f>IF('03_Clean_data'!E120="","Missing",IFERROR(IF(VLOOKUP(E120,'04_Branch_Master'!$A$1:$C$7,1,FALSE)='03_Clean_data'!E120,"Valid","Invalid"),"Invalid"))</f>
        <v>Valid</v>
      </c>
      <c r="R120" s="25" t="str">
        <f>IFERROR(VLOOKUP(tbl_clean_sales[[#This Row],[Branch_ID]],'04_Branch_Master'!$A$1:$C$7,2,FALSE),"Missing")</f>
        <v>Kangeyam</v>
      </c>
      <c r="S120" s="25" t="str">
        <f>IFERROR(VLOOKUP(tbl_clean_sales[[#This Row],[Branch_ID]],'04_Branch_Master'!$A$1:$C$7,3,FALSE),"Missing")</f>
        <v>East</v>
      </c>
      <c r="T120" s="25" t="str">
        <f>C120&amp;"|"&amp;TEXT(tbl_clean_sales[[#This Row],[Date]],"yyyymm")</f>
        <v>E008|202605</v>
      </c>
      <c r="U120" s="25">
        <f>IFERROR(INDEX('05_Target_Master'!$A$1:$F$32,MATCH(tbl_clean_sales[[#This Row],[target key]],'05_Target_Master'!$F$1:$F$32,0),3),"Missing")</f>
        <v>134100</v>
      </c>
    </row>
    <row r="121" spans="1:21" x14ac:dyDescent="0.3">
      <c r="A121" s="21">
        <v>46175</v>
      </c>
      <c r="B121" s="22" t="s">
        <v>153</v>
      </c>
      <c r="C121" s="22" t="s">
        <v>38</v>
      </c>
      <c r="D121" s="22" t="s">
        <v>25</v>
      </c>
      <c r="E121" s="22" t="s">
        <v>32</v>
      </c>
      <c r="F121" s="22">
        <v>4</v>
      </c>
      <c r="G121" s="23">
        <v>1598.47</v>
      </c>
      <c r="H121" s="25" t="str">
        <f>IF(COUNTIF(tbl_clean_sales[Invoice_ID],tbl_clean_sales[[#This Row],[Invoice_ID]])&gt;1,"Duplicate","Unique")</f>
        <v>Unique</v>
      </c>
      <c r="I121" s="25"/>
      <c r="J1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1" s="25" t="str">
        <f>IFERROR(VLOOKUP(tbl_clean_sales[[#This Row],[Employee_ID]],'02_Employee_Master'!$A$1:$C$12,2,FALSE),"Employee Name Missing")</f>
        <v>Nandhini K</v>
      </c>
      <c r="L121" s="25" t="str">
        <f>IFERROR(VLOOKUP(tbl_clean_sales[[#This Row],[Employee_ID]],'02_Employee_Master'!$A$1:$C$12,3,FALSE),"Department Name Missing")</f>
        <v>Sales</v>
      </c>
      <c r="M121" s="25" t="str">
        <f>IF('03_Clean_data'!D121="","Missing",IFERROR(IF(VLOOKUP(D121,'03_Product_Master'!$A$1:$D$14,1,FALSE)='03_Clean_data'!D121,"Valid","Invalid"),"Invalid"))</f>
        <v>Valid</v>
      </c>
      <c r="N121" s="25" t="str">
        <f>IFERROR(VLOOKUP(tbl_clean_sales[[#This Row],[Product_ID]],'03_Product_Master'!$A$1:$D$14,2,FALSE),"Missing")</f>
        <v>Premium Coffee</v>
      </c>
      <c r="O121" s="25" t="str">
        <f>IFERROR(VLOOKUP(tbl_clean_sales[[#This Row],[Product_ID]],'03_Product_Master'!$A$1:$D$14,3,FALSE),"Missing")</f>
        <v>Beverages</v>
      </c>
      <c r="P121" s="25">
        <f>IFERROR(VLOOKUP(tbl_clean_sales[[#This Row],[Product_ID]],'03_Product_Master'!$A$1:$D$14,4,FALSE),"Missing")</f>
        <v>420</v>
      </c>
      <c r="Q121" s="25" t="str">
        <f>IF('03_Clean_data'!E121="","Missing",IFERROR(IF(VLOOKUP(E121,'04_Branch_Master'!$A$1:$C$7,1,FALSE)='03_Clean_data'!E121,"Valid","Invalid"),"Invalid"))</f>
        <v>Valid</v>
      </c>
      <c r="R121" s="25" t="str">
        <f>IFERROR(VLOOKUP(tbl_clean_sales[[#This Row],[Branch_ID]],'04_Branch_Master'!$A$1:$C$7,2,FALSE),"Missing")</f>
        <v>Kangeyam</v>
      </c>
      <c r="S121" s="25" t="str">
        <f>IFERROR(VLOOKUP(tbl_clean_sales[[#This Row],[Branch_ID]],'04_Branch_Master'!$A$1:$C$7,3,FALSE),"Missing")</f>
        <v>East</v>
      </c>
      <c r="T121" s="25" t="str">
        <f>C121&amp;"|"&amp;TEXT(tbl_clean_sales[[#This Row],[Date]],"yyyymm")</f>
        <v>E008|202606</v>
      </c>
      <c r="U121" s="25">
        <f>IFERROR(INDEX('05_Target_Master'!$A$1:$F$32,MATCH(tbl_clean_sales[[#This Row],[target key]],'05_Target_Master'!$F$1:$F$32,0),3),"Missing")</f>
        <v>119200</v>
      </c>
    </row>
    <row r="122" spans="1:21" x14ac:dyDescent="0.3">
      <c r="A122" s="21">
        <v>46144</v>
      </c>
      <c r="B122" s="22" t="s">
        <v>154</v>
      </c>
      <c r="C122" s="22" t="s">
        <v>24</v>
      </c>
      <c r="D122" s="22" t="s">
        <v>43</v>
      </c>
      <c r="E122" s="22" t="s">
        <v>26</v>
      </c>
      <c r="F122" s="22">
        <v>8</v>
      </c>
      <c r="G122" s="23">
        <v>2539.35</v>
      </c>
      <c r="H122" s="25" t="str">
        <f>IF(COUNTIF(tbl_clean_sales[Invoice_ID],tbl_clean_sales[[#This Row],[Invoice_ID]])&gt;1,"Duplicate","Unique")</f>
        <v>Unique</v>
      </c>
      <c r="I122" s="25"/>
      <c r="J1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2" s="25" t="str">
        <f>IFERROR(VLOOKUP(tbl_clean_sales[[#This Row],[Employee_ID]],'02_Employee_Master'!$A$1:$C$12,2,FALSE),"Employee Name Missing")</f>
        <v>Karthik P</v>
      </c>
      <c r="L122" s="25" t="str">
        <f>IFERROR(VLOOKUP(tbl_clean_sales[[#This Row],[Employee_ID]],'02_Employee_Master'!$A$1:$C$12,3,FALSE),"Department Name Missing")</f>
        <v>Sales</v>
      </c>
      <c r="M122" s="25" t="str">
        <f>IF('03_Clean_data'!D122="","Missing",IFERROR(IF(VLOOKUP(D122,'03_Product_Master'!$A$1:$D$14,1,FALSE)='03_Clean_data'!D122,"Valid","Invalid"),"Invalid"))</f>
        <v>Valid</v>
      </c>
      <c r="N122" s="25" t="str">
        <f>IFERROR(VLOOKUP(tbl_clean_sales[[#This Row],[Product_ID]],'03_Product_Master'!$A$1:$D$14,2,FALSE),"Missing")</f>
        <v>Laundry Liquid</v>
      </c>
      <c r="O122" s="25" t="str">
        <f>IFERROR(VLOOKUP(tbl_clean_sales[[#This Row],[Product_ID]],'03_Product_Master'!$A$1:$D$14,3,FALSE),"Missing")</f>
        <v>Home Care</v>
      </c>
      <c r="P122" s="25">
        <f>IFERROR(VLOOKUP(tbl_clean_sales[[#This Row],[Product_ID]],'03_Product_Master'!$A$1:$D$14,4,FALSE),"Missing")</f>
        <v>340</v>
      </c>
      <c r="Q122" s="25" t="str">
        <f>IF('03_Clean_data'!E122="","Missing",IFERROR(IF(VLOOKUP(E122,'04_Branch_Master'!$A$1:$C$7,1,FALSE)='03_Clean_data'!E122,"Valid","Invalid"),"Invalid"))</f>
        <v>Valid</v>
      </c>
      <c r="R122" s="25" t="str">
        <f>IFERROR(VLOOKUP(tbl_clean_sales[[#This Row],[Branch_ID]],'04_Branch_Master'!$A$1:$C$7,2,FALSE),"Missing")</f>
        <v>Palladam</v>
      </c>
      <c r="S122" s="25" t="str">
        <f>IFERROR(VLOOKUP(tbl_clean_sales[[#This Row],[Branch_ID]],'04_Branch_Master'!$A$1:$C$7,3,FALSE),"Missing")</f>
        <v>South</v>
      </c>
      <c r="T122" s="25" t="str">
        <f>C122&amp;"|"&amp;TEXT(tbl_clean_sales[[#This Row],[Date]],"yyyymm")</f>
        <v>E005|202605</v>
      </c>
      <c r="U122" s="25">
        <f>IFERROR(INDEX('05_Target_Master'!$A$1:$F$32,MATCH(tbl_clean_sales[[#This Row],[target key]],'05_Target_Master'!$F$1:$F$32,0),3),"Missing")</f>
        <v>143700</v>
      </c>
    </row>
    <row r="123" spans="1:21" x14ac:dyDescent="0.3">
      <c r="A123" s="21">
        <v>46157</v>
      </c>
      <c r="B123" s="22" t="s">
        <v>155</v>
      </c>
      <c r="C123" s="22" t="s">
        <v>46</v>
      </c>
      <c r="D123" s="22" t="s">
        <v>19</v>
      </c>
      <c r="E123" s="22" t="s">
        <v>32</v>
      </c>
      <c r="F123" s="22">
        <v>6</v>
      </c>
      <c r="G123" s="23">
        <v>1263.6099999999999</v>
      </c>
      <c r="H123" s="25" t="str">
        <f>IF(COUNTIF(tbl_clean_sales[Invoice_ID],tbl_clean_sales[[#This Row],[Invoice_ID]])&gt;1,"Duplicate","Unique")</f>
        <v>Unique</v>
      </c>
      <c r="I123" s="25"/>
      <c r="J1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3" s="25" t="str">
        <f>IFERROR(VLOOKUP(tbl_clean_sales[[#This Row],[Employee_ID]],'02_Employee_Master'!$A$1:$C$12,2,FALSE),"Employee Name Missing")</f>
        <v>Suresh B</v>
      </c>
      <c r="L123" s="25" t="str">
        <f>IFERROR(VLOOKUP(tbl_clean_sales[[#This Row],[Employee_ID]],'02_Employee_Master'!$A$1:$C$12,3,FALSE),"Department Name Missing")</f>
        <v>Sales</v>
      </c>
      <c r="M123" s="25" t="str">
        <f>IF('03_Clean_data'!D123="","Missing",IFERROR(IF(VLOOKUP(D123,'03_Product_Master'!$A$1:$D$14,1,FALSE)='03_Clean_data'!D123,"Valid","Invalid"),"Invalid"))</f>
        <v>Valid</v>
      </c>
      <c r="N123" s="25" t="str">
        <f>IFERROR(VLOOKUP(tbl_clean_sales[[#This Row],[Product_ID]],'03_Product_Master'!$A$1:$D$14,2,FALSE),"Missing")</f>
        <v>Floor Cleaner</v>
      </c>
      <c r="O123" s="25" t="str">
        <f>IFERROR(VLOOKUP(tbl_clean_sales[[#This Row],[Product_ID]],'03_Product_Master'!$A$1:$D$14,3,FALSE),"Missing")</f>
        <v>Home Care</v>
      </c>
      <c r="P123" s="25">
        <f>IFERROR(VLOOKUP(tbl_clean_sales[[#This Row],[Product_ID]],'03_Product_Master'!$A$1:$D$14,4,FALSE),"Missing")</f>
        <v>230</v>
      </c>
      <c r="Q123" s="25" t="str">
        <f>IF('03_Clean_data'!E123="","Missing",IFERROR(IF(VLOOKUP(E123,'04_Branch_Master'!$A$1:$C$7,1,FALSE)='03_Clean_data'!E123,"Valid","Invalid"),"Invalid"))</f>
        <v>Valid</v>
      </c>
      <c r="R123" s="25" t="str">
        <f>IFERROR(VLOOKUP(tbl_clean_sales[[#This Row],[Branch_ID]],'04_Branch_Master'!$A$1:$C$7,2,FALSE),"Missing")</f>
        <v>Kangeyam</v>
      </c>
      <c r="S123" s="25" t="str">
        <f>IFERROR(VLOOKUP(tbl_clean_sales[[#This Row],[Branch_ID]],'04_Branch_Master'!$A$1:$C$7,3,FALSE),"Missing")</f>
        <v>East</v>
      </c>
      <c r="T123" s="25" t="str">
        <f>C123&amp;"|"&amp;TEXT(tbl_clean_sales[[#This Row],[Date]],"yyyymm")</f>
        <v>E007|202605</v>
      </c>
      <c r="U123" s="25">
        <f>IFERROR(INDEX('05_Target_Master'!$A$1:$F$32,MATCH(tbl_clean_sales[[#This Row],[target key]],'05_Target_Master'!$F$1:$F$32,0),3),"Missing")</f>
        <v>140000</v>
      </c>
    </row>
    <row r="124" spans="1:21" x14ac:dyDescent="0.3">
      <c r="A124" s="21">
        <v>46147</v>
      </c>
      <c r="B124" s="22" t="s">
        <v>156</v>
      </c>
      <c r="C124" s="22" t="s">
        <v>24</v>
      </c>
      <c r="D124" s="22" t="s">
        <v>82</v>
      </c>
      <c r="E124" s="22" t="s">
        <v>26</v>
      </c>
      <c r="F124" s="22">
        <v>12</v>
      </c>
      <c r="G124" s="23">
        <v>1406.72</v>
      </c>
      <c r="H124" s="25" t="str">
        <f>IF(COUNTIF(tbl_clean_sales[Invoice_ID],tbl_clean_sales[[#This Row],[Invoice_ID]])&gt;1,"Duplicate","Unique")</f>
        <v>Unique</v>
      </c>
      <c r="I124" s="25"/>
      <c r="J1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4" s="25" t="str">
        <f>IFERROR(VLOOKUP(tbl_clean_sales[[#This Row],[Employee_ID]],'02_Employee_Master'!$A$1:$C$12,2,FALSE),"Employee Name Missing")</f>
        <v>Karthik P</v>
      </c>
      <c r="L124" s="25" t="str">
        <f>IFERROR(VLOOKUP(tbl_clean_sales[[#This Row],[Employee_ID]],'02_Employee_Master'!$A$1:$C$12,3,FALSE),"Department Name Missing")</f>
        <v>Sales</v>
      </c>
      <c r="M124" s="25" t="str">
        <f>IF('03_Clean_data'!D124="","Missing",IFERROR(IF(VLOOKUP(D124,'03_Product_Master'!$A$1:$D$14,1,FALSE)='03_Clean_data'!D124,"Valid","Invalid"),"Invalid"))</f>
        <v>Valid</v>
      </c>
      <c r="N124" s="25" t="str">
        <f>IFERROR(VLOOKUP(tbl_clean_sales[[#This Row],[Product_ID]],'03_Product_Master'!$A$1:$D$14,2,FALSE),"Missing")</f>
        <v>Chocolate Bar</v>
      </c>
      <c r="O124" s="25" t="str">
        <f>IFERROR(VLOOKUP(tbl_clean_sales[[#This Row],[Product_ID]],'03_Product_Master'!$A$1:$D$14,3,FALSE),"Missing")</f>
        <v>Snacks</v>
      </c>
      <c r="P124" s="25">
        <f>IFERROR(VLOOKUP(tbl_clean_sales[[#This Row],[Product_ID]],'03_Product_Master'!$A$1:$D$14,4,FALSE),"Missing")</f>
        <v>120</v>
      </c>
      <c r="Q124" s="25" t="str">
        <f>IF('03_Clean_data'!E124="","Missing",IFERROR(IF(VLOOKUP(E124,'04_Branch_Master'!$A$1:$C$7,1,FALSE)='03_Clean_data'!E124,"Valid","Invalid"),"Invalid"))</f>
        <v>Valid</v>
      </c>
      <c r="R124" s="25" t="str">
        <f>IFERROR(VLOOKUP(tbl_clean_sales[[#This Row],[Branch_ID]],'04_Branch_Master'!$A$1:$C$7,2,FALSE),"Missing")</f>
        <v>Palladam</v>
      </c>
      <c r="S124" s="25" t="str">
        <f>IFERROR(VLOOKUP(tbl_clean_sales[[#This Row],[Branch_ID]],'04_Branch_Master'!$A$1:$C$7,3,FALSE),"Missing")</f>
        <v>South</v>
      </c>
      <c r="T124" s="25" t="str">
        <f>C124&amp;"|"&amp;TEXT(tbl_clean_sales[[#This Row],[Date]],"yyyymm")</f>
        <v>E005|202605</v>
      </c>
      <c r="U124" s="25">
        <f>IFERROR(INDEX('05_Target_Master'!$A$1:$F$32,MATCH(tbl_clean_sales[[#This Row],[target key]],'05_Target_Master'!$F$1:$F$32,0),3),"Missing")</f>
        <v>143700</v>
      </c>
    </row>
    <row r="125" spans="1:21" x14ac:dyDescent="0.3">
      <c r="A125" s="21">
        <v>46128</v>
      </c>
      <c r="B125" s="22" t="s">
        <v>157</v>
      </c>
      <c r="C125" s="22" t="s">
        <v>8</v>
      </c>
      <c r="D125" s="22" t="s">
        <v>19</v>
      </c>
      <c r="E125" s="22" t="s">
        <v>10</v>
      </c>
      <c r="F125" s="22">
        <v>4</v>
      </c>
      <c r="G125" s="23">
        <v>838.46</v>
      </c>
      <c r="H125" s="25" t="str">
        <f>IF(COUNTIF(tbl_clean_sales[Invoice_ID],tbl_clean_sales[[#This Row],[Invoice_ID]])&gt;1,"Duplicate","Unique")</f>
        <v>Unique</v>
      </c>
      <c r="I125" s="25"/>
      <c r="J1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5" s="25" t="str">
        <f>IFERROR(VLOOKUP(tbl_clean_sales[[#This Row],[Employee_ID]],'02_Employee_Master'!$A$1:$C$12,2,FALSE),"Employee Name Missing")</f>
        <v>Vignesh R</v>
      </c>
      <c r="L125" s="25" t="str">
        <f>IFERROR(VLOOKUP(tbl_clean_sales[[#This Row],[Employee_ID]],'02_Employee_Master'!$A$1:$C$12,3,FALSE),"Department Name Missing")</f>
        <v>Sales</v>
      </c>
      <c r="M125" s="25" t="str">
        <f>IF('03_Clean_data'!D125="","Missing",IFERROR(IF(VLOOKUP(D125,'03_Product_Master'!$A$1:$D$14,1,FALSE)='03_Clean_data'!D125,"Valid","Invalid"),"Invalid"))</f>
        <v>Valid</v>
      </c>
      <c r="N125" s="25" t="str">
        <f>IFERROR(VLOOKUP(tbl_clean_sales[[#This Row],[Product_ID]],'03_Product_Master'!$A$1:$D$14,2,FALSE),"Missing")</f>
        <v>Floor Cleaner</v>
      </c>
      <c r="O125" s="25" t="str">
        <f>IFERROR(VLOOKUP(tbl_clean_sales[[#This Row],[Product_ID]],'03_Product_Master'!$A$1:$D$14,3,FALSE),"Missing")</f>
        <v>Home Care</v>
      </c>
      <c r="P125" s="25">
        <f>IFERROR(VLOOKUP(tbl_clean_sales[[#This Row],[Product_ID]],'03_Product_Master'!$A$1:$D$14,4,FALSE),"Missing")</f>
        <v>230</v>
      </c>
      <c r="Q125" s="25" t="str">
        <f>IF('03_Clean_data'!E125="","Missing",IFERROR(IF(VLOOKUP(E125,'04_Branch_Master'!$A$1:$C$7,1,FALSE)='03_Clean_data'!E125,"Valid","Invalid"),"Invalid"))</f>
        <v>Valid</v>
      </c>
      <c r="R125" s="25" t="str">
        <f>IFERROR(VLOOKUP(tbl_clean_sales[[#This Row],[Branch_ID]],'04_Branch_Master'!$A$1:$C$7,2,FALSE),"Missing")</f>
        <v>Dharapuram</v>
      </c>
      <c r="S125" s="25" t="str">
        <f>IFERROR(VLOOKUP(tbl_clean_sales[[#This Row],[Branch_ID]],'04_Branch_Master'!$A$1:$C$7,3,FALSE),"Missing")</f>
        <v>South</v>
      </c>
      <c r="T125" s="25" t="str">
        <f>C125&amp;"|"&amp;TEXT(tbl_clean_sales[[#This Row],[Date]],"yyyymm")</f>
        <v>E009|202604</v>
      </c>
      <c r="U125" s="25">
        <f>IFERROR(INDEX('05_Target_Master'!$A$1:$F$32,MATCH(tbl_clean_sales[[#This Row],[target key]],'05_Target_Master'!$F$1:$F$32,0),3),"Missing")</f>
        <v>163300</v>
      </c>
    </row>
    <row r="126" spans="1:21" x14ac:dyDescent="0.3">
      <c r="A126" s="21">
        <v>46148</v>
      </c>
      <c r="B126" s="22" t="s">
        <v>158</v>
      </c>
      <c r="C126" s="22" t="s">
        <v>29</v>
      </c>
      <c r="D126" s="22" t="s">
        <v>13</v>
      </c>
      <c r="E126" s="22" t="s">
        <v>10</v>
      </c>
      <c r="F126" s="22">
        <v>2</v>
      </c>
      <c r="G126" s="23">
        <v>702.07</v>
      </c>
      <c r="H126" s="25" t="str">
        <f>IF(COUNTIF(tbl_clean_sales[Invoice_ID],tbl_clean_sales[[#This Row],[Invoice_ID]])&gt;1,"Duplicate","Unique")</f>
        <v>Unique</v>
      </c>
      <c r="I126" s="25"/>
      <c r="J1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6" s="25" t="str">
        <f>IFERROR(VLOOKUP(tbl_clean_sales[[#This Row],[Employee_ID]],'02_Employee_Master'!$A$1:$C$12,2,FALSE),"Employee Name Missing")</f>
        <v>Swetha L</v>
      </c>
      <c r="L126" s="25" t="str">
        <f>IFERROR(VLOOKUP(tbl_clean_sales[[#This Row],[Employee_ID]],'02_Employee_Master'!$A$1:$C$12,3,FALSE),"Department Name Missing")</f>
        <v>Sales</v>
      </c>
      <c r="M126" s="25" t="str">
        <f>IF('03_Clean_data'!D126="","Missing",IFERROR(IF(VLOOKUP(D126,'03_Product_Master'!$A$1:$D$14,1,FALSE)='03_Clean_data'!D126,"Valid","Invalid"),"Invalid"))</f>
        <v>Valid</v>
      </c>
      <c r="N126" s="25" t="str">
        <f>IFERROR(VLOOKUP(tbl_clean_sales[[#This Row],[Product_ID]],'03_Product_Master'!$A$1:$D$14,2,FALSE),"Missing")</f>
        <v>Body Lotion</v>
      </c>
      <c r="O126" s="25" t="str">
        <f>IFERROR(VLOOKUP(tbl_clean_sales[[#This Row],[Product_ID]],'03_Product_Master'!$A$1:$D$14,3,FALSE),"Missing")</f>
        <v>Personal Care</v>
      </c>
      <c r="P126" s="25">
        <f>IFERROR(VLOOKUP(tbl_clean_sales[[#This Row],[Product_ID]],'03_Product_Master'!$A$1:$D$14,4,FALSE),"Missing")</f>
        <v>390</v>
      </c>
      <c r="Q126" s="25" t="str">
        <f>IF('03_Clean_data'!E126="","Missing",IFERROR(IF(VLOOKUP(E126,'04_Branch_Master'!$A$1:$C$7,1,FALSE)='03_Clean_data'!E126,"Valid","Invalid"),"Invalid"))</f>
        <v>Valid</v>
      </c>
      <c r="R126" s="25" t="str">
        <f>IFERROR(VLOOKUP(tbl_clean_sales[[#This Row],[Branch_ID]],'04_Branch_Master'!$A$1:$C$7,2,FALSE),"Missing")</f>
        <v>Dharapuram</v>
      </c>
      <c r="S126" s="25" t="str">
        <f>IFERROR(VLOOKUP(tbl_clean_sales[[#This Row],[Branch_ID]],'04_Branch_Master'!$A$1:$C$7,3,FALSE),"Missing")</f>
        <v>South</v>
      </c>
      <c r="T126" s="25" t="str">
        <f>C126&amp;"|"&amp;TEXT(tbl_clean_sales[[#This Row],[Date]],"yyyymm")</f>
        <v>E010|202605</v>
      </c>
      <c r="U126" s="25">
        <f>IFERROR(INDEX('05_Target_Master'!$A$1:$F$32,MATCH(tbl_clean_sales[[#This Row],[target key]],'05_Target_Master'!$F$1:$F$32,0),3),"Missing")</f>
        <v>131500</v>
      </c>
    </row>
    <row r="127" spans="1:21" x14ac:dyDescent="0.3">
      <c r="A127" s="21">
        <v>46150</v>
      </c>
      <c r="B127" s="22" t="s">
        <v>159</v>
      </c>
      <c r="C127" s="22" t="s">
        <v>12</v>
      </c>
      <c r="D127" s="22" t="s">
        <v>34</v>
      </c>
      <c r="E127" s="22" t="s">
        <v>14</v>
      </c>
      <c r="F127" s="22">
        <v>1</v>
      </c>
      <c r="G127" s="23">
        <v>100.65</v>
      </c>
      <c r="H127" s="25" t="str">
        <f>IF(COUNTIF(tbl_clean_sales[Invoice_ID],tbl_clean_sales[[#This Row],[Invoice_ID]])&gt;1,"Duplicate","Unique")</f>
        <v>Unique</v>
      </c>
      <c r="I127" s="25"/>
      <c r="J1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7" s="25" t="str">
        <f>IFERROR(VLOOKUP(tbl_clean_sales[[#This Row],[Employee_ID]],'02_Employee_Master'!$A$1:$C$12,2,FALSE),"Employee Name Missing")</f>
        <v>Divya R</v>
      </c>
      <c r="L127" s="25" t="str">
        <f>IFERROR(VLOOKUP(tbl_clean_sales[[#This Row],[Employee_ID]],'02_Employee_Master'!$A$1:$C$12,3,FALSE),"Department Name Missing")</f>
        <v>Sales</v>
      </c>
      <c r="M127" s="25" t="str">
        <f>IF('03_Clean_data'!D127="","Missing",IFERROR(IF(VLOOKUP(D127,'03_Product_Master'!$A$1:$D$14,1,FALSE)='03_Clean_data'!D127,"Valid","Invalid"),"Invalid"))</f>
        <v>Valid</v>
      </c>
      <c r="N127" s="25" t="str">
        <f>IFERROR(VLOOKUP(tbl_clean_sales[[#This Row],[Product_ID]],'03_Product_Master'!$A$1:$D$14,2,FALSE),"Missing")</f>
        <v>Potato Chips</v>
      </c>
      <c r="O127" s="25" t="str">
        <f>IFERROR(VLOOKUP(tbl_clean_sales[[#This Row],[Product_ID]],'03_Product_Master'!$A$1:$D$14,3,FALSE),"Missing")</f>
        <v>Snacks</v>
      </c>
      <c r="P127" s="25">
        <f>IFERROR(VLOOKUP(tbl_clean_sales[[#This Row],[Product_ID]],'03_Product_Master'!$A$1:$D$14,4,FALSE),"Missing")</f>
        <v>110</v>
      </c>
      <c r="Q127" s="25" t="str">
        <f>IF('03_Clean_data'!E127="","Missing",IFERROR(IF(VLOOKUP(E127,'04_Branch_Master'!$A$1:$C$7,1,FALSE)='03_Clean_data'!E127,"Valid","Invalid"),"Invalid"))</f>
        <v>Valid</v>
      </c>
      <c r="R127" s="25" t="str">
        <f>IFERROR(VLOOKUP(tbl_clean_sales[[#This Row],[Branch_ID]],'04_Branch_Master'!$A$1:$C$7,2,FALSE),"Missing")</f>
        <v>Avinashi Road</v>
      </c>
      <c r="S127" s="25" t="str">
        <f>IFERROR(VLOOKUP(tbl_clean_sales[[#This Row],[Branch_ID]],'04_Branch_Master'!$A$1:$C$7,3,FALSE),"Missing")</f>
        <v>North</v>
      </c>
      <c r="T127" s="25" t="str">
        <f>C127&amp;"|"&amp;TEXT(tbl_clean_sales[[#This Row],[Date]],"yyyymm")</f>
        <v>E004|202605</v>
      </c>
      <c r="U127" s="25">
        <f>IFERROR(INDEX('05_Target_Master'!$A$1:$F$32,MATCH(tbl_clean_sales[[#This Row],[target key]],'05_Target_Master'!$F$1:$F$32,0),3),"Missing")</f>
        <v>176700</v>
      </c>
    </row>
    <row r="128" spans="1:21" x14ac:dyDescent="0.3">
      <c r="A128" s="21">
        <v>46129</v>
      </c>
      <c r="B128" s="22" t="s">
        <v>160</v>
      </c>
      <c r="C128" s="22" t="s">
        <v>24</v>
      </c>
      <c r="D128" s="22" t="s">
        <v>25</v>
      </c>
      <c r="E128" s="22" t="s">
        <v>10</v>
      </c>
      <c r="F128" s="22">
        <v>5</v>
      </c>
      <c r="G128" s="23">
        <v>1924.25</v>
      </c>
      <c r="H128" s="25" t="str">
        <f>IF(COUNTIF(tbl_clean_sales[Invoice_ID],tbl_clean_sales[[#This Row],[Invoice_ID]])&gt;1,"Duplicate","Unique")</f>
        <v>Unique</v>
      </c>
      <c r="I128" s="25"/>
      <c r="J1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8" s="25" t="str">
        <f>IFERROR(VLOOKUP(tbl_clean_sales[[#This Row],[Employee_ID]],'02_Employee_Master'!$A$1:$C$12,2,FALSE),"Employee Name Missing")</f>
        <v>Karthik P</v>
      </c>
      <c r="L128" s="25" t="str">
        <f>IFERROR(VLOOKUP(tbl_clean_sales[[#This Row],[Employee_ID]],'02_Employee_Master'!$A$1:$C$12,3,FALSE),"Department Name Missing")</f>
        <v>Sales</v>
      </c>
      <c r="M128" s="25" t="str">
        <f>IF('03_Clean_data'!D128="","Missing",IFERROR(IF(VLOOKUP(D128,'03_Product_Master'!$A$1:$D$14,1,FALSE)='03_Clean_data'!D128,"Valid","Invalid"),"Invalid"))</f>
        <v>Valid</v>
      </c>
      <c r="N128" s="25" t="str">
        <f>IFERROR(VLOOKUP(tbl_clean_sales[[#This Row],[Product_ID]],'03_Product_Master'!$A$1:$D$14,2,FALSE),"Missing")</f>
        <v>Premium Coffee</v>
      </c>
      <c r="O128" s="25" t="str">
        <f>IFERROR(VLOOKUP(tbl_clean_sales[[#This Row],[Product_ID]],'03_Product_Master'!$A$1:$D$14,3,FALSE),"Missing")</f>
        <v>Beverages</v>
      </c>
      <c r="P128" s="25">
        <f>IFERROR(VLOOKUP(tbl_clean_sales[[#This Row],[Product_ID]],'03_Product_Master'!$A$1:$D$14,4,FALSE),"Missing")</f>
        <v>420</v>
      </c>
      <c r="Q128" s="25" t="str">
        <f>IF('03_Clean_data'!E128="","Missing",IFERROR(IF(VLOOKUP(E128,'04_Branch_Master'!$A$1:$C$7,1,FALSE)='03_Clean_data'!E128,"Valid","Invalid"),"Invalid"))</f>
        <v>Valid</v>
      </c>
      <c r="R128" s="25" t="str">
        <f>IFERROR(VLOOKUP(tbl_clean_sales[[#This Row],[Branch_ID]],'04_Branch_Master'!$A$1:$C$7,2,FALSE),"Missing")</f>
        <v>Dharapuram</v>
      </c>
      <c r="S128" s="25" t="str">
        <f>IFERROR(VLOOKUP(tbl_clean_sales[[#This Row],[Branch_ID]],'04_Branch_Master'!$A$1:$C$7,3,FALSE),"Missing")</f>
        <v>South</v>
      </c>
      <c r="T128" s="25" t="str">
        <f>C128&amp;"|"&amp;TEXT(tbl_clean_sales[[#This Row],[Date]],"yyyymm")</f>
        <v>E005|202604</v>
      </c>
      <c r="U128" s="25">
        <f>IFERROR(INDEX('05_Target_Master'!$A$1:$F$32,MATCH(tbl_clean_sales[[#This Row],[target key]],'05_Target_Master'!$F$1:$F$32,0),3),"Missing")</f>
        <v>133000</v>
      </c>
    </row>
    <row r="129" spans="1:21" x14ac:dyDescent="0.3">
      <c r="A129" s="21">
        <v>46129</v>
      </c>
      <c r="B129" s="22" t="s">
        <v>161</v>
      </c>
      <c r="C129" s="22" t="s">
        <v>38</v>
      </c>
      <c r="D129" s="22" t="s">
        <v>9</v>
      </c>
      <c r="E129" s="22" t="s">
        <v>10</v>
      </c>
      <c r="F129" s="22">
        <v>5</v>
      </c>
      <c r="G129" s="23">
        <v>1321.14</v>
      </c>
      <c r="H129" s="25" t="str">
        <f>IF(COUNTIF(tbl_clean_sales[Invoice_ID],tbl_clean_sales[[#This Row],[Invoice_ID]])&gt;1,"Duplicate","Unique")</f>
        <v>Unique</v>
      </c>
      <c r="I129" s="25"/>
      <c r="J1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29" s="25" t="str">
        <f>IFERROR(VLOOKUP(tbl_clean_sales[[#This Row],[Employee_ID]],'02_Employee_Master'!$A$1:$C$12,2,FALSE),"Employee Name Missing")</f>
        <v>Nandhini K</v>
      </c>
      <c r="L129" s="25" t="str">
        <f>IFERROR(VLOOKUP(tbl_clean_sales[[#This Row],[Employee_ID]],'02_Employee_Master'!$A$1:$C$12,3,FALSE),"Department Name Missing")</f>
        <v>Sales</v>
      </c>
      <c r="M129" s="25" t="str">
        <f>IF('03_Clean_data'!D129="","Missing",IFERROR(IF(VLOOKUP(D129,'03_Product_Master'!$A$1:$D$14,1,FALSE)='03_Clean_data'!D129,"Valid","Invalid"),"Invalid"))</f>
        <v>Valid</v>
      </c>
      <c r="N129" s="25" t="str">
        <f>IFERROR(VLOOKUP(tbl_clean_sales[[#This Row],[Product_ID]],'03_Product_Master'!$A$1:$D$14,2,FALSE),"Missing")</f>
        <v>Green Tea</v>
      </c>
      <c r="O129" s="25" t="str">
        <f>IFERROR(VLOOKUP(tbl_clean_sales[[#This Row],[Product_ID]],'03_Product_Master'!$A$1:$D$14,3,FALSE),"Missing")</f>
        <v>Beverages</v>
      </c>
      <c r="P129" s="25">
        <f>IFERROR(VLOOKUP(tbl_clean_sales[[#This Row],[Product_ID]],'03_Product_Master'!$A$1:$D$14,4,FALSE),"Missing")</f>
        <v>280</v>
      </c>
      <c r="Q129" s="25" t="str">
        <f>IF('03_Clean_data'!E129="","Missing",IFERROR(IF(VLOOKUP(E129,'04_Branch_Master'!$A$1:$C$7,1,FALSE)='03_Clean_data'!E129,"Valid","Invalid"),"Invalid"))</f>
        <v>Valid</v>
      </c>
      <c r="R129" s="25" t="str">
        <f>IFERROR(VLOOKUP(tbl_clean_sales[[#This Row],[Branch_ID]],'04_Branch_Master'!$A$1:$C$7,2,FALSE),"Missing")</f>
        <v>Dharapuram</v>
      </c>
      <c r="S129" s="25" t="str">
        <f>IFERROR(VLOOKUP(tbl_clean_sales[[#This Row],[Branch_ID]],'04_Branch_Master'!$A$1:$C$7,3,FALSE),"Missing")</f>
        <v>South</v>
      </c>
      <c r="T129" s="25" t="str">
        <f>C129&amp;"|"&amp;TEXT(tbl_clean_sales[[#This Row],[Date]],"yyyymm")</f>
        <v>E008|202604</v>
      </c>
      <c r="U129" s="25">
        <f>IFERROR(INDEX('05_Target_Master'!$A$1:$F$32,MATCH(tbl_clean_sales[[#This Row],[target key]],'05_Target_Master'!$F$1:$F$32,0),3),"Missing")</f>
        <v>124100</v>
      </c>
    </row>
    <row r="130" spans="1:21" x14ac:dyDescent="0.3">
      <c r="A130" s="21">
        <v>46169</v>
      </c>
      <c r="B130" s="22" t="s">
        <v>162</v>
      </c>
      <c r="C130" s="22" t="s">
        <v>40</v>
      </c>
      <c r="D130" s="22" t="s">
        <v>53</v>
      </c>
      <c r="E130" s="22" t="s">
        <v>26</v>
      </c>
      <c r="F130" s="22">
        <v>8</v>
      </c>
      <c r="G130" s="23">
        <v>2761.67</v>
      </c>
      <c r="H130" s="25" t="str">
        <f>IF(COUNTIF(tbl_clean_sales[Invoice_ID],tbl_clean_sales[[#This Row],[Invoice_ID]])&gt;1,"Duplicate","Unique")</f>
        <v>Unique</v>
      </c>
      <c r="I130" s="25"/>
      <c r="J1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0" s="25" t="str">
        <f>IFERROR(VLOOKUP(tbl_clean_sales[[#This Row],[Employee_ID]],'02_Employee_Master'!$A$1:$C$12,2,FALSE),"Employee Name Missing")</f>
        <v>Meena V</v>
      </c>
      <c r="L130" s="25" t="str">
        <f>IFERROR(VLOOKUP(tbl_clean_sales[[#This Row],[Employee_ID]],'02_Employee_Master'!$A$1:$C$12,3,FALSE),"Department Name Missing")</f>
        <v>Sales</v>
      </c>
      <c r="M130" s="25" t="str">
        <f>IF('03_Clean_data'!D130="","Missing",IFERROR(IF(VLOOKUP(D130,'03_Product_Master'!$A$1:$D$14,1,FALSE)='03_Clean_data'!D130,"Valid","Invalid"),"Invalid"))</f>
        <v>Valid</v>
      </c>
      <c r="N130" s="25" t="str">
        <f>IFERROR(VLOOKUP(tbl_clean_sales[[#This Row],[Product_ID]],'03_Product_Master'!$A$1:$D$14,2,FALSE),"Missing")</f>
        <v>Instant Coffee</v>
      </c>
      <c r="O130" s="25" t="str">
        <f>IFERROR(VLOOKUP(tbl_clean_sales[[#This Row],[Product_ID]],'03_Product_Master'!$A$1:$D$14,3,FALSE),"Missing")</f>
        <v>Beverages</v>
      </c>
      <c r="P130" s="25">
        <f>IFERROR(VLOOKUP(tbl_clean_sales[[#This Row],[Product_ID]],'03_Product_Master'!$A$1:$D$14,4,FALSE),"Missing")</f>
        <v>350</v>
      </c>
      <c r="Q130" s="25" t="str">
        <f>IF('03_Clean_data'!E130="","Missing",IFERROR(IF(VLOOKUP(E130,'04_Branch_Master'!$A$1:$C$7,1,FALSE)='03_Clean_data'!E130,"Valid","Invalid"),"Invalid"))</f>
        <v>Valid</v>
      </c>
      <c r="R130" s="25" t="str">
        <f>IFERROR(VLOOKUP(tbl_clean_sales[[#This Row],[Branch_ID]],'04_Branch_Master'!$A$1:$C$7,2,FALSE),"Missing")</f>
        <v>Palladam</v>
      </c>
      <c r="S130" s="25" t="str">
        <f>IFERROR(VLOOKUP(tbl_clean_sales[[#This Row],[Branch_ID]],'04_Branch_Master'!$A$1:$C$7,3,FALSE),"Missing")</f>
        <v>South</v>
      </c>
      <c r="T130" s="25" t="str">
        <f>C130&amp;"|"&amp;TEXT(tbl_clean_sales[[#This Row],[Date]],"yyyymm")</f>
        <v>E006|202605</v>
      </c>
      <c r="U130" s="25">
        <f>IFERROR(INDEX('05_Target_Master'!$A$1:$F$32,MATCH(tbl_clean_sales[[#This Row],[target key]],'05_Target_Master'!$F$1:$F$32,0),3),"Missing")</f>
        <v>141500</v>
      </c>
    </row>
    <row r="131" spans="1:21" x14ac:dyDescent="0.3">
      <c r="A131" s="21">
        <v>46121</v>
      </c>
      <c r="B131" s="22" t="s">
        <v>163</v>
      </c>
      <c r="C131" s="22" t="s">
        <v>46</v>
      </c>
      <c r="D131" s="22" t="s">
        <v>48</v>
      </c>
      <c r="E131" s="22" t="s">
        <v>32</v>
      </c>
      <c r="F131" s="22">
        <v>11</v>
      </c>
      <c r="G131" s="23">
        <v>2624.41</v>
      </c>
      <c r="H131" s="25" t="str">
        <f>IF(COUNTIF(tbl_clean_sales[Invoice_ID],tbl_clean_sales[[#This Row],[Invoice_ID]])&gt;1,"Duplicate","Unique")</f>
        <v>Unique</v>
      </c>
      <c r="I131" s="25"/>
      <c r="J1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1" s="25" t="str">
        <f>IFERROR(VLOOKUP(tbl_clean_sales[[#This Row],[Employee_ID]],'02_Employee_Master'!$A$1:$C$12,2,FALSE),"Employee Name Missing")</f>
        <v>Suresh B</v>
      </c>
      <c r="L131" s="25" t="str">
        <f>IFERROR(VLOOKUP(tbl_clean_sales[[#This Row],[Employee_ID]],'02_Employee_Master'!$A$1:$C$12,3,FALSE),"Department Name Missing")</f>
        <v>Sales</v>
      </c>
      <c r="M131" s="25" t="str">
        <f>IF('03_Clean_data'!D131="","Missing",IFERROR(IF(VLOOKUP(D131,'03_Product_Master'!$A$1:$D$14,1,FALSE)='03_Clean_data'!D131,"Valid","Invalid"),"Invalid"))</f>
        <v>Valid</v>
      </c>
      <c r="N131" s="25" t="str">
        <f>IFERROR(VLOOKUP(tbl_clean_sales[[#This Row],[Product_ID]],'03_Product_Master'!$A$1:$D$14,2,FALSE),"Missing")</f>
        <v>Face Wash</v>
      </c>
      <c r="O131" s="25" t="str">
        <f>IFERROR(VLOOKUP(tbl_clean_sales[[#This Row],[Product_ID]],'03_Product_Master'!$A$1:$D$14,3,FALSE),"Missing")</f>
        <v>Personal Care</v>
      </c>
      <c r="P131" s="25">
        <f>IFERROR(VLOOKUP(tbl_clean_sales[[#This Row],[Product_ID]],'03_Product_Master'!$A$1:$D$14,4,FALSE),"Missing")</f>
        <v>260</v>
      </c>
      <c r="Q131" s="25" t="str">
        <f>IF('03_Clean_data'!E131="","Missing",IFERROR(IF(VLOOKUP(E131,'04_Branch_Master'!$A$1:$C$7,1,FALSE)='03_Clean_data'!E131,"Valid","Invalid"),"Invalid"))</f>
        <v>Valid</v>
      </c>
      <c r="R131" s="25" t="str">
        <f>IFERROR(VLOOKUP(tbl_clean_sales[[#This Row],[Branch_ID]],'04_Branch_Master'!$A$1:$C$7,2,FALSE),"Missing")</f>
        <v>Kangeyam</v>
      </c>
      <c r="S131" s="25" t="str">
        <f>IFERROR(VLOOKUP(tbl_clean_sales[[#This Row],[Branch_ID]],'04_Branch_Master'!$A$1:$C$7,3,FALSE),"Missing")</f>
        <v>East</v>
      </c>
      <c r="T131" s="25" t="str">
        <f>C131&amp;"|"&amp;TEXT(tbl_clean_sales[[#This Row],[Date]],"yyyymm")</f>
        <v>E007|202604</v>
      </c>
      <c r="U131" s="25">
        <f>IFERROR(INDEX('05_Target_Master'!$A$1:$F$32,MATCH(tbl_clean_sales[[#This Row],[target key]],'05_Target_Master'!$F$1:$F$32,0),3),"Missing")</f>
        <v>129600</v>
      </c>
    </row>
    <row r="132" spans="1:21" x14ac:dyDescent="0.3">
      <c r="A132" s="21">
        <v>46132</v>
      </c>
      <c r="B132" s="22" t="s">
        <v>164</v>
      </c>
      <c r="C132" s="22" t="s">
        <v>18</v>
      </c>
      <c r="D132" s="22" t="s">
        <v>36</v>
      </c>
      <c r="E132" s="22" t="s">
        <v>22</v>
      </c>
      <c r="F132" s="22">
        <v>4</v>
      </c>
      <c r="G132" s="23">
        <v>749.2</v>
      </c>
      <c r="H132" s="25" t="str">
        <f>IF(COUNTIF(tbl_clean_sales[Invoice_ID],tbl_clean_sales[[#This Row],[Invoice_ID]])&gt;1,"Duplicate","Unique")</f>
        <v>Unique</v>
      </c>
      <c r="I132" s="25"/>
      <c r="J1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2" s="25" t="str">
        <f>IFERROR(VLOOKUP(tbl_clean_sales[[#This Row],[Employee_ID]],'02_Employee_Master'!$A$1:$C$12,2,FALSE),"Employee Name Missing")</f>
        <v>Rahul M</v>
      </c>
      <c r="L132" s="25" t="str">
        <f>IFERROR(VLOOKUP(tbl_clean_sales[[#This Row],[Employee_ID]],'02_Employee_Master'!$A$1:$C$12,3,FALSE),"Department Name Missing")</f>
        <v>Sales</v>
      </c>
      <c r="M132" s="25" t="str">
        <f>IF('03_Clean_data'!D132="","Missing",IFERROR(IF(VLOOKUP(D132,'03_Product_Master'!$A$1:$D$14,1,FALSE)='03_Clean_data'!D132,"Valid","Invalid"),"Invalid"))</f>
        <v>Valid</v>
      </c>
      <c r="N132" s="25" t="str">
        <f>IFERROR(VLOOKUP(tbl_clean_sales[[#This Row],[Product_ID]],'03_Product_Master'!$A$1:$D$14,2,FALSE),"Missing")</f>
        <v>Dish Wash</v>
      </c>
      <c r="O132" s="25" t="str">
        <f>IFERROR(VLOOKUP(tbl_clean_sales[[#This Row],[Product_ID]],'03_Product_Master'!$A$1:$D$14,3,FALSE),"Missing")</f>
        <v>Home Care</v>
      </c>
      <c r="P132" s="25">
        <f>IFERROR(VLOOKUP(tbl_clean_sales[[#This Row],[Product_ID]],'03_Product_Master'!$A$1:$D$14,4,FALSE),"Missing")</f>
        <v>190</v>
      </c>
      <c r="Q132" s="25" t="str">
        <f>IF('03_Clean_data'!E132="","Missing",IFERROR(IF(VLOOKUP(E132,'04_Branch_Master'!$A$1:$C$7,1,FALSE)='03_Clean_data'!E132,"Valid","Invalid"),"Invalid"))</f>
        <v>Valid</v>
      </c>
      <c r="R132" s="25" t="str">
        <f>IFERROR(VLOOKUP(tbl_clean_sales[[#This Row],[Branch_ID]],'04_Branch_Master'!$A$1:$C$7,2,FALSE),"Missing")</f>
        <v>Tirupur Central</v>
      </c>
      <c r="S132" s="25" t="str">
        <f>IFERROR(VLOOKUP(tbl_clean_sales[[#This Row],[Branch_ID]],'04_Branch_Master'!$A$1:$C$7,3,FALSE),"Missing")</f>
        <v>North</v>
      </c>
      <c r="T132" s="25" t="str">
        <f>C132&amp;"|"&amp;TEXT(tbl_clean_sales[[#This Row],[Date]],"yyyymm")</f>
        <v>E003|202604</v>
      </c>
      <c r="U132" s="25">
        <f>IFERROR(INDEX('05_Target_Master'!$A$1:$F$32,MATCH(tbl_clean_sales[[#This Row],[target key]],'05_Target_Master'!$F$1:$F$32,0),3),"Missing")</f>
        <v>116600</v>
      </c>
    </row>
    <row r="133" spans="1:21" x14ac:dyDescent="0.3">
      <c r="A133" s="21">
        <v>46166</v>
      </c>
      <c r="B133" s="22" t="s">
        <v>165</v>
      </c>
      <c r="C133" s="22" t="s">
        <v>29</v>
      </c>
      <c r="D133" s="22" t="s">
        <v>36</v>
      </c>
      <c r="E133" s="22" t="s">
        <v>14</v>
      </c>
      <c r="F133" s="22">
        <v>9</v>
      </c>
      <c r="G133" s="23">
        <v>1631.95</v>
      </c>
      <c r="H133" s="25" t="str">
        <f>IF(COUNTIF(tbl_clean_sales[Invoice_ID],tbl_clean_sales[[#This Row],[Invoice_ID]])&gt;1,"Duplicate","Unique")</f>
        <v>Unique</v>
      </c>
      <c r="I133" s="25"/>
      <c r="J1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3" s="25" t="str">
        <f>IFERROR(VLOOKUP(tbl_clean_sales[[#This Row],[Employee_ID]],'02_Employee_Master'!$A$1:$C$12,2,FALSE),"Employee Name Missing")</f>
        <v>Swetha L</v>
      </c>
      <c r="L133" s="25" t="str">
        <f>IFERROR(VLOOKUP(tbl_clean_sales[[#This Row],[Employee_ID]],'02_Employee_Master'!$A$1:$C$12,3,FALSE),"Department Name Missing")</f>
        <v>Sales</v>
      </c>
      <c r="M133" s="25" t="str">
        <f>IF('03_Clean_data'!D133="","Missing",IFERROR(IF(VLOOKUP(D133,'03_Product_Master'!$A$1:$D$14,1,FALSE)='03_Clean_data'!D133,"Valid","Invalid"),"Invalid"))</f>
        <v>Valid</v>
      </c>
      <c r="N133" s="25" t="str">
        <f>IFERROR(VLOOKUP(tbl_clean_sales[[#This Row],[Product_ID]],'03_Product_Master'!$A$1:$D$14,2,FALSE),"Missing")</f>
        <v>Dish Wash</v>
      </c>
      <c r="O133" s="25" t="str">
        <f>IFERROR(VLOOKUP(tbl_clean_sales[[#This Row],[Product_ID]],'03_Product_Master'!$A$1:$D$14,3,FALSE),"Missing")</f>
        <v>Home Care</v>
      </c>
      <c r="P133" s="25">
        <f>IFERROR(VLOOKUP(tbl_clean_sales[[#This Row],[Product_ID]],'03_Product_Master'!$A$1:$D$14,4,FALSE),"Missing")</f>
        <v>190</v>
      </c>
      <c r="Q133" s="25" t="str">
        <f>IF('03_Clean_data'!E133="","Missing",IFERROR(IF(VLOOKUP(E133,'04_Branch_Master'!$A$1:$C$7,1,FALSE)='03_Clean_data'!E133,"Valid","Invalid"),"Invalid"))</f>
        <v>Valid</v>
      </c>
      <c r="R133" s="25" t="str">
        <f>IFERROR(VLOOKUP(tbl_clean_sales[[#This Row],[Branch_ID]],'04_Branch_Master'!$A$1:$C$7,2,FALSE),"Missing")</f>
        <v>Avinashi Road</v>
      </c>
      <c r="S133" s="25" t="str">
        <f>IFERROR(VLOOKUP(tbl_clean_sales[[#This Row],[Branch_ID]],'04_Branch_Master'!$A$1:$C$7,3,FALSE),"Missing")</f>
        <v>North</v>
      </c>
      <c r="T133" s="25" t="str">
        <f>C133&amp;"|"&amp;TEXT(tbl_clean_sales[[#This Row],[Date]],"yyyymm")</f>
        <v>E010|202605</v>
      </c>
      <c r="U133" s="25">
        <f>IFERROR(INDEX('05_Target_Master'!$A$1:$F$32,MATCH(tbl_clean_sales[[#This Row],[target key]],'05_Target_Master'!$F$1:$F$32,0),3),"Missing")</f>
        <v>131500</v>
      </c>
    </row>
    <row r="134" spans="1:21" x14ac:dyDescent="0.3">
      <c r="A134" s="21">
        <v>46169</v>
      </c>
      <c r="B134" s="22" t="s">
        <v>166</v>
      </c>
      <c r="C134" s="22" t="s">
        <v>24</v>
      </c>
      <c r="D134" s="22" t="s">
        <v>36</v>
      </c>
      <c r="E134" s="22" t="s">
        <v>26</v>
      </c>
      <c r="F134" s="22">
        <v>10</v>
      </c>
      <c r="G134" s="23">
        <v>1758.41</v>
      </c>
      <c r="H134" s="25" t="str">
        <f>IF(COUNTIF(tbl_clean_sales[Invoice_ID],tbl_clean_sales[[#This Row],[Invoice_ID]])&gt;1,"Duplicate","Unique")</f>
        <v>Unique</v>
      </c>
      <c r="I134" s="25"/>
      <c r="J1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4" s="25" t="str">
        <f>IFERROR(VLOOKUP(tbl_clean_sales[[#This Row],[Employee_ID]],'02_Employee_Master'!$A$1:$C$12,2,FALSE),"Employee Name Missing")</f>
        <v>Karthik P</v>
      </c>
      <c r="L134" s="25" t="str">
        <f>IFERROR(VLOOKUP(tbl_clean_sales[[#This Row],[Employee_ID]],'02_Employee_Master'!$A$1:$C$12,3,FALSE),"Department Name Missing")</f>
        <v>Sales</v>
      </c>
      <c r="M134" s="25" t="str">
        <f>IF('03_Clean_data'!D134="","Missing",IFERROR(IF(VLOOKUP(D134,'03_Product_Master'!$A$1:$D$14,1,FALSE)='03_Clean_data'!D134,"Valid","Invalid"),"Invalid"))</f>
        <v>Valid</v>
      </c>
      <c r="N134" s="25" t="str">
        <f>IFERROR(VLOOKUP(tbl_clean_sales[[#This Row],[Product_ID]],'03_Product_Master'!$A$1:$D$14,2,FALSE),"Missing")</f>
        <v>Dish Wash</v>
      </c>
      <c r="O134" s="25" t="str">
        <f>IFERROR(VLOOKUP(tbl_clean_sales[[#This Row],[Product_ID]],'03_Product_Master'!$A$1:$D$14,3,FALSE),"Missing")</f>
        <v>Home Care</v>
      </c>
      <c r="P134" s="25">
        <f>IFERROR(VLOOKUP(tbl_clean_sales[[#This Row],[Product_ID]],'03_Product_Master'!$A$1:$D$14,4,FALSE),"Missing")</f>
        <v>190</v>
      </c>
      <c r="Q134" s="25" t="str">
        <f>IF('03_Clean_data'!E134="","Missing",IFERROR(IF(VLOOKUP(E134,'04_Branch_Master'!$A$1:$C$7,1,FALSE)='03_Clean_data'!E134,"Valid","Invalid"),"Invalid"))</f>
        <v>Valid</v>
      </c>
      <c r="R134" s="25" t="str">
        <f>IFERROR(VLOOKUP(tbl_clean_sales[[#This Row],[Branch_ID]],'04_Branch_Master'!$A$1:$C$7,2,FALSE),"Missing")</f>
        <v>Palladam</v>
      </c>
      <c r="S134" s="25" t="str">
        <f>IFERROR(VLOOKUP(tbl_clean_sales[[#This Row],[Branch_ID]],'04_Branch_Master'!$A$1:$C$7,3,FALSE),"Missing")</f>
        <v>South</v>
      </c>
      <c r="T134" s="25" t="str">
        <f>C134&amp;"|"&amp;TEXT(tbl_clean_sales[[#This Row],[Date]],"yyyymm")</f>
        <v>E005|202605</v>
      </c>
      <c r="U134" s="25">
        <f>IFERROR(INDEX('05_Target_Master'!$A$1:$F$32,MATCH(tbl_clean_sales[[#This Row],[target key]],'05_Target_Master'!$F$1:$F$32,0),3),"Missing")</f>
        <v>143700</v>
      </c>
    </row>
    <row r="135" spans="1:21" x14ac:dyDescent="0.3">
      <c r="A135" s="21">
        <v>46191</v>
      </c>
      <c r="B135" s="22" t="s">
        <v>167</v>
      </c>
      <c r="C135" s="22" t="s">
        <v>21</v>
      </c>
      <c r="D135" s="22"/>
      <c r="E135" s="22" t="s">
        <v>22</v>
      </c>
      <c r="F135" s="22">
        <v>5</v>
      </c>
      <c r="G135" s="23">
        <v>736.6</v>
      </c>
      <c r="H135" s="25" t="str">
        <f>IF(COUNTIF(tbl_clean_sales[Invoice_ID],tbl_clean_sales[[#This Row],[Invoice_ID]])&gt;1,"Duplicate","Unique")</f>
        <v>Unique</v>
      </c>
      <c r="I135" s="25"/>
      <c r="J1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5" s="25" t="str">
        <f>IFERROR(VLOOKUP(tbl_clean_sales[[#This Row],[Employee_ID]],'02_Employee_Master'!$A$1:$C$12,2,FALSE),"Employee Name Missing")</f>
        <v>Priya S</v>
      </c>
      <c r="L135" s="25" t="str">
        <f>IFERROR(VLOOKUP(tbl_clean_sales[[#This Row],[Employee_ID]],'02_Employee_Master'!$A$1:$C$12,3,FALSE),"Department Name Missing")</f>
        <v>Sales</v>
      </c>
      <c r="M135" s="25" t="str">
        <f>IF('03_Clean_data'!D135="","Missing",IFERROR(IF(VLOOKUP(D135,'03_Product_Master'!$A$1:$D$14,1,FALSE)='03_Clean_data'!D135,"Valid","Invalid"),"Invalid"))</f>
        <v>Missing</v>
      </c>
      <c r="N135" s="25" t="str">
        <f>IFERROR(VLOOKUP(tbl_clean_sales[[#This Row],[Product_ID]],'03_Product_Master'!$A$1:$D$14,2,FALSE),"Missing")</f>
        <v>Missing</v>
      </c>
      <c r="O135" s="25" t="str">
        <f>IFERROR(VLOOKUP(tbl_clean_sales[[#This Row],[Product_ID]],'03_Product_Master'!$A$1:$D$14,3,FALSE),"Missing")</f>
        <v>Missing</v>
      </c>
      <c r="P135" s="25" t="str">
        <f>IFERROR(VLOOKUP(tbl_clean_sales[[#This Row],[Product_ID]],'03_Product_Master'!$A$1:$D$14,4,FALSE),"Missing")</f>
        <v>Missing</v>
      </c>
      <c r="Q135" s="25" t="str">
        <f>IF('03_Clean_data'!E135="","Missing",IFERROR(IF(VLOOKUP(E135,'04_Branch_Master'!$A$1:$C$7,1,FALSE)='03_Clean_data'!E135,"Valid","Invalid"),"Invalid"))</f>
        <v>Valid</v>
      </c>
      <c r="R135" s="25" t="str">
        <f>IFERROR(VLOOKUP(tbl_clean_sales[[#This Row],[Branch_ID]],'04_Branch_Master'!$A$1:$C$7,2,FALSE),"Missing")</f>
        <v>Tirupur Central</v>
      </c>
      <c r="S135" s="25" t="str">
        <f>IFERROR(VLOOKUP(tbl_clean_sales[[#This Row],[Branch_ID]],'04_Branch_Master'!$A$1:$C$7,3,FALSE),"Missing")</f>
        <v>North</v>
      </c>
      <c r="T135" s="25" t="str">
        <f>C135&amp;"|"&amp;TEXT(tbl_clean_sales[[#This Row],[Date]],"yyyymm")</f>
        <v>E002|202606</v>
      </c>
      <c r="U135" s="25">
        <f>IFERROR(INDEX('05_Target_Master'!$A$1:$F$32,MATCH(tbl_clean_sales[[#This Row],[target key]],'05_Target_Master'!$F$1:$F$32,0),3),"Missing")</f>
        <v>117400</v>
      </c>
    </row>
    <row r="136" spans="1:21" x14ac:dyDescent="0.3">
      <c r="A136" s="21">
        <v>46133</v>
      </c>
      <c r="B136" s="22" t="s">
        <v>168</v>
      </c>
      <c r="C136" s="22" t="s">
        <v>12</v>
      </c>
      <c r="D136" s="22" t="s">
        <v>53</v>
      </c>
      <c r="E136" s="22" t="s">
        <v>14</v>
      </c>
      <c r="F136" s="22">
        <v>3</v>
      </c>
      <c r="G136" s="23">
        <v>1049.6600000000001</v>
      </c>
      <c r="H136" s="25" t="str">
        <f>IF(COUNTIF(tbl_clean_sales[Invoice_ID],tbl_clean_sales[[#This Row],[Invoice_ID]])&gt;1,"Duplicate","Unique")</f>
        <v>Unique</v>
      </c>
      <c r="I136" s="25"/>
      <c r="J1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6" s="25" t="str">
        <f>IFERROR(VLOOKUP(tbl_clean_sales[[#This Row],[Employee_ID]],'02_Employee_Master'!$A$1:$C$12,2,FALSE),"Employee Name Missing")</f>
        <v>Divya R</v>
      </c>
      <c r="L136" s="25" t="str">
        <f>IFERROR(VLOOKUP(tbl_clean_sales[[#This Row],[Employee_ID]],'02_Employee_Master'!$A$1:$C$12,3,FALSE),"Department Name Missing")</f>
        <v>Sales</v>
      </c>
      <c r="M136" s="25" t="str">
        <f>IF('03_Clean_data'!D136="","Missing",IFERROR(IF(VLOOKUP(D136,'03_Product_Master'!$A$1:$D$14,1,FALSE)='03_Clean_data'!D136,"Valid","Invalid"),"Invalid"))</f>
        <v>Valid</v>
      </c>
      <c r="N136" s="25" t="str">
        <f>IFERROR(VLOOKUP(tbl_clean_sales[[#This Row],[Product_ID]],'03_Product_Master'!$A$1:$D$14,2,FALSE),"Missing")</f>
        <v>Instant Coffee</v>
      </c>
      <c r="O136" s="25" t="str">
        <f>IFERROR(VLOOKUP(tbl_clean_sales[[#This Row],[Product_ID]],'03_Product_Master'!$A$1:$D$14,3,FALSE),"Missing")</f>
        <v>Beverages</v>
      </c>
      <c r="P136" s="25">
        <f>IFERROR(VLOOKUP(tbl_clean_sales[[#This Row],[Product_ID]],'03_Product_Master'!$A$1:$D$14,4,FALSE),"Missing")</f>
        <v>350</v>
      </c>
      <c r="Q136" s="25" t="str">
        <f>IF('03_Clean_data'!E136="","Missing",IFERROR(IF(VLOOKUP(E136,'04_Branch_Master'!$A$1:$C$7,1,FALSE)='03_Clean_data'!E136,"Valid","Invalid"),"Invalid"))</f>
        <v>Valid</v>
      </c>
      <c r="R136" s="25" t="str">
        <f>IFERROR(VLOOKUP(tbl_clean_sales[[#This Row],[Branch_ID]],'04_Branch_Master'!$A$1:$C$7,2,FALSE),"Missing")</f>
        <v>Avinashi Road</v>
      </c>
      <c r="S136" s="25" t="str">
        <f>IFERROR(VLOOKUP(tbl_clean_sales[[#This Row],[Branch_ID]],'04_Branch_Master'!$A$1:$C$7,3,FALSE),"Missing")</f>
        <v>North</v>
      </c>
      <c r="T136" s="25" t="str">
        <f>C136&amp;"|"&amp;TEXT(tbl_clean_sales[[#This Row],[Date]],"yyyymm")</f>
        <v>E004|202604</v>
      </c>
      <c r="U136" s="25">
        <f>IFERROR(INDEX('05_Target_Master'!$A$1:$F$32,MATCH(tbl_clean_sales[[#This Row],[target key]],'05_Target_Master'!$F$1:$F$32,0),3),"Missing")</f>
        <v>163600</v>
      </c>
    </row>
    <row r="137" spans="1:21" x14ac:dyDescent="0.3">
      <c r="A137" s="21">
        <v>46170</v>
      </c>
      <c r="B137" s="22" t="s">
        <v>169</v>
      </c>
      <c r="C137" s="22" t="s">
        <v>29</v>
      </c>
      <c r="D137" s="22" t="s">
        <v>48</v>
      </c>
      <c r="E137" s="22" t="s">
        <v>10</v>
      </c>
      <c r="F137" s="22">
        <v>4</v>
      </c>
      <c r="G137" s="23">
        <v>1004.04</v>
      </c>
      <c r="H137" s="25" t="str">
        <f>IF(COUNTIF(tbl_clean_sales[Invoice_ID],tbl_clean_sales[[#This Row],[Invoice_ID]])&gt;1,"Duplicate","Unique")</f>
        <v>Unique</v>
      </c>
      <c r="I137" s="25"/>
      <c r="J1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7" s="25" t="str">
        <f>IFERROR(VLOOKUP(tbl_clean_sales[[#This Row],[Employee_ID]],'02_Employee_Master'!$A$1:$C$12,2,FALSE),"Employee Name Missing")</f>
        <v>Swetha L</v>
      </c>
      <c r="L137" s="25" t="str">
        <f>IFERROR(VLOOKUP(tbl_clean_sales[[#This Row],[Employee_ID]],'02_Employee_Master'!$A$1:$C$12,3,FALSE),"Department Name Missing")</f>
        <v>Sales</v>
      </c>
      <c r="M137" s="25" t="str">
        <f>IF('03_Clean_data'!D137="","Missing",IFERROR(IF(VLOOKUP(D137,'03_Product_Master'!$A$1:$D$14,1,FALSE)='03_Clean_data'!D137,"Valid","Invalid"),"Invalid"))</f>
        <v>Valid</v>
      </c>
      <c r="N137" s="25" t="str">
        <f>IFERROR(VLOOKUP(tbl_clean_sales[[#This Row],[Product_ID]],'03_Product_Master'!$A$1:$D$14,2,FALSE),"Missing")</f>
        <v>Face Wash</v>
      </c>
      <c r="O137" s="25" t="str">
        <f>IFERROR(VLOOKUP(tbl_clean_sales[[#This Row],[Product_ID]],'03_Product_Master'!$A$1:$D$14,3,FALSE),"Missing")</f>
        <v>Personal Care</v>
      </c>
      <c r="P137" s="25">
        <f>IFERROR(VLOOKUP(tbl_clean_sales[[#This Row],[Product_ID]],'03_Product_Master'!$A$1:$D$14,4,FALSE),"Missing")</f>
        <v>260</v>
      </c>
      <c r="Q137" s="25" t="str">
        <f>IF('03_Clean_data'!E137="","Missing",IFERROR(IF(VLOOKUP(E137,'04_Branch_Master'!$A$1:$C$7,1,FALSE)='03_Clean_data'!E137,"Valid","Invalid"),"Invalid"))</f>
        <v>Valid</v>
      </c>
      <c r="R137" s="25" t="str">
        <f>IFERROR(VLOOKUP(tbl_clean_sales[[#This Row],[Branch_ID]],'04_Branch_Master'!$A$1:$C$7,2,FALSE),"Missing")</f>
        <v>Dharapuram</v>
      </c>
      <c r="S137" s="25" t="str">
        <f>IFERROR(VLOOKUP(tbl_clean_sales[[#This Row],[Branch_ID]],'04_Branch_Master'!$A$1:$C$7,3,FALSE),"Missing")</f>
        <v>South</v>
      </c>
      <c r="T137" s="25" t="str">
        <f>C137&amp;"|"&amp;TEXT(tbl_clean_sales[[#This Row],[Date]],"yyyymm")</f>
        <v>E010|202605</v>
      </c>
      <c r="U137" s="25">
        <f>IFERROR(INDEX('05_Target_Master'!$A$1:$F$32,MATCH(tbl_clean_sales[[#This Row],[target key]],'05_Target_Master'!$F$1:$F$32,0),3),"Missing")</f>
        <v>131500</v>
      </c>
    </row>
    <row r="138" spans="1:21" x14ac:dyDescent="0.3">
      <c r="A138" s="21">
        <v>46149</v>
      </c>
      <c r="B138" s="22" t="s">
        <v>170</v>
      </c>
      <c r="C138" s="22" t="s">
        <v>38</v>
      </c>
      <c r="D138" s="22" t="s">
        <v>9</v>
      </c>
      <c r="E138" s="22" t="s">
        <v>32</v>
      </c>
      <c r="F138" s="22">
        <v>5</v>
      </c>
      <c r="G138" s="23">
        <v>1267.6400000000001</v>
      </c>
      <c r="H138" s="25" t="str">
        <f>IF(COUNTIF(tbl_clean_sales[Invoice_ID],tbl_clean_sales[[#This Row],[Invoice_ID]])&gt;1,"Duplicate","Unique")</f>
        <v>Unique</v>
      </c>
      <c r="I138" s="25"/>
      <c r="J1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8" s="25" t="str">
        <f>IFERROR(VLOOKUP(tbl_clean_sales[[#This Row],[Employee_ID]],'02_Employee_Master'!$A$1:$C$12,2,FALSE),"Employee Name Missing")</f>
        <v>Nandhini K</v>
      </c>
      <c r="L138" s="25" t="str">
        <f>IFERROR(VLOOKUP(tbl_clean_sales[[#This Row],[Employee_ID]],'02_Employee_Master'!$A$1:$C$12,3,FALSE),"Department Name Missing")</f>
        <v>Sales</v>
      </c>
      <c r="M138" s="25" t="str">
        <f>IF('03_Clean_data'!D138="","Missing",IFERROR(IF(VLOOKUP(D138,'03_Product_Master'!$A$1:$D$14,1,FALSE)='03_Clean_data'!D138,"Valid","Invalid"),"Invalid"))</f>
        <v>Valid</v>
      </c>
      <c r="N138" s="25" t="str">
        <f>IFERROR(VLOOKUP(tbl_clean_sales[[#This Row],[Product_ID]],'03_Product_Master'!$A$1:$D$14,2,FALSE),"Missing")</f>
        <v>Green Tea</v>
      </c>
      <c r="O138" s="25" t="str">
        <f>IFERROR(VLOOKUP(tbl_clean_sales[[#This Row],[Product_ID]],'03_Product_Master'!$A$1:$D$14,3,FALSE),"Missing")</f>
        <v>Beverages</v>
      </c>
      <c r="P138" s="25">
        <f>IFERROR(VLOOKUP(tbl_clean_sales[[#This Row],[Product_ID]],'03_Product_Master'!$A$1:$D$14,4,FALSE),"Missing")</f>
        <v>280</v>
      </c>
      <c r="Q138" s="25" t="str">
        <f>IF('03_Clean_data'!E138="","Missing",IFERROR(IF(VLOOKUP(E138,'04_Branch_Master'!$A$1:$C$7,1,FALSE)='03_Clean_data'!E138,"Valid","Invalid"),"Invalid"))</f>
        <v>Valid</v>
      </c>
      <c r="R138" s="25" t="str">
        <f>IFERROR(VLOOKUP(tbl_clean_sales[[#This Row],[Branch_ID]],'04_Branch_Master'!$A$1:$C$7,2,FALSE),"Missing")</f>
        <v>Kangeyam</v>
      </c>
      <c r="S138" s="25" t="str">
        <f>IFERROR(VLOOKUP(tbl_clean_sales[[#This Row],[Branch_ID]],'04_Branch_Master'!$A$1:$C$7,3,FALSE),"Missing")</f>
        <v>East</v>
      </c>
      <c r="T138" s="25" t="str">
        <f>C138&amp;"|"&amp;TEXT(tbl_clean_sales[[#This Row],[Date]],"yyyymm")</f>
        <v>E008|202605</v>
      </c>
      <c r="U138" s="25">
        <f>IFERROR(INDEX('05_Target_Master'!$A$1:$F$32,MATCH(tbl_clean_sales[[#This Row],[target key]],'05_Target_Master'!$F$1:$F$32,0),3),"Missing")</f>
        <v>134100</v>
      </c>
    </row>
    <row r="139" spans="1:21" x14ac:dyDescent="0.3">
      <c r="A139" s="21">
        <v>46193</v>
      </c>
      <c r="B139" s="22" t="s">
        <v>171</v>
      </c>
      <c r="C139" s="22" t="s">
        <v>29</v>
      </c>
      <c r="D139" s="22" t="s">
        <v>43</v>
      </c>
      <c r="E139" s="22" t="s">
        <v>14</v>
      </c>
      <c r="F139" s="22">
        <v>7</v>
      </c>
      <c r="G139" s="23">
        <v>2347.2199999999998</v>
      </c>
      <c r="H139" s="25" t="str">
        <f>IF(COUNTIF(tbl_clean_sales[Invoice_ID],tbl_clean_sales[[#This Row],[Invoice_ID]])&gt;1,"Duplicate","Unique")</f>
        <v>Unique</v>
      </c>
      <c r="I139" s="25"/>
      <c r="J1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39" s="25" t="str">
        <f>IFERROR(VLOOKUP(tbl_clean_sales[[#This Row],[Employee_ID]],'02_Employee_Master'!$A$1:$C$12,2,FALSE),"Employee Name Missing")</f>
        <v>Swetha L</v>
      </c>
      <c r="L139" s="25" t="str">
        <f>IFERROR(VLOOKUP(tbl_clean_sales[[#This Row],[Employee_ID]],'02_Employee_Master'!$A$1:$C$12,3,FALSE),"Department Name Missing")</f>
        <v>Sales</v>
      </c>
      <c r="M139" s="25" t="str">
        <f>IF('03_Clean_data'!D139="","Missing",IFERROR(IF(VLOOKUP(D139,'03_Product_Master'!$A$1:$D$14,1,FALSE)='03_Clean_data'!D139,"Valid","Invalid"),"Invalid"))</f>
        <v>Valid</v>
      </c>
      <c r="N139" s="25" t="str">
        <f>IFERROR(VLOOKUP(tbl_clean_sales[[#This Row],[Product_ID]],'03_Product_Master'!$A$1:$D$14,2,FALSE),"Missing")</f>
        <v>Laundry Liquid</v>
      </c>
      <c r="O139" s="25" t="str">
        <f>IFERROR(VLOOKUP(tbl_clean_sales[[#This Row],[Product_ID]],'03_Product_Master'!$A$1:$D$14,3,FALSE),"Missing")</f>
        <v>Home Care</v>
      </c>
      <c r="P139" s="25">
        <f>IFERROR(VLOOKUP(tbl_clean_sales[[#This Row],[Product_ID]],'03_Product_Master'!$A$1:$D$14,4,FALSE),"Missing")</f>
        <v>340</v>
      </c>
      <c r="Q139" s="25" t="str">
        <f>IF('03_Clean_data'!E139="","Missing",IFERROR(IF(VLOOKUP(E139,'04_Branch_Master'!$A$1:$C$7,1,FALSE)='03_Clean_data'!E139,"Valid","Invalid"),"Invalid"))</f>
        <v>Valid</v>
      </c>
      <c r="R139" s="25" t="str">
        <f>IFERROR(VLOOKUP(tbl_clean_sales[[#This Row],[Branch_ID]],'04_Branch_Master'!$A$1:$C$7,2,FALSE),"Missing")</f>
        <v>Avinashi Road</v>
      </c>
      <c r="S139" s="25" t="str">
        <f>IFERROR(VLOOKUP(tbl_clean_sales[[#This Row],[Branch_ID]],'04_Branch_Master'!$A$1:$C$7,3,FALSE),"Missing")</f>
        <v>North</v>
      </c>
      <c r="T139" s="25" t="str">
        <f>C139&amp;"|"&amp;TEXT(tbl_clean_sales[[#This Row],[Date]],"yyyymm")</f>
        <v>E010|202606</v>
      </c>
      <c r="U139" s="25">
        <f>IFERROR(INDEX('05_Target_Master'!$A$1:$F$32,MATCH(tbl_clean_sales[[#This Row],[target key]],'05_Target_Master'!$F$1:$F$32,0),3),"Missing")</f>
        <v>116800</v>
      </c>
    </row>
    <row r="140" spans="1:21" x14ac:dyDescent="0.3">
      <c r="A140" s="21">
        <v>46141</v>
      </c>
      <c r="B140" s="22" t="s">
        <v>172</v>
      </c>
      <c r="C140" s="22" t="s">
        <v>18</v>
      </c>
      <c r="D140" s="22" t="s">
        <v>82</v>
      </c>
      <c r="E140" s="22" t="s">
        <v>22</v>
      </c>
      <c r="F140" s="22">
        <v>1</v>
      </c>
      <c r="G140" s="23">
        <v>117.61</v>
      </c>
      <c r="H140" s="25" t="str">
        <f>IF(COUNTIF(tbl_clean_sales[Invoice_ID],tbl_clean_sales[[#This Row],[Invoice_ID]])&gt;1,"Duplicate","Unique")</f>
        <v>Unique</v>
      </c>
      <c r="I140" s="25"/>
      <c r="J1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0" s="25" t="str">
        <f>IFERROR(VLOOKUP(tbl_clean_sales[[#This Row],[Employee_ID]],'02_Employee_Master'!$A$1:$C$12,2,FALSE),"Employee Name Missing")</f>
        <v>Rahul M</v>
      </c>
      <c r="L140" s="25" t="str">
        <f>IFERROR(VLOOKUP(tbl_clean_sales[[#This Row],[Employee_ID]],'02_Employee_Master'!$A$1:$C$12,3,FALSE),"Department Name Missing")</f>
        <v>Sales</v>
      </c>
      <c r="M140" s="25" t="str">
        <f>IF('03_Clean_data'!D140="","Missing",IFERROR(IF(VLOOKUP(D140,'03_Product_Master'!$A$1:$D$14,1,FALSE)='03_Clean_data'!D140,"Valid","Invalid"),"Invalid"))</f>
        <v>Valid</v>
      </c>
      <c r="N140" s="25" t="str">
        <f>IFERROR(VLOOKUP(tbl_clean_sales[[#This Row],[Product_ID]],'03_Product_Master'!$A$1:$D$14,2,FALSE),"Missing")</f>
        <v>Chocolate Bar</v>
      </c>
      <c r="O140" s="25" t="str">
        <f>IFERROR(VLOOKUP(tbl_clean_sales[[#This Row],[Product_ID]],'03_Product_Master'!$A$1:$D$14,3,FALSE),"Missing")</f>
        <v>Snacks</v>
      </c>
      <c r="P140" s="25">
        <f>IFERROR(VLOOKUP(tbl_clean_sales[[#This Row],[Product_ID]],'03_Product_Master'!$A$1:$D$14,4,FALSE),"Missing")</f>
        <v>120</v>
      </c>
      <c r="Q140" s="25" t="str">
        <f>IF('03_Clean_data'!E140="","Missing",IFERROR(IF(VLOOKUP(E140,'04_Branch_Master'!$A$1:$C$7,1,FALSE)='03_Clean_data'!E140,"Valid","Invalid"),"Invalid"))</f>
        <v>Valid</v>
      </c>
      <c r="R140" s="25" t="str">
        <f>IFERROR(VLOOKUP(tbl_clean_sales[[#This Row],[Branch_ID]],'04_Branch_Master'!$A$1:$C$7,2,FALSE),"Missing")</f>
        <v>Tirupur Central</v>
      </c>
      <c r="S140" s="25" t="str">
        <f>IFERROR(VLOOKUP(tbl_clean_sales[[#This Row],[Branch_ID]],'04_Branch_Master'!$A$1:$C$7,3,FALSE),"Missing")</f>
        <v>North</v>
      </c>
      <c r="T140" s="25" t="str">
        <f>C140&amp;"|"&amp;TEXT(tbl_clean_sales[[#This Row],[Date]],"yyyymm")</f>
        <v>E003|202604</v>
      </c>
      <c r="U140" s="25">
        <f>IFERROR(INDEX('05_Target_Master'!$A$1:$F$32,MATCH(tbl_clean_sales[[#This Row],[target key]],'05_Target_Master'!$F$1:$F$32,0),3),"Missing")</f>
        <v>116600</v>
      </c>
    </row>
    <row r="141" spans="1:21" x14ac:dyDescent="0.3">
      <c r="A141" s="21">
        <v>46152</v>
      </c>
      <c r="B141" s="22" t="s">
        <v>173</v>
      </c>
      <c r="C141" s="22" t="s">
        <v>29</v>
      </c>
      <c r="D141" s="22" t="s">
        <v>19</v>
      </c>
      <c r="E141" s="22" t="s">
        <v>26</v>
      </c>
      <c r="F141" s="22">
        <v>8</v>
      </c>
      <c r="G141" s="23">
        <v>1812.54</v>
      </c>
      <c r="H141" s="25" t="str">
        <f>IF(COUNTIF(tbl_clean_sales[Invoice_ID],tbl_clean_sales[[#This Row],[Invoice_ID]])&gt;1,"Duplicate","Unique")</f>
        <v>Unique</v>
      </c>
      <c r="I141" s="25"/>
      <c r="J1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1" s="25" t="str">
        <f>IFERROR(VLOOKUP(tbl_clean_sales[[#This Row],[Employee_ID]],'02_Employee_Master'!$A$1:$C$12,2,FALSE),"Employee Name Missing")</f>
        <v>Swetha L</v>
      </c>
      <c r="L141" s="25" t="str">
        <f>IFERROR(VLOOKUP(tbl_clean_sales[[#This Row],[Employee_ID]],'02_Employee_Master'!$A$1:$C$12,3,FALSE),"Department Name Missing")</f>
        <v>Sales</v>
      </c>
      <c r="M141" s="25" t="str">
        <f>IF('03_Clean_data'!D141="","Missing",IFERROR(IF(VLOOKUP(D141,'03_Product_Master'!$A$1:$D$14,1,FALSE)='03_Clean_data'!D141,"Valid","Invalid"),"Invalid"))</f>
        <v>Valid</v>
      </c>
      <c r="N141" s="25" t="str">
        <f>IFERROR(VLOOKUP(tbl_clean_sales[[#This Row],[Product_ID]],'03_Product_Master'!$A$1:$D$14,2,FALSE),"Missing")</f>
        <v>Floor Cleaner</v>
      </c>
      <c r="O141" s="25" t="str">
        <f>IFERROR(VLOOKUP(tbl_clean_sales[[#This Row],[Product_ID]],'03_Product_Master'!$A$1:$D$14,3,FALSE),"Missing")</f>
        <v>Home Care</v>
      </c>
      <c r="P141" s="25">
        <f>IFERROR(VLOOKUP(tbl_clean_sales[[#This Row],[Product_ID]],'03_Product_Master'!$A$1:$D$14,4,FALSE),"Missing")</f>
        <v>230</v>
      </c>
      <c r="Q141" s="25" t="str">
        <f>IF('03_Clean_data'!E141="","Missing",IFERROR(IF(VLOOKUP(E141,'04_Branch_Master'!$A$1:$C$7,1,FALSE)='03_Clean_data'!E141,"Valid","Invalid"),"Invalid"))</f>
        <v>Valid</v>
      </c>
      <c r="R141" s="25" t="str">
        <f>IFERROR(VLOOKUP(tbl_clean_sales[[#This Row],[Branch_ID]],'04_Branch_Master'!$A$1:$C$7,2,FALSE),"Missing")</f>
        <v>Palladam</v>
      </c>
      <c r="S141" s="25" t="str">
        <f>IFERROR(VLOOKUP(tbl_clean_sales[[#This Row],[Branch_ID]],'04_Branch_Master'!$A$1:$C$7,3,FALSE),"Missing")</f>
        <v>South</v>
      </c>
      <c r="T141" s="25" t="str">
        <f>C141&amp;"|"&amp;TEXT(tbl_clean_sales[[#This Row],[Date]],"yyyymm")</f>
        <v>E010|202605</v>
      </c>
      <c r="U141" s="25">
        <f>IFERROR(INDEX('05_Target_Master'!$A$1:$F$32,MATCH(tbl_clean_sales[[#This Row],[target key]],'05_Target_Master'!$F$1:$F$32,0),3),"Missing")</f>
        <v>131500</v>
      </c>
    </row>
    <row r="142" spans="1:21" x14ac:dyDescent="0.3">
      <c r="A142" s="21">
        <v>46201</v>
      </c>
      <c r="B142" s="22" t="s">
        <v>174</v>
      </c>
      <c r="C142" s="22" t="s">
        <v>24</v>
      </c>
      <c r="D142" s="22" t="s">
        <v>19</v>
      </c>
      <c r="E142" s="22" t="s">
        <v>26</v>
      </c>
      <c r="F142" s="22">
        <v>5</v>
      </c>
      <c r="G142" s="23">
        <v>1080.93</v>
      </c>
      <c r="H142" s="25" t="str">
        <f>IF(COUNTIF(tbl_clean_sales[Invoice_ID],tbl_clean_sales[[#This Row],[Invoice_ID]])&gt;1,"Duplicate","Unique")</f>
        <v>Unique</v>
      </c>
      <c r="I142" s="25"/>
      <c r="J1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2" s="25" t="str">
        <f>IFERROR(VLOOKUP(tbl_clean_sales[[#This Row],[Employee_ID]],'02_Employee_Master'!$A$1:$C$12,2,FALSE),"Employee Name Missing")</f>
        <v>Karthik P</v>
      </c>
      <c r="L142" s="25" t="str">
        <f>IFERROR(VLOOKUP(tbl_clean_sales[[#This Row],[Employee_ID]],'02_Employee_Master'!$A$1:$C$12,3,FALSE),"Department Name Missing")</f>
        <v>Sales</v>
      </c>
      <c r="M142" s="25" t="str">
        <f>IF('03_Clean_data'!D142="","Missing",IFERROR(IF(VLOOKUP(D142,'03_Product_Master'!$A$1:$D$14,1,FALSE)='03_Clean_data'!D142,"Valid","Invalid"),"Invalid"))</f>
        <v>Valid</v>
      </c>
      <c r="N142" s="25" t="str">
        <f>IFERROR(VLOOKUP(tbl_clean_sales[[#This Row],[Product_ID]],'03_Product_Master'!$A$1:$D$14,2,FALSE),"Missing")</f>
        <v>Floor Cleaner</v>
      </c>
      <c r="O142" s="25" t="str">
        <f>IFERROR(VLOOKUP(tbl_clean_sales[[#This Row],[Product_ID]],'03_Product_Master'!$A$1:$D$14,3,FALSE),"Missing")</f>
        <v>Home Care</v>
      </c>
      <c r="P142" s="25">
        <f>IFERROR(VLOOKUP(tbl_clean_sales[[#This Row],[Product_ID]],'03_Product_Master'!$A$1:$D$14,4,FALSE),"Missing")</f>
        <v>230</v>
      </c>
      <c r="Q142" s="25" t="str">
        <f>IF('03_Clean_data'!E142="","Missing",IFERROR(IF(VLOOKUP(E142,'04_Branch_Master'!$A$1:$C$7,1,FALSE)='03_Clean_data'!E142,"Valid","Invalid"),"Invalid"))</f>
        <v>Valid</v>
      </c>
      <c r="R142" s="25" t="str">
        <f>IFERROR(VLOOKUP(tbl_clean_sales[[#This Row],[Branch_ID]],'04_Branch_Master'!$A$1:$C$7,2,FALSE),"Missing")</f>
        <v>Palladam</v>
      </c>
      <c r="S142" s="25" t="str">
        <f>IFERROR(VLOOKUP(tbl_clean_sales[[#This Row],[Branch_ID]],'04_Branch_Master'!$A$1:$C$7,3,FALSE),"Missing")</f>
        <v>South</v>
      </c>
      <c r="T142" s="25" t="str">
        <f>C142&amp;"|"&amp;TEXT(tbl_clean_sales[[#This Row],[Date]],"yyyymm")</f>
        <v>E005|202606</v>
      </c>
      <c r="U142" s="25">
        <f>IFERROR(INDEX('05_Target_Master'!$A$1:$F$32,MATCH(tbl_clean_sales[[#This Row],[target key]],'05_Target_Master'!$F$1:$F$32,0),3),"Missing")</f>
        <v>127700</v>
      </c>
    </row>
    <row r="143" spans="1:21" x14ac:dyDescent="0.3">
      <c r="A143" s="21">
        <v>46176</v>
      </c>
      <c r="B143" s="22" t="s">
        <v>175</v>
      </c>
      <c r="C143" s="22" t="s">
        <v>38</v>
      </c>
      <c r="D143" s="22" t="s">
        <v>9</v>
      </c>
      <c r="E143" s="22" t="s">
        <v>32</v>
      </c>
      <c r="F143" s="22">
        <v>7</v>
      </c>
      <c r="G143" s="23">
        <v>1787.24</v>
      </c>
      <c r="H143" s="25" t="str">
        <f>IF(COUNTIF(tbl_clean_sales[Invoice_ID],tbl_clean_sales[[#This Row],[Invoice_ID]])&gt;1,"Duplicate","Unique")</f>
        <v>Unique</v>
      </c>
      <c r="I143" s="25"/>
      <c r="J1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3" s="25" t="str">
        <f>IFERROR(VLOOKUP(tbl_clean_sales[[#This Row],[Employee_ID]],'02_Employee_Master'!$A$1:$C$12,2,FALSE),"Employee Name Missing")</f>
        <v>Nandhini K</v>
      </c>
      <c r="L143" s="25" t="str">
        <f>IFERROR(VLOOKUP(tbl_clean_sales[[#This Row],[Employee_ID]],'02_Employee_Master'!$A$1:$C$12,3,FALSE),"Department Name Missing")</f>
        <v>Sales</v>
      </c>
      <c r="M143" s="25" t="str">
        <f>IF('03_Clean_data'!D143="","Missing",IFERROR(IF(VLOOKUP(D143,'03_Product_Master'!$A$1:$D$14,1,FALSE)='03_Clean_data'!D143,"Valid","Invalid"),"Invalid"))</f>
        <v>Valid</v>
      </c>
      <c r="N143" s="25" t="str">
        <f>IFERROR(VLOOKUP(tbl_clean_sales[[#This Row],[Product_ID]],'03_Product_Master'!$A$1:$D$14,2,FALSE),"Missing")</f>
        <v>Green Tea</v>
      </c>
      <c r="O143" s="25" t="str">
        <f>IFERROR(VLOOKUP(tbl_clean_sales[[#This Row],[Product_ID]],'03_Product_Master'!$A$1:$D$14,3,FALSE),"Missing")</f>
        <v>Beverages</v>
      </c>
      <c r="P143" s="25">
        <f>IFERROR(VLOOKUP(tbl_clean_sales[[#This Row],[Product_ID]],'03_Product_Master'!$A$1:$D$14,4,FALSE),"Missing")</f>
        <v>280</v>
      </c>
      <c r="Q143" s="25" t="str">
        <f>IF('03_Clean_data'!E143="","Missing",IFERROR(IF(VLOOKUP(E143,'04_Branch_Master'!$A$1:$C$7,1,FALSE)='03_Clean_data'!E143,"Valid","Invalid"),"Invalid"))</f>
        <v>Valid</v>
      </c>
      <c r="R143" s="25" t="str">
        <f>IFERROR(VLOOKUP(tbl_clean_sales[[#This Row],[Branch_ID]],'04_Branch_Master'!$A$1:$C$7,2,FALSE),"Missing")</f>
        <v>Kangeyam</v>
      </c>
      <c r="S143" s="25" t="str">
        <f>IFERROR(VLOOKUP(tbl_clean_sales[[#This Row],[Branch_ID]],'04_Branch_Master'!$A$1:$C$7,3,FALSE),"Missing")</f>
        <v>East</v>
      </c>
      <c r="T143" s="25" t="str">
        <f>C143&amp;"|"&amp;TEXT(tbl_clean_sales[[#This Row],[Date]],"yyyymm")</f>
        <v>E008|202606</v>
      </c>
      <c r="U143" s="25">
        <f>IFERROR(INDEX('05_Target_Master'!$A$1:$F$32,MATCH(tbl_clean_sales[[#This Row],[target key]],'05_Target_Master'!$F$1:$F$32,0),3),"Missing")</f>
        <v>119200</v>
      </c>
    </row>
    <row r="144" spans="1:21" x14ac:dyDescent="0.3">
      <c r="A144" s="21">
        <v>46190</v>
      </c>
      <c r="B144" s="22" t="s">
        <v>176</v>
      </c>
      <c r="C144" s="22" t="s">
        <v>24</v>
      </c>
      <c r="D144" s="22" t="s">
        <v>25</v>
      </c>
      <c r="E144" s="22" t="s">
        <v>26</v>
      </c>
      <c r="F144" s="22">
        <v>11</v>
      </c>
      <c r="G144" s="23">
        <v>4156.54</v>
      </c>
      <c r="H144" s="25" t="str">
        <f>IF(COUNTIF(tbl_clean_sales[Invoice_ID],tbl_clean_sales[[#This Row],[Invoice_ID]])&gt;1,"Duplicate","Unique")</f>
        <v>Unique</v>
      </c>
      <c r="I144" s="25"/>
      <c r="J1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4" s="25" t="str">
        <f>IFERROR(VLOOKUP(tbl_clean_sales[[#This Row],[Employee_ID]],'02_Employee_Master'!$A$1:$C$12,2,FALSE),"Employee Name Missing")</f>
        <v>Karthik P</v>
      </c>
      <c r="L144" s="25" t="str">
        <f>IFERROR(VLOOKUP(tbl_clean_sales[[#This Row],[Employee_ID]],'02_Employee_Master'!$A$1:$C$12,3,FALSE),"Department Name Missing")</f>
        <v>Sales</v>
      </c>
      <c r="M144" s="25" t="str">
        <f>IF('03_Clean_data'!D144="","Missing",IFERROR(IF(VLOOKUP(D144,'03_Product_Master'!$A$1:$D$14,1,FALSE)='03_Clean_data'!D144,"Valid","Invalid"),"Invalid"))</f>
        <v>Valid</v>
      </c>
      <c r="N144" s="25" t="str">
        <f>IFERROR(VLOOKUP(tbl_clean_sales[[#This Row],[Product_ID]],'03_Product_Master'!$A$1:$D$14,2,FALSE),"Missing")</f>
        <v>Premium Coffee</v>
      </c>
      <c r="O144" s="25" t="str">
        <f>IFERROR(VLOOKUP(tbl_clean_sales[[#This Row],[Product_ID]],'03_Product_Master'!$A$1:$D$14,3,FALSE),"Missing")</f>
        <v>Beverages</v>
      </c>
      <c r="P144" s="25">
        <f>IFERROR(VLOOKUP(tbl_clean_sales[[#This Row],[Product_ID]],'03_Product_Master'!$A$1:$D$14,4,FALSE),"Missing")</f>
        <v>420</v>
      </c>
      <c r="Q144" s="25" t="str">
        <f>IF('03_Clean_data'!E144="","Missing",IFERROR(IF(VLOOKUP(E144,'04_Branch_Master'!$A$1:$C$7,1,FALSE)='03_Clean_data'!E144,"Valid","Invalid"),"Invalid"))</f>
        <v>Valid</v>
      </c>
      <c r="R144" s="25" t="str">
        <f>IFERROR(VLOOKUP(tbl_clean_sales[[#This Row],[Branch_ID]],'04_Branch_Master'!$A$1:$C$7,2,FALSE),"Missing")</f>
        <v>Palladam</v>
      </c>
      <c r="S144" s="25" t="str">
        <f>IFERROR(VLOOKUP(tbl_clean_sales[[#This Row],[Branch_ID]],'04_Branch_Master'!$A$1:$C$7,3,FALSE),"Missing")</f>
        <v>South</v>
      </c>
      <c r="T144" s="25" t="str">
        <f>C144&amp;"|"&amp;TEXT(tbl_clean_sales[[#This Row],[Date]],"yyyymm")</f>
        <v>E005|202606</v>
      </c>
      <c r="U144" s="25">
        <f>IFERROR(INDEX('05_Target_Master'!$A$1:$F$32,MATCH(tbl_clean_sales[[#This Row],[target key]],'05_Target_Master'!$F$1:$F$32,0),3),"Missing")</f>
        <v>127700</v>
      </c>
    </row>
    <row r="145" spans="1:21" x14ac:dyDescent="0.3">
      <c r="A145" s="21">
        <v>46186</v>
      </c>
      <c r="B145" s="22" t="s">
        <v>177</v>
      </c>
      <c r="C145" s="22" t="s">
        <v>29</v>
      </c>
      <c r="D145" s="22" t="s">
        <v>25</v>
      </c>
      <c r="E145" s="22" t="s">
        <v>26</v>
      </c>
      <c r="F145" s="22">
        <v>10</v>
      </c>
      <c r="G145" s="23">
        <v>4179.72</v>
      </c>
      <c r="H145" s="25" t="str">
        <f>IF(COUNTIF(tbl_clean_sales[Invoice_ID],tbl_clean_sales[[#This Row],[Invoice_ID]])&gt;1,"Duplicate","Unique")</f>
        <v>Unique</v>
      </c>
      <c r="I145" s="25"/>
      <c r="J1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5" s="25" t="str">
        <f>IFERROR(VLOOKUP(tbl_clean_sales[[#This Row],[Employee_ID]],'02_Employee_Master'!$A$1:$C$12,2,FALSE),"Employee Name Missing")</f>
        <v>Swetha L</v>
      </c>
      <c r="L145" s="25" t="str">
        <f>IFERROR(VLOOKUP(tbl_clean_sales[[#This Row],[Employee_ID]],'02_Employee_Master'!$A$1:$C$12,3,FALSE),"Department Name Missing")</f>
        <v>Sales</v>
      </c>
      <c r="M145" s="25" t="str">
        <f>IF('03_Clean_data'!D145="","Missing",IFERROR(IF(VLOOKUP(D145,'03_Product_Master'!$A$1:$D$14,1,FALSE)='03_Clean_data'!D145,"Valid","Invalid"),"Invalid"))</f>
        <v>Valid</v>
      </c>
      <c r="N145" s="25" t="str">
        <f>IFERROR(VLOOKUP(tbl_clean_sales[[#This Row],[Product_ID]],'03_Product_Master'!$A$1:$D$14,2,FALSE),"Missing")</f>
        <v>Premium Coffee</v>
      </c>
      <c r="O145" s="25" t="str">
        <f>IFERROR(VLOOKUP(tbl_clean_sales[[#This Row],[Product_ID]],'03_Product_Master'!$A$1:$D$14,3,FALSE),"Missing")</f>
        <v>Beverages</v>
      </c>
      <c r="P145" s="25">
        <f>IFERROR(VLOOKUP(tbl_clean_sales[[#This Row],[Product_ID]],'03_Product_Master'!$A$1:$D$14,4,FALSE),"Missing")</f>
        <v>420</v>
      </c>
      <c r="Q145" s="25" t="str">
        <f>IF('03_Clean_data'!E145="","Missing",IFERROR(IF(VLOOKUP(E145,'04_Branch_Master'!$A$1:$C$7,1,FALSE)='03_Clean_data'!E145,"Valid","Invalid"),"Invalid"))</f>
        <v>Valid</v>
      </c>
      <c r="R145" s="25" t="str">
        <f>IFERROR(VLOOKUP(tbl_clean_sales[[#This Row],[Branch_ID]],'04_Branch_Master'!$A$1:$C$7,2,FALSE),"Missing")</f>
        <v>Palladam</v>
      </c>
      <c r="S145" s="25" t="str">
        <f>IFERROR(VLOOKUP(tbl_clean_sales[[#This Row],[Branch_ID]],'04_Branch_Master'!$A$1:$C$7,3,FALSE),"Missing")</f>
        <v>South</v>
      </c>
      <c r="T145" s="25" t="str">
        <f>C145&amp;"|"&amp;TEXT(tbl_clean_sales[[#This Row],[Date]],"yyyymm")</f>
        <v>E010|202606</v>
      </c>
      <c r="U145" s="25">
        <f>IFERROR(INDEX('05_Target_Master'!$A$1:$F$32,MATCH(tbl_clean_sales[[#This Row],[target key]],'05_Target_Master'!$F$1:$F$32,0),3),"Missing")</f>
        <v>116800</v>
      </c>
    </row>
    <row r="146" spans="1:21" x14ac:dyDescent="0.3">
      <c r="A146" s="21">
        <v>46135</v>
      </c>
      <c r="B146" s="22" t="s">
        <v>178</v>
      </c>
      <c r="C146" s="22" t="s">
        <v>38</v>
      </c>
      <c r="D146" s="22" t="s">
        <v>13</v>
      </c>
      <c r="E146" s="22" t="s">
        <v>32</v>
      </c>
      <c r="F146" s="22">
        <v>5</v>
      </c>
      <c r="G146" s="23">
        <v>1907.53</v>
      </c>
      <c r="H146" s="25" t="str">
        <f>IF(COUNTIF(tbl_clean_sales[Invoice_ID],tbl_clean_sales[[#This Row],[Invoice_ID]])&gt;1,"Duplicate","Unique")</f>
        <v>Unique</v>
      </c>
      <c r="I146" s="25"/>
      <c r="J1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6" s="25" t="str">
        <f>IFERROR(VLOOKUP(tbl_clean_sales[[#This Row],[Employee_ID]],'02_Employee_Master'!$A$1:$C$12,2,FALSE),"Employee Name Missing")</f>
        <v>Nandhini K</v>
      </c>
      <c r="L146" s="25" t="str">
        <f>IFERROR(VLOOKUP(tbl_clean_sales[[#This Row],[Employee_ID]],'02_Employee_Master'!$A$1:$C$12,3,FALSE),"Department Name Missing")</f>
        <v>Sales</v>
      </c>
      <c r="M146" s="25" t="str">
        <f>IF('03_Clean_data'!D146="","Missing",IFERROR(IF(VLOOKUP(D146,'03_Product_Master'!$A$1:$D$14,1,FALSE)='03_Clean_data'!D146,"Valid","Invalid"),"Invalid"))</f>
        <v>Valid</v>
      </c>
      <c r="N146" s="25" t="str">
        <f>IFERROR(VLOOKUP(tbl_clean_sales[[#This Row],[Product_ID]],'03_Product_Master'!$A$1:$D$14,2,FALSE),"Missing")</f>
        <v>Body Lotion</v>
      </c>
      <c r="O146" s="25" t="str">
        <f>IFERROR(VLOOKUP(tbl_clean_sales[[#This Row],[Product_ID]],'03_Product_Master'!$A$1:$D$14,3,FALSE),"Missing")</f>
        <v>Personal Care</v>
      </c>
      <c r="P146" s="25">
        <f>IFERROR(VLOOKUP(tbl_clean_sales[[#This Row],[Product_ID]],'03_Product_Master'!$A$1:$D$14,4,FALSE),"Missing")</f>
        <v>390</v>
      </c>
      <c r="Q146" s="25" t="str">
        <f>IF('03_Clean_data'!E146="","Missing",IFERROR(IF(VLOOKUP(E146,'04_Branch_Master'!$A$1:$C$7,1,FALSE)='03_Clean_data'!E146,"Valid","Invalid"),"Invalid"))</f>
        <v>Valid</v>
      </c>
      <c r="R146" s="25" t="str">
        <f>IFERROR(VLOOKUP(tbl_clean_sales[[#This Row],[Branch_ID]],'04_Branch_Master'!$A$1:$C$7,2,FALSE),"Missing")</f>
        <v>Kangeyam</v>
      </c>
      <c r="S146" s="25" t="str">
        <f>IFERROR(VLOOKUP(tbl_clean_sales[[#This Row],[Branch_ID]],'04_Branch_Master'!$A$1:$C$7,3,FALSE),"Missing")</f>
        <v>East</v>
      </c>
      <c r="T146" s="25" t="str">
        <f>C146&amp;"|"&amp;TEXT(tbl_clean_sales[[#This Row],[Date]],"yyyymm")</f>
        <v>E008|202604</v>
      </c>
      <c r="U146" s="25">
        <f>IFERROR(INDEX('05_Target_Master'!$A$1:$F$32,MATCH(tbl_clean_sales[[#This Row],[target key]],'05_Target_Master'!$F$1:$F$32,0),3),"Missing")</f>
        <v>124100</v>
      </c>
    </row>
    <row r="147" spans="1:21" x14ac:dyDescent="0.3">
      <c r="A147" s="21">
        <v>46187</v>
      </c>
      <c r="B147" s="22" t="s">
        <v>179</v>
      </c>
      <c r="C147" s="22" t="s">
        <v>46</v>
      </c>
      <c r="D147" s="22" t="s">
        <v>43</v>
      </c>
      <c r="E147" s="22" t="s">
        <v>22</v>
      </c>
      <c r="F147" s="22">
        <v>8</v>
      </c>
      <c r="G147" s="23">
        <v>2606.4299999999998</v>
      </c>
      <c r="H147" s="25" t="str">
        <f>IF(COUNTIF(tbl_clean_sales[Invoice_ID],tbl_clean_sales[[#This Row],[Invoice_ID]])&gt;1,"Duplicate","Unique")</f>
        <v>Unique</v>
      </c>
      <c r="I147" s="25"/>
      <c r="J1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7" s="25" t="str">
        <f>IFERROR(VLOOKUP(tbl_clean_sales[[#This Row],[Employee_ID]],'02_Employee_Master'!$A$1:$C$12,2,FALSE),"Employee Name Missing")</f>
        <v>Suresh B</v>
      </c>
      <c r="L147" s="25" t="str">
        <f>IFERROR(VLOOKUP(tbl_clean_sales[[#This Row],[Employee_ID]],'02_Employee_Master'!$A$1:$C$12,3,FALSE),"Department Name Missing")</f>
        <v>Sales</v>
      </c>
      <c r="M147" s="25" t="str">
        <f>IF('03_Clean_data'!D147="","Missing",IFERROR(IF(VLOOKUP(D147,'03_Product_Master'!$A$1:$D$14,1,FALSE)='03_Clean_data'!D147,"Valid","Invalid"),"Invalid"))</f>
        <v>Valid</v>
      </c>
      <c r="N147" s="25" t="str">
        <f>IFERROR(VLOOKUP(tbl_clean_sales[[#This Row],[Product_ID]],'03_Product_Master'!$A$1:$D$14,2,FALSE),"Missing")</f>
        <v>Laundry Liquid</v>
      </c>
      <c r="O147" s="25" t="str">
        <f>IFERROR(VLOOKUP(tbl_clean_sales[[#This Row],[Product_ID]],'03_Product_Master'!$A$1:$D$14,3,FALSE),"Missing")</f>
        <v>Home Care</v>
      </c>
      <c r="P147" s="25">
        <f>IFERROR(VLOOKUP(tbl_clean_sales[[#This Row],[Product_ID]],'03_Product_Master'!$A$1:$D$14,4,FALSE),"Missing")</f>
        <v>340</v>
      </c>
      <c r="Q147" s="25" t="str">
        <f>IF('03_Clean_data'!E147="","Missing",IFERROR(IF(VLOOKUP(E147,'04_Branch_Master'!$A$1:$C$7,1,FALSE)='03_Clean_data'!E147,"Valid","Invalid"),"Invalid"))</f>
        <v>Valid</v>
      </c>
      <c r="R147" s="25" t="str">
        <f>IFERROR(VLOOKUP(tbl_clean_sales[[#This Row],[Branch_ID]],'04_Branch_Master'!$A$1:$C$7,2,FALSE),"Missing")</f>
        <v>Tirupur Central</v>
      </c>
      <c r="S147" s="25" t="str">
        <f>IFERROR(VLOOKUP(tbl_clean_sales[[#This Row],[Branch_ID]],'04_Branch_Master'!$A$1:$C$7,3,FALSE),"Missing")</f>
        <v>North</v>
      </c>
      <c r="T147" s="25" t="str">
        <f>C147&amp;"|"&amp;TEXT(tbl_clean_sales[[#This Row],[Date]],"yyyymm")</f>
        <v>E007|202606</v>
      </c>
      <c r="U147" s="25">
        <f>IFERROR(INDEX('05_Target_Master'!$A$1:$F$32,MATCH(tbl_clean_sales[[#This Row],[target key]],'05_Target_Master'!$F$1:$F$32,0),3),"Missing")</f>
        <v>124400</v>
      </c>
    </row>
    <row r="148" spans="1:21" x14ac:dyDescent="0.3">
      <c r="A148" s="21">
        <v>46155</v>
      </c>
      <c r="B148" s="22" t="s">
        <v>180</v>
      </c>
      <c r="C148" s="22" t="s">
        <v>40</v>
      </c>
      <c r="D148" s="22" t="s">
        <v>43</v>
      </c>
      <c r="E148" s="22" t="s">
        <v>26</v>
      </c>
      <c r="F148" s="22">
        <v>3</v>
      </c>
      <c r="G148" s="23">
        <v>979.63</v>
      </c>
      <c r="H148" s="25" t="str">
        <f>IF(COUNTIF(tbl_clean_sales[Invoice_ID],tbl_clean_sales[[#This Row],[Invoice_ID]])&gt;1,"Duplicate","Unique")</f>
        <v>Unique</v>
      </c>
      <c r="I148" s="25"/>
      <c r="J1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8" s="25" t="str">
        <f>IFERROR(VLOOKUP(tbl_clean_sales[[#This Row],[Employee_ID]],'02_Employee_Master'!$A$1:$C$12,2,FALSE),"Employee Name Missing")</f>
        <v>Meena V</v>
      </c>
      <c r="L148" s="25" t="str">
        <f>IFERROR(VLOOKUP(tbl_clean_sales[[#This Row],[Employee_ID]],'02_Employee_Master'!$A$1:$C$12,3,FALSE),"Department Name Missing")</f>
        <v>Sales</v>
      </c>
      <c r="M148" s="25" t="str">
        <f>IF('03_Clean_data'!D148="","Missing",IFERROR(IF(VLOOKUP(D148,'03_Product_Master'!$A$1:$D$14,1,FALSE)='03_Clean_data'!D148,"Valid","Invalid"),"Invalid"))</f>
        <v>Valid</v>
      </c>
      <c r="N148" s="25" t="str">
        <f>IFERROR(VLOOKUP(tbl_clean_sales[[#This Row],[Product_ID]],'03_Product_Master'!$A$1:$D$14,2,FALSE),"Missing")</f>
        <v>Laundry Liquid</v>
      </c>
      <c r="O148" s="25" t="str">
        <f>IFERROR(VLOOKUP(tbl_clean_sales[[#This Row],[Product_ID]],'03_Product_Master'!$A$1:$D$14,3,FALSE),"Missing")</f>
        <v>Home Care</v>
      </c>
      <c r="P148" s="25">
        <f>IFERROR(VLOOKUP(tbl_clean_sales[[#This Row],[Product_ID]],'03_Product_Master'!$A$1:$D$14,4,FALSE),"Missing")</f>
        <v>340</v>
      </c>
      <c r="Q148" s="25" t="str">
        <f>IF('03_Clean_data'!E148="","Missing",IFERROR(IF(VLOOKUP(E148,'04_Branch_Master'!$A$1:$C$7,1,FALSE)='03_Clean_data'!E148,"Valid","Invalid"),"Invalid"))</f>
        <v>Valid</v>
      </c>
      <c r="R148" s="25" t="str">
        <f>IFERROR(VLOOKUP(tbl_clean_sales[[#This Row],[Branch_ID]],'04_Branch_Master'!$A$1:$C$7,2,FALSE),"Missing")</f>
        <v>Palladam</v>
      </c>
      <c r="S148" s="25" t="str">
        <f>IFERROR(VLOOKUP(tbl_clean_sales[[#This Row],[Branch_ID]],'04_Branch_Master'!$A$1:$C$7,3,FALSE),"Missing")</f>
        <v>South</v>
      </c>
      <c r="T148" s="25" t="str">
        <f>C148&amp;"|"&amp;TEXT(tbl_clean_sales[[#This Row],[Date]],"yyyymm")</f>
        <v>E006|202605</v>
      </c>
      <c r="U148" s="25">
        <f>IFERROR(INDEX('05_Target_Master'!$A$1:$F$32,MATCH(tbl_clean_sales[[#This Row],[target key]],'05_Target_Master'!$F$1:$F$32,0),3),"Missing")</f>
        <v>141500</v>
      </c>
    </row>
    <row r="149" spans="1:21" x14ac:dyDescent="0.3">
      <c r="A149" s="21">
        <v>46201</v>
      </c>
      <c r="B149" s="22" t="s">
        <v>181</v>
      </c>
      <c r="C149" s="22" t="s">
        <v>38</v>
      </c>
      <c r="D149" s="22" t="s">
        <v>82</v>
      </c>
      <c r="E149" s="22" t="s">
        <v>32</v>
      </c>
      <c r="F149" s="22">
        <v>7</v>
      </c>
      <c r="G149" s="23">
        <v>757.99</v>
      </c>
      <c r="H149" s="25" t="str">
        <f>IF(COUNTIF(tbl_clean_sales[Invoice_ID],tbl_clean_sales[[#This Row],[Invoice_ID]])&gt;1,"Duplicate","Unique")</f>
        <v>Unique</v>
      </c>
      <c r="I149" s="25"/>
      <c r="J1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49" s="25" t="str">
        <f>IFERROR(VLOOKUP(tbl_clean_sales[[#This Row],[Employee_ID]],'02_Employee_Master'!$A$1:$C$12,2,FALSE),"Employee Name Missing")</f>
        <v>Nandhini K</v>
      </c>
      <c r="L149" s="25" t="str">
        <f>IFERROR(VLOOKUP(tbl_clean_sales[[#This Row],[Employee_ID]],'02_Employee_Master'!$A$1:$C$12,3,FALSE),"Department Name Missing")</f>
        <v>Sales</v>
      </c>
      <c r="M149" s="25" t="str">
        <f>IF('03_Clean_data'!D149="","Missing",IFERROR(IF(VLOOKUP(D149,'03_Product_Master'!$A$1:$D$14,1,FALSE)='03_Clean_data'!D149,"Valid","Invalid"),"Invalid"))</f>
        <v>Valid</v>
      </c>
      <c r="N149" s="25" t="str">
        <f>IFERROR(VLOOKUP(tbl_clean_sales[[#This Row],[Product_ID]],'03_Product_Master'!$A$1:$D$14,2,FALSE),"Missing")</f>
        <v>Chocolate Bar</v>
      </c>
      <c r="O149" s="25" t="str">
        <f>IFERROR(VLOOKUP(tbl_clean_sales[[#This Row],[Product_ID]],'03_Product_Master'!$A$1:$D$14,3,FALSE),"Missing")</f>
        <v>Snacks</v>
      </c>
      <c r="P149" s="25">
        <f>IFERROR(VLOOKUP(tbl_clean_sales[[#This Row],[Product_ID]],'03_Product_Master'!$A$1:$D$14,4,FALSE),"Missing")</f>
        <v>120</v>
      </c>
      <c r="Q149" s="25" t="str">
        <f>IF('03_Clean_data'!E149="","Missing",IFERROR(IF(VLOOKUP(E149,'04_Branch_Master'!$A$1:$C$7,1,FALSE)='03_Clean_data'!E149,"Valid","Invalid"),"Invalid"))</f>
        <v>Valid</v>
      </c>
      <c r="R149" s="25" t="str">
        <f>IFERROR(VLOOKUP(tbl_clean_sales[[#This Row],[Branch_ID]],'04_Branch_Master'!$A$1:$C$7,2,FALSE),"Missing")</f>
        <v>Kangeyam</v>
      </c>
      <c r="S149" s="25" t="str">
        <f>IFERROR(VLOOKUP(tbl_clean_sales[[#This Row],[Branch_ID]],'04_Branch_Master'!$A$1:$C$7,3,FALSE),"Missing")</f>
        <v>East</v>
      </c>
      <c r="T149" s="25" t="str">
        <f>C149&amp;"|"&amp;TEXT(tbl_clean_sales[[#This Row],[Date]],"yyyymm")</f>
        <v>E008|202606</v>
      </c>
      <c r="U149" s="25">
        <f>IFERROR(INDEX('05_Target_Master'!$A$1:$F$32,MATCH(tbl_clean_sales[[#This Row],[target key]],'05_Target_Master'!$F$1:$F$32,0),3),"Missing")</f>
        <v>119200</v>
      </c>
    </row>
    <row r="150" spans="1:21" x14ac:dyDescent="0.3">
      <c r="A150" s="21">
        <v>46183</v>
      </c>
      <c r="B150" s="22" t="s">
        <v>182</v>
      </c>
      <c r="C150" s="22" t="s">
        <v>74</v>
      </c>
      <c r="D150" s="22" t="s">
        <v>48</v>
      </c>
      <c r="E150" s="22" t="s">
        <v>22</v>
      </c>
      <c r="F150" s="22">
        <v>5</v>
      </c>
      <c r="G150" s="23">
        <v>1249.57</v>
      </c>
      <c r="H150" s="25" t="str">
        <f>IF(COUNTIF(tbl_clean_sales[Invoice_ID],tbl_clean_sales[[#This Row],[Invoice_ID]])&gt;1,"Duplicate","Unique")</f>
        <v>Unique</v>
      </c>
      <c r="I150" s="25"/>
      <c r="J1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0" s="25" t="str">
        <f>IFERROR(VLOOKUP(tbl_clean_sales[[#This Row],[Employee_ID]],'02_Employee_Master'!$A$1:$C$12,2,FALSE),"Employee Name Missing")</f>
        <v>Arun Kumar</v>
      </c>
      <c r="L150" s="25" t="str">
        <f>IFERROR(VLOOKUP(tbl_clean_sales[[#This Row],[Employee_ID]],'02_Employee_Master'!$A$1:$C$12,3,FALSE),"Department Name Missing")</f>
        <v>Sales</v>
      </c>
      <c r="M150" s="25" t="str">
        <f>IF('03_Clean_data'!D150="","Missing",IFERROR(IF(VLOOKUP(D150,'03_Product_Master'!$A$1:$D$14,1,FALSE)='03_Clean_data'!D150,"Valid","Invalid"),"Invalid"))</f>
        <v>Valid</v>
      </c>
      <c r="N150" s="25" t="str">
        <f>IFERROR(VLOOKUP(tbl_clean_sales[[#This Row],[Product_ID]],'03_Product_Master'!$A$1:$D$14,2,FALSE),"Missing")</f>
        <v>Face Wash</v>
      </c>
      <c r="O150" s="25" t="str">
        <f>IFERROR(VLOOKUP(tbl_clean_sales[[#This Row],[Product_ID]],'03_Product_Master'!$A$1:$D$14,3,FALSE),"Missing")</f>
        <v>Personal Care</v>
      </c>
      <c r="P150" s="25">
        <f>IFERROR(VLOOKUP(tbl_clean_sales[[#This Row],[Product_ID]],'03_Product_Master'!$A$1:$D$14,4,FALSE),"Missing")</f>
        <v>260</v>
      </c>
      <c r="Q150" s="25" t="str">
        <f>IF('03_Clean_data'!E150="","Missing",IFERROR(IF(VLOOKUP(E150,'04_Branch_Master'!$A$1:$C$7,1,FALSE)='03_Clean_data'!E150,"Valid","Invalid"),"Invalid"))</f>
        <v>Valid</v>
      </c>
      <c r="R150" s="25" t="str">
        <f>IFERROR(VLOOKUP(tbl_clean_sales[[#This Row],[Branch_ID]],'04_Branch_Master'!$A$1:$C$7,2,FALSE),"Missing")</f>
        <v>Tirupur Central</v>
      </c>
      <c r="S150" s="25" t="str">
        <f>IFERROR(VLOOKUP(tbl_clean_sales[[#This Row],[Branch_ID]],'04_Branch_Master'!$A$1:$C$7,3,FALSE),"Missing")</f>
        <v>North</v>
      </c>
      <c r="T150" s="25" t="str">
        <f>C150&amp;"|"&amp;TEXT(tbl_clean_sales[[#This Row],[Date]],"yyyymm")</f>
        <v>E001|202606</v>
      </c>
      <c r="U150" s="25">
        <f>IFERROR(INDEX('05_Target_Master'!$A$1:$F$32,MATCH(tbl_clean_sales[[#This Row],[target key]],'05_Target_Master'!$F$1:$F$32,0),3),"Missing")</f>
        <v>150600</v>
      </c>
    </row>
    <row r="151" spans="1:21" x14ac:dyDescent="0.3">
      <c r="A151" s="21">
        <v>46164</v>
      </c>
      <c r="B151" s="22" t="s">
        <v>183</v>
      </c>
      <c r="C151" s="22" t="s">
        <v>8</v>
      </c>
      <c r="D151" s="22" t="s">
        <v>25</v>
      </c>
      <c r="E151" s="22" t="s">
        <v>10</v>
      </c>
      <c r="F151" s="22">
        <v>9</v>
      </c>
      <c r="G151" s="23">
        <v>3570.45</v>
      </c>
      <c r="H151" s="25" t="str">
        <f>IF(COUNTIF(tbl_clean_sales[Invoice_ID],tbl_clean_sales[[#This Row],[Invoice_ID]])&gt;1,"Duplicate","Unique")</f>
        <v>Unique</v>
      </c>
      <c r="I151" s="25"/>
      <c r="J1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1" s="25" t="str">
        <f>IFERROR(VLOOKUP(tbl_clean_sales[[#This Row],[Employee_ID]],'02_Employee_Master'!$A$1:$C$12,2,FALSE),"Employee Name Missing")</f>
        <v>Vignesh R</v>
      </c>
      <c r="L151" s="25" t="str">
        <f>IFERROR(VLOOKUP(tbl_clean_sales[[#This Row],[Employee_ID]],'02_Employee_Master'!$A$1:$C$12,3,FALSE),"Department Name Missing")</f>
        <v>Sales</v>
      </c>
      <c r="M151" s="25" t="str">
        <f>IF('03_Clean_data'!D151="","Missing",IFERROR(IF(VLOOKUP(D151,'03_Product_Master'!$A$1:$D$14,1,FALSE)='03_Clean_data'!D151,"Valid","Invalid"),"Invalid"))</f>
        <v>Valid</v>
      </c>
      <c r="N151" s="25" t="str">
        <f>IFERROR(VLOOKUP(tbl_clean_sales[[#This Row],[Product_ID]],'03_Product_Master'!$A$1:$D$14,2,FALSE),"Missing")</f>
        <v>Premium Coffee</v>
      </c>
      <c r="O151" s="25" t="str">
        <f>IFERROR(VLOOKUP(tbl_clean_sales[[#This Row],[Product_ID]],'03_Product_Master'!$A$1:$D$14,3,FALSE),"Missing")</f>
        <v>Beverages</v>
      </c>
      <c r="P151" s="25">
        <f>IFERROR(VLOOKUP(tbl_clean_sales[[#This Row],[Product_ID]],'03_Product_Master'!$A$1:$D$14,4,FALSE),"Missing")</f>
        <v>420</v>
      </c>
      <c r="Q151" s="25" t="str">
        <f>IF('03_Clean_data'!E151="","Missing",IFERROR(IF(VLOOKUP(E151,'04_Branch_Master'!$A$1:$C$7,1,FALSE)='03_Clean_data'!E151,"Valid","Invalid"),"Invalid"))</f>
        <v>Valid</v>
      </c>
      <c r="R151" s="25" t="str">
        <f>IFERROR(VLOOKUP(tbl_clean_sales[[#This Row],[Branch_ID]],'04_Branch_Master'!$A$1:$C$7,2,FALSE),"Missing")</f>
        <v>Dharapuram</v>
      </c>
      <c r="S151" s="25" t="str">
        <f>IFERROR(VLOOKUP(tbl_clean_sales[[#This Row],[Branch_ID]],'04_Branch_Master'!$A$1:$C$7,3,FALSE),"Missing")</f>
        <v>South</v>
      </c>
      <c r="T151" s="25" t="str">
        <f>C151&amp;"|"&amp;TEXT(tbl_clean_sales[[#This Row],[Date]],"yyyymm")</f>
        <v>E009|202605</v>
      </c>
      <c r="U151" s="25">
        <f>IFERROR(INDEX('05_Target_Master'!$A$1:$F$32,MATCH(tbl_clean_sales[[#This Row],[target key]],'05_Target_Master'!$F$1:$F$32,0),3),"Missing")</f>
        <v>176300</v>
      </c>
    </row>
    <row r="152" spans="1:21" x14ac:dyDescent="0.3">
      <c r="A152" s="21">
        <v>46119</v>
      </c>
      <c r="B152" s="22" t="s">
        <v>184</v>
      </c>
      <c r="C152" s="22" t="s">
        <v>12</v>
      </c>
      <c r="D152" s="22" t="s">
        <v>13</v>
      </c>
      <c r="E152" s="22" t="s">
        <v>14</v>
      </c>
      <c r="F152" s="22">
        <v>8</v>
      </c>
      <c r="G152" s="23">
        <v>2885.85</v>
      </c>
      <c r="H152" s="25" t="str">
        <f>IF(COUNTIF(tbl_clean_sales[Invoice_ID],tbl_clean_sales[[#This Row],[Invoice_ID]])&gt;1,"Duplicate","Unique")</f>
        <v>Unique</v>
      </c>
      <c r="I152" s="25"/>
      <c r="J15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2" s="25" t="str">
        <f>IFERROR(VLOOKUP(tbl_clean_sales[[#This Row],[Employee_ID]],'02_Employee_Master'!$A$1:$C$12,2,FALSE),"Employee Name Missing")</f>
        <v>Divya R</v>
      </c>
      <c r="L152" s="25" t="str">
        <f>IFERROR(VLOOKUP(tbl_clean_sales[[#This Row],[Employee_ID]],'02_Employee_Master'!$A$1:$C$12,3,FALSE),"Department Name Missing")</f>
        <v>Sales</v>
      </c>
      <c r="M152" s="25" t="str">
        <f>IF('03_Clean_data'!D152="","Missing",IFERROR(IF(VLOOKUP(D152,'03_Product_Master'!$A$1:$D$14,1,FALSE)='03_Clean_data'!D152,"Valid","Invalid"),"Invalid"))</f>
        <v>Valid</v>
      </c>
      <c r="N152" s="25" t="str">
        <f>IFERROR(VLOOKUP(tbl_clean_sales[[#This Row],[Product_ID]],'03_Product_Master'!$A$1:$D$14,2,FALSE),"Missing")</f>
        <v>Body Lotion</v>
      </c>
      <c r="O152" s="25" t="str">
        <f>IFERROR(VLOOKUP(tbl_clean_sales[[#This Row],[Product_ID]],'03_Product_Master'!$A$1:$D$14,3,FALSE),"Missing")</f>
        <v>Personal Care</v>
      </c>
      <c r="P152" s="25">
        <f>IFERROR(VLOOKUP(tbl_clean_sales[[#This Row],[Product_ID]],'03_Product_Master'!$A$1:$D$14,4,FALSE),"Missing")</f>
        <v>390</v>
      </c>
      <c r="Q152" s="25" t="str">
        <f>IF('03_Clean_data'!E152="","Missing",IFERROR(IF(VLOOKUP(E152,'04_Branch_Master'!$A$1:$C$7,1,FALSE)='03_Clean_data'!E152,"Valid","Invalid"),"Invalid"))</f>
        <v>Valid</v>
      </c>
      <c r="R152" s="25" t="str">
        <f>IFERROR(VLOOKUP(tbl_clean_sales[[#This Row],[Branch_ID]],'04_Branch_Master'!$A$1:$C$7,2,FALSE),"Missing")</f>
        <v>Avinashi Road</v>
      </c>
      <c r="S152" s="25" t="str">
        <f>IFERROR(VLOOKUP(tbl_clean_sales[[#This Row],[Branch_ID]],'04_Branch_Master'!$A$1:$C$7,3,FALSE),"Missing")</f>
        <v>North</v>
      </c>
      <c r="T152" s="25" t="str">
        <f>C152&amp;"|"&amp;TEXT(tbl_clean_sales[[#This Row],[Date]],"yyyymm")</f>
        <v>E004|202604</v>
      </c>
      <c r="U152" s="25">
        <f>IFERROR(INDEX('05_Target_Master'!$A$1:$F$32,MATCH(tbl_clean_sales[[#This Row],[target key]],'05_Target_Master'!$F$1:$F$32,0),3),"Missing")</f>
        <v>163600</v>
      </c>
    </row>
    <row r="153" spans="1:21" x14ac:dyDescent="0.3">
      <c r="A153" s="21">
        <v>46119</v>
      </c>
      <c r="B153" s="22" t="s">
        <v>185</v>
      </c>
      <c r="C153" s="22" t="s">
        <v>12</v>
      </c>
      <c r="D153" s="22" t="s">
        <v>82</v>
      </c>
      <c r="E153" s="22" t="s">
        <v>14</v>
      </c>
      <c r="F153" s="22">
        <v>5</v>
      </c>
      <c r="G153" s="23">
        <v>568.46</v>
      </c>
      <c r="H153" s="25" t="str">
        <f>IF(COUNTIF(tbl_clean_sales[Invoice_ID],tbl_clean_sales[[#This Row],[Invoice_ID]])&gt;1,"Duplicate","Unique")</f>
        <v>Unique</v>
      </c>
      <c r="I153" s="25"/>
      <c r="J15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3" s="25" t="str">
        <f>IFERROR(VLOOKUP(tbl_clean_sales[[#This Row],[Employee_ID]],'02_Employee_Master'!$A$1:$C$12,2,FALSE),"Employee Name Missing")</f>
        <v>Divya R</v>
      </c>
      <c r="L153" s="25" t="str">
        <f>IFERROR(VLOOKUP(tbl_clean_sales[[#This Row],[Employee_ID]],'02_Employee_Master'!$A$1:$C$12,3,FALSE),"Department Name Missing")</f>
        <v>Sales</v>
      </c>
      <c r="M153" s="25" t="str">
        <f>IF('03_Clean_data'!D153="","Missing",IFERROR(IF(VLOOKUP(D153,'03_Product_Master'!$A$1:$D$14,1,FALSE)='03_Clean_data'!D153,"Valid","Invalid"),"Invalid"))</f>
        <v>Valid</v>
      </c>
      <c r="N153" s="25" t="str">
        <f>IFERROR(VLOOKUP(tbl_clean_sales[[#This Row],[Product_ID]],'03_Product_Master'!$A$1:$D$14,2,FALSE),"Missing")</f>
        <v>Chocolate Bar</v>
      </c>
      <c r="O153" s="25" t="str">
        <f>IFERROR(VLOOKUP(tbl_clean_sales[[#This Row],[Product_ID]],'03_Product_Master'!$A$1:$D$14,3,FALSE),"Missing")</f>
        <v>Snacks</v>
      </c>
      <c r="P153" s="25">
        <f>IFERROR(VLOOKUP(tbl_clean_sales[[#This Row],[Product_ID]],'03_Product_Master'!$A$1:$D$14,4,FALSE),"Missing")</f>
        <v>120</v>
      </c>
      <c r="Q153" s="25" t="str">
        <f>IF('03_Clean_data'!E153="","Missing",IFERROR(IF(VLOOKUP(E153,'04_Branch_Master'!$A$1:$C$7,1,FALSE)='03_Clean_data'!E153,"Valid","Invalid"),"Invalid"))</f>
        <v>Valid</v>
      </c>
      <c r="R153" s="25" t="str">
        <f>IFERROR(VLOOKUP(tbl_clean_sales[[#This Row],[Branch_ID]],'04_Branch_Master'!$A$1:$C$7,2,FALSE),"Missing")</f>
        <v>Avinashi Road</v>
      </c>
      <c r="S153" s="25" t="str">
        <f>IFERROR(VLOOKUP(tbl_clean_sales[[#This Row],[Branch_ID]],'04_Branch_Master'!$A$1:$C$7,3,FALSE),"Missing")</f>
        <v>North</v>
      </c>
      <c r="T153" s="25" t="str">
        <f>C153&amp;"|"&amp;TEXT(tbl_clean_sales[[#This Row],[Date]],"yyyymm")</f>
        <v>E004|202604</v>
      </c>
      <c r="U153" s="25">
        <f>IFERROR(INDEX('05_Target_Master'!$A$1:$F$32,MATCH(tbl_clean_sales[[#This Row],[target key]],'05_Target_Master'!$F$1:$F$32,0),3),"Missing")</f>
        <v>163600</v>
      </c>
    </row>
    <row r="154" spans="1:21" x14ac:dyDescent="0.3">
      <c r="A154" s="21">
        <v>46202</v>
      </c>
      <c r="B154" s="22" t="s">
        <v>186</v>
      </c>
      <c r="C154" s="22" t="s">
        <v>38</v>
      </c>
      <c r="D154" s="22" t="s">
        <v>9</v>
      </c>
      <c r="E154" s="22" t="s">
        <v>32</v>
      </c>
      <c r="F154" s="22">
        <v>11</v>
      </c>
      <c r="G154" s="23">
        <v>2854.96</v>
      </c>
      <c r="H154" s="25" t="str">
        <f>IF(COUNTIF(tbl_clean_sales[Invoice_ID],tbl_clean_sales[[#This Row],[Invoice_ID]])&gt;1,"Duplicate","Unique")</f>
        <v>Unique</v>
      </c>
      <c r="I154" s="25"/>
      <c r="J15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4" s="25" t="str">
        <f>IFERROR(VLOOKUP(tbl_clean_sales[[#This Row],[Employee_ID]],'02_Employee_Master'!$A$1:$C$12,2,FALSE),"Employee Name Missing")</f>
        <v>Nandhini K</v>
      </c>
      <c r="L154" s="25" t="str">
        <f>IFERROR(VLOOKUP(tbl_clean_sales[[#This Row],[Employee_ID]],'02_Employee_Master'!$A$1:$C$12,3,FALSE),"Department Name Missing")</f>
        <v>Sales</v>
      </c>
      <c r="M154" s="25" t="str">
        <f>IF('03_Clean_data'!D154="","Missing",IFERROR(IF(VLOOKUP(D154,'03_Product_Master'!$A$1:$D$14,1,FALSE)='03_Clean_data'!D154,"Valid","Invalid"),"Invalid"))</f>
        <v>Valid</v>
      </c>
      <c r="N154" s="25" t="str">
        <f>IFERROR(VLOOKUP(tbl_clean_sales[[#This Row],[Product_ID]],'03_Product_Master'!$A$1:$D$14,2,FALSE),"Missing")</f>
        <v>Green Tea</v>
      </c>
      <c r="O154" s="25" t="str">
        <f>IFERROR(VLOOKUP(tbl_clean_sales[[#This Row],[Product_ID]],'03_Product_Master'!$A$1:$D$14,3,FALSE),"Missing")</f>
        <v>Beverages</v>
      </c>
      <c r="P154" s="25">
        <f>IFERROR(VLOOKUP(tbl_clean_sales[[#This Row],[Product_ID]],'03_Product_Master'!$A$1:$D$14,4,FALSE),"Missing")</f>
        <v>280</v>
      </c>
      <c r="Q154" s="25" t="str">
        <f>IF('03_Clean_data'!E154="","Missing",IFERROR(IF(VLOOKUP(E154,'04_Branch_Master'!$A$1:$C$7,1,FALSE)='03_Clean_data'!E154,"Valid","Invalid"),"Invalid"))</f>
        <v>Valid</v>
      </c>
      <c r="R154" s="25" t="str">
        <f>IFERROR(VLOOKUP(tbl_clean_sales[[#This Row],[Branch_ID]],'04_Branch_Master'!$A$1:$C$7,2,FALSE),"Missing")</f>
        <v>Kangeyam</v>
      </c>
      <c r="S154" s="25" t="str">
        <f>IFERROR(VLOOKUP(tbl_clean_sales[[#This Row],[Branch_ID]],'04_Branch_Master'!$A$1:$C$7,3,FALSE),"Missing")</f>
        <v>East</v>
      </c>
      <c r="T154" s="25" t="str">
        <f>C154&amp;"|"&amp;TEXT(tbl_clean_sales[[#This Row],[Date]],"yyyymm")</f>
        <v>E008|202606</v>
      </c>
      <c r="U154" s="25">
        <f>IFERROR(INDEX('05_Target_Master'!$A$1:$F$32,MATCH(tbl_clean_sales[[#This Row],[target key]],'05_Target_Master'!$F$1:$F$32,0),3),"Missing")</f>
        <v>119200</v>
      </c>
    </row>
    <row r="155" spans="1:21" x14ac:dyDescent="0.3">
      <c r="A155" s="21">
        <v>46143</v>
      </c>
      <c r="B155" s="22" t="s">
        <v>187</v>
      </c>
      <c r="C155" s="22" t="s">
        <v>18</v>
      </c>
      <c r="D155" s="22" t="s">
        <v>82</v>
      </c>
      <c r="E155" s="22" t="s">
        <v>14</v>
      </c>
      <c r="F155" s="22">
        <v>9</v>
      </c>
      <c r="G155" s="23">
        <v>1027.1199999999999</v>
      </c>
      <c r="H155" s="25" t="str">
        <f>IF(COUNTIF(tbl_clean_sales[Invoice_ID],tbl_clean_sales[[#This Row],[Invoice_ID]])&gt;1,"Duplicate","Unique")</f>
        <v>Unique</v>
      </c>
      <c r="I155" s="25"/>
      <c r="J15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5" s="25" t="str">
        <f>IFERROR(VLOOKUP(tbl_clean_sales[[#This Row],[Employee_ID]],'02_Employee_Master'!$A$1:$C$12,2,FALSE),"Employee Name Missing")</f>
        <v>Rahul M</v>
      </c>
      <c r="L155" s="25" t="str">
        <f>IFERROR(VLOOKUP(tbl_clean_sales[[#This Row],[Employee_ID]],'02_Employee_Master'!$A$1:$C$12,3,FALSE),"Department Name Missing")</f>
        <v>Sales</v>
      </c>
      <c r="M155" s="25" t="str">
        <f>IF('03_Clean_data'!D155="","Missing",IFERROR(IF(VLOOKUP(D155,'03_Product_Master'!$A$1:$D$14,1,FALSE)='03_Clean_data'!D155,"Valid","Invalid"),"Invalid"))</f>
        <v>Valid</v>
      </c>
      <c r="N155" s="25" t="str">
        <f>IFERROR(VLOOKUP(tbl_clean_sales[[#This Row],[Product_ID]],'03_Product_Master'!$A$1:$D$14,2,FALSE),"Missing")</f>
        <v>Chocolate Bar</v>
      </c>
      <c r="O155" s="25" t="str">
        <f>IFERROR(VLOOKUP(tbl_clean_sales[[#This Row],[Product_ID]],'03_Product_Master'!$A$1:$D$14,3,FALSE),"Missing")</f>
        <v>Snacks</v>
      </c>
      <c r="P155" s="25">
        <f>IFERROR(VLOOKUP(tbl_clean_sales[[#This Row],[Product_ID]],'03_Product_Master'!$A$1:$D$14,4,FALSE),"Missing")</f>
        <v>120</v>
      </c>
      <c r="Q155" s="25" t="str">
        <f>IF('03_Clean_data'!E155="","Missing",IFERROR(IF(VLOOKUP(E155,'04_Branch_Master'!$A$1:$C$7,1,FALSE)='03_Clean_data'!E155,"Valid","Invalid"),"Invalid"))</f>
        <v>Valid</v>
      </c>
      <c r="R155" s="25" t="str">
        <f>IFERROR(VLOOKUP(tbl_clean_sales[[#This Row],[Branch_ID]],'04_Branch_Master'!$A$1:$C$7,2,FALSE),"Missing")</f>
        <v>Avinashi Road</v>
      </c>
      <c r="S155" s="25" t="str">
        <f>IFERROR(VLOOKUP(tbl_clean_sales[[#This Row],[Branch_ID]],'04_Branch_Master'!$A$1:$C$7,3,FALSE),"Missing")</f>
        <v>North</v>
      </c>
      <c r="T155" s="25" t="str">
        <f>C155&amp;"|"&amp;TEXT(tbl_clean_sales[[#This Row],[Date]],"yyyymm")</f>
        <v>E003|202605</v>
      </c>
      <c r="U155" s="25">
        <f>IFERROR(INDEX('05_Target_Master'!$A$1:$F$32,MATCH(tbl_clean_sales[[#This Row],[target key]],'05_Target_Master'!$F$1:$F$32,0),3),"Missing")</f>
        <v>126000</v>
      </c>
    </row>
    <row r="156" spans="1:21" x14ac:dyDescent="0.3">
      <c r="A156" s="21">
        <v>46141</v>
      </c>
      <c r="B156" s="22" t="s">
        <v>188</v>
      </c>
      <c r="C156" s="22" t="s">
        <v>21</v>
      </c>
      <c r="D156" s="22" t="s">
        <v>48</v>
      </c>
      <c r="E156" s="22" t="s">
        <v>14</v>
      </c>
      <c r="F156" s="22">
        <v>8</v>
      </c>
      <c r="G156" s="23">
        <v>1847.21</v>
      </c>
      <c r="H156" s="25" t="str">
        <f>IF(COUNTIF(tbl_clean_sales[Invoice_ID],tbl_clean_sales[[#This Row],[Invoice_ID]])&gt;1,"Duplicate","Unique")</f>
        <v>Unique</v>
      </c>
      <c r="I156" s="25"/>
      <c r="J15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6" s="25" t="str">
        <f>IFERROR(VLOOKUP(tbl_clean_sales[[#This Row],[Employee_ID]],'02_Employee_Master'!$A$1:$C$12,2,FALSE),"Employee Name Missing")</f>
        <v>Priya S</v>
      </c>
      <c r="L156" s="25" t="str">
        <f>IFERROR(VLOOKUP(tbl_clean_sales[[#This Row],[Employee_ID]],'02_Employee_Master'!$A$1:$C$12,3,FALSE),"Department Name Missing")</f>
        <v>Sales</v>
      </c>
      <c r="M156" s="25" t="str">
        <f>IF('03_Clean_data'!D156="","Missing",IFERROR(IF(VLOOKUP(D156,'03_Product_Master'!$A$1:$D$14,1,FALSE)='03_Clean_data'!D156,"Valid","Invalid"),"Invalid"))</f>
        <v>Valid</v>
      </c>
      <c r="N156" s="25" t="str">
        <f>IFERROR(VLOOKUP(tbl_clean_sales[[#This Row],[Product_ID]],'03_Product_Master'!$A$1:$D$14,2,FALSE),"Missing")</f>
        <v>Face Wash</v>
      </c>
      <c r="O156" s="25" t="str">
        <f>IFERROR(VLOOKUP(tbl_clean_sales[[#This Row],[Product_ID]],'03_Product_Master'!$A$1:$D$14,3,FALSE),"Missing")</f>
        <v>Personal Care</v>
      </c>
      <c r="P156" s="25">
        <f>IFERROR(VLOOKUP(tbl_clean_sales[[#This Row],[Product_ID]],'03_Product_Master'!$A$1:$D$14,4,FALSE),"Missing")</f>
        <v>260</v>
      </c>
      <c r="Q156" s="25" t="str">
        <f>IF('03_Clean_data'!E156="","Missing",IFERROR(IF(VLOOKUP(E156,'04_Branch_Master'!$A$1:$C$7,1,FALSE)='03_Clean_data'!E156,"Valid","Invalid"),"Invalid"))</f>
        <v>Valid</v>
      </c>
      <c r="R156" s="25" t="str">
        <f>IFERROR(VLOOKUP(tbl_clean_sales[[#This Row],[Branch_ID]],'04_Branch_Master'!$A$1:$C$7,2,FALSE),"Missing")</f>
        <v>Avinashi Road</v>
      </c>
      <c r="S156" s="25" t="str">
        <f>IFERROR(VLOOKUP(tbl_clean_sales[[#This Row],[Branch_ID]],'04_Branch_Master'!$A$1:$C$7,3,FALSE),"Missing")</f>
        <v>North</v>
      </c>
      <c r="T156" s="25" t="str">
        <f>C156&amp;"|"&amp;TEXT(tbl_clean_sales[[#This Row],[Date]],"yyyymm")</f>
        <v>E002|202604</v>
      </c>
      <c r="U156" s="25">
        <f>IFERROR(INDEX('05_Target_Master'!$A$1:$F$32,MATCH(tbl_clean_sales[[#This Row],[target key]],'05_Target_Master'!$F$1:$F$32,0),3),"Missing")</f>
        <v>122300</v>
      </c>
    </row>
    <row r="157" spans="1:21" x14ac:dyDescent="0.3">
      <c r="A157" s="21">
        <v>46150</v>
      </c>
      <c r="B157" s="22" t="s">
        <v>189</v>
      </c>
      <c r="C157" s="22" t="s">
        <v>8</v>
      </c>
      <c r="D157" s="22" t="s">
        <v>19</v>
      </c>
      <c r="E157" s="22" t="s">
        <v>10</v>
      </c>
      <c r="F157" s="22">
        <v>8</v>
      </c>
      <c r="G157" s="23">
        <v>1623.56</v>
      </c>
      <c r="H157" s="25" t="str">
        <f>IF(COUNTIF(tbl_clean_sales[Invoice_ID],tbl_clean_sales[[#This Row],[Invoice_ID]])&gt;1,"Duplicate","Unique")</f>
        <v>Unique</v>
      </c>
      <c r="I157" s="25"/>
      <c r="J15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7" s="25" t="str">
        <f>IFERROR(VLOOKUP(tbl_clean_sales[[#This Row],[Employee_ID]],'02_Employee_Master'!$A$1:$C$12,2,FALSE),"Employee Name Missing")</f>
        <v>Vignesh R</v>
      </c>
      <c r="L157" s="25" t="str">
        <f>IFERROR(VLOOKUP(tbl_clean_sales[[#This Row],[Employee_ID]],'02_Employee_Master'!$A$1:$C$12,3,FALSE),"Department Name Missing")</f>
        <v>Sales</v>
      </c>
      <c r="M157" s="25" t="str">
        <f>IF('03_Clean_data'!D157="","Missing",IFERROR(IF(VLOOKUP(D157,'03_Product_Master'!$A$1:$D$14,1,FALSE)='03_Clean_data'!D157,"Valid","Invalid"),"Invalid"))</f>
        <v>Valid</v>
      </c>
      <c r="N157" s="25" t="str">
        <f>IFERROR(VLOOKUP(tbl_clean_sales[[#This Row],[Product_ID]],'03_Product_Master'!$A$1:$D$14,2,FALSE),"Missing")</f>
        <v>Floor Cleaner</v>
      </c>
      <c r="O157" s="25" t="str">
        <f>IFERROR(VLOOKUP(tbl_clean_sales[[#This Row],[Product_ID]],'03_Product_Master'!$A$1:$D$14,3,FALSE),"Missing")</f>
        <v>Home Care</v>
      </c>
      <c r="P157" s="25">
        <f>IFERROR(VLOOKUP(tbl_clean_sales[[#This Row],[Product_ID]],'03_Product_Master'!$A$1:$D$14,4,FALSE),"Missing")</f>
        <v>230</v>
      </c>
      <c r="Q157" s="25" t="str">
        <f>IF('03_Clean_data'!E157="","Missing",IFERROR(IF(VLOOKUP(E157,'04_Branch_Master'!$A$1:$C$7,1,FALSE)='03_Clean_data'!E157,"Valid","Invalid"),"Invalid"))</f>
        <v>Valid</v>
      </c>
      <c r="R157" s="25" t="str">
        <f>IFERROR(VLOOKUP(tbl_clean_sales[[#This Row],[Branch_ID]],'04_Branch_Master'!$A$1:$C$7,2,FALSE),"Missing")</f>
        <v>Dharapuram</v>
      </c>
      <c r="S157" s="25" t="str">
        <f>IFERROR(VLOOKUP(tbl_clean_sales[[#This Row],[Branch_ID]],'04_Branch_Master'!$A$1:$C$7,3,FALSE),"Missing")</f>
        <v>South</v>
      </c>
      <c r="T157" s="25" t="str">
        <f>C157&amp;"|"&amp;TEXT(tbl_clean_sales[[#This Row],[Date]],"yyyymm")</f>
        <v>E009|202605</v>
      </c>
      <c r="U157" s="25">
        <f>IFERROR(INDEX('05_Target_Master'!$A$1:$F$32,MATCH(tbl_clean_sales[[#This Row],[target key]],'05_Target_Master'!$F$1:$F$32,0),3),"Missing")</f>
        <v>176300</v>
      </c>
    </row>
    <row r="158" spans="1:21" x14ac:dyDescent="0.3">
      <c r="A158" s="21">
        <v>46144</v>
      </c>
      <c r="B158" s="22" t="s">
        <v>190</v>
      </c>
      <c r="C158" s="22" t="s">
        <v>38</v>
      </c>
      <c r="D158" s="22" t="s">
        <v>13</v>
      </c>
      <c r="E158" s="22" t="s">
        <v>32</v>
      </c>
      <c r="F158" s="22">
        <v>4</v>
      </c>
      <c r="G158" s="23">
        <v>1387.43</v>
      </c>
      <c r="H158" s="25" t="str">
        <f>IF(COUNTIF(tbl_clean_sales[Invoice_ID],tbl_clean_sales[[#This Row],[Invoice_ID]])&gt;1,"Duplicate","Unique")</f>
        <v>Unique</v>
      </c>
      <c r="I158" s="25"/>
      <c r="J15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8" s="25" t="str">
        <f>IFERROR(VLOOKUP(tbl_clean_sales[[#This Row],[Employee_ID]],'02_Employee_Master'!$A$1:$C$12,2,FALSE),"Employee Name Missing")</f>
        <v>Nandhini K</v>
      </c>
      <c r="L158" s="25" t="str">
        <f>IFERROR(VLOOKUP(tbl_clean_sales[[#This Row],[Employee_ID]],'02_Employee_Master'!$A$1:$C$12,3,FALSE),"Department Name Missing")</f>
        <v>Sales</v>
      </c>
      <c r="M158" s="25" t="str">
        <f>IF('03_Clean_data'!D158="","Missing",IFERROR(IF(VLOOKUP(D158,'03_Product_Master'!$A$1:$D$14,1,FALSE)='03_Clean_data'!D158,"Valid","Invalid"),"Invalid"))</f>
        <v>Valid</v>
      </c>
      <c r="N158" s="25" t="str">
        <f>IFERROR(VLOOKUP(tbl_clean_sales[[#This Row],[Product_ID]],'03_Product_Master'!$A$1:$D$14,2,FALSE),"Missing")</f>
        <v>Body Lotion</v>
      </c>
      <c r="O158" s="25" t="str">
        <f>IFERROR(VLOOKUP(tbl_clean_sales[[#This Row],[Product_ID]],'03_Product_Master'!$A$1:$D$14,3,FALSE),"Missing")</f>
        <v>Personal Care</v>
      </c>
      <c r="P158" s="25">
        <f>IFERROR(VLOOKUP(tbl_clean_sales[[#This Row],[Product_ID]],'03_Product_Master'!$A$1:$D$14,4,FALSE),"Missing")</f>
        <v>390</v>
      </c>
      <c r="Q158" s="25" t="str">
        <f>IF('03_Clean_data'!E158="","Missing",IFERROR(IF(VLOOKUP(E158,'04_Branch_Master'!$A$1:$C$7,1,FALSE)='03_Clean_data'!E158,"Valid","Invalid"),"Invalid"))</f>
        <v>Valid</v>
      </c>
      <c r="R158" s="25" t="str">
        <f>IFERROR(VLOOKUP(tbl_clean_sales[[#This Row],[Branch_ID]],'04_Branch_Master'!$A$1:$C$7,2,FALSE),"Missing")</f>
        <v>Kangeyam</v>
      </c>
      <c r="S158" s="25" t="str">
        <f>IFERROR(VLOOKUP(tbl_clean_sales[[#This Row],[Branch_ID]],'04_Branch_Master'!$A$1:$C$7,3,FALSE),"Missing")</f>
        <v>East</v>
      </c>
      <c r="T158" s="25" t="str">
        <f>C158&amp;"|"&amp;TEXT(tbl_clean_sales[[#This Row],[Date]],"yyyymm")</f>
        <v>E008|202605</v>
      </c>
      <c r="U158" s="25">
        <f>IFERROR(INDEX('05_Target_Master'!$A$1:$F$32,MATCH(tbl_clean_sales[[#This Row],[target key]],'05_Target_Master'!$F$1:$F$32,0),3),"Missing")</f>
        <v>134100</v>
      </c>
    </row>
    <row r="159" spans="1:21" x14ac:dyDescent="0.3">
      <c r="A159" s="21">
        <v>46178</v>
      </c>
      <c r="B159" s="22" t="s">
        <v>191</v>
      </c>
      <c r="C159" s="22" t="s">
        <v>18</v>
      </c>
      <c r="D159" s="22" t="s">
        <v>9</v>
      </c>
      <c r="E159" s="22" t="s">
        <v>14</v>
      </c>
      <c r="F159" s="22">
        <v>7</v>
      </c>
      <c r="G159" s="23">
        <v>1880.06</v>
      </c>
      <c r="H159" s="25" t="str">
        <f>IF(COUNTIF(tbl_clean_sales[Invoice_ID],tbl_clean_sales[[#This Row],[Invoice_ID]])&gt;1,"Duplicate","Unique")</f>
        <v>Unique</v>
      </c>
      <c r="I159" s="25"/>
      <c r="J15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59" s="25" t="str">
        <f>IFERROR(VLOOKUP(tbl_clean_sales[[#This Row],[Employee_ID]],'02_Employee_Master'!$A$1:$C$12,2,FALSE),"Employee Name Missing")</f>
        <v>Rahul M</v>
      </c>
      <c r="L159" s="25" t="str">
        <f>IFERROR(VLOOKUP(tbl_clean_sales[[#This Row],[Employee_ID]],'02_Employee_Master'!$A$1:$C$12,3,FALSE),"Department Name Missing")</f>
        <v>Sales</v>
      </c>
      <c r="M159" s="25" t="str">
        <f>IF('03_Clean_data'!D159="","Missing",IFERROR(IF(VLOOKUP(D159,'03_Product_Master'!$A$1:$D$14,1,FALSE)='03_Clean_data'!D159,"Valid","Invalid"),"Invalid"))</f>
        <v>Valid</v>
      </c>
      <c r="N159" s="25" t="str">
        <f>IFERROR(VLOOKUP(tbl_clean_sales[[#This Row],[Product_ID]],'03_Product_Master'!$A$1:$D$14,2,FALSE),"Missing")</f>
        <v>Green Tea</v>
      </c>
      <c r="O159" s="25" t="str">
        <f>IFERROR(VLOOKUP(tbl_clean_sales[[#This Row],[Product_ID]],'03_Product_Master'!$A$1:$D$14,3,FALSE),"Missing")</f>
        <v>Beverages</v>
      </c>
      <c r="P159" s="25">
        <f>IFERROR(VLOOKUP(tbl_clean_sales[[#This Row],[Product_ID]],'03_Product_Master'!$A$1:$D$14,4,FALSE),"Missing")</f>
        <v>280</v>
      </c>
      <c r="Q159" s="25" t="str">
        <f>IF('03_Clean_data'!E159="","Missing",IFERROR(IF(VLOOKUP(E159,'04_Branch_Master'!$A$1:$C$7,1,FALSE)='03_Clean_data'!E159,"Valid","Invalid"),"Invalid"))</f>
        <v>Valid</v>
      </c>
      <c r="R159" s="25" t="str">
        <f>IFERROR(VLOOKUP(tbl_clean_sales[[#This Row],[Branch_ID]],'04_Branch_Master'!$A$1:$C$7,2,FALSE),"Missing")</f>
        <v>Avinashi Road</v>
      </c>
      <c r="S159" s="25" t="str">
        <f>IFERROR(VLOOKUP(tbl_clean_sales[[#This Row],[Branch_ID]],'04_Branch_Master'!$A$1:$C$7,3,FALSE),"Missing")</f>
        <v>North</v>
      </c>
      <c r="T159" s="25" t="str">
        <f>C159&amp;"|"&amp;TEXT(tbl_clean_sales[[#This Row],[Date]],"yyyymm")</f>
        <v>E003|202606</v>
      </c>
      <c r="U159" s="25">
        <f>IFERROR(INDEX('05_Target_Master'!$A$1:$F$32,MATCH(tbl_clean_sales[[#This Row],[target key]],'05_Target_Master'!$F$1:$F$32,0),3),"Missing")</f>
        <v>112000</v>
      </c>
    </row>
    <row r="160" spans="1:21" x14ac:dyDescent="0.3">
      <c r="A160" s="21">
        <v>46177</v>
      </c>
      <c r="B160" s="22" t="s">
        <v>192</v>
      </c>
      <c r="C160" s="22" t="s">
        <v>24</v>
      </c>
      <c r="D160" s="22" t="s">
        <v>25</v>
      </c>
      <c r="E160" s="22" t="s">
        <v>26</v>
      </c>
      <c r="F160" s="22">
        <v>5</v>
      </c>
      <c r="G160" s="23">
        <v>1888.96</v>
      </c>
      <c r="H160" s="25" t="str">
        <f>IF(COUNTIF(tbl_clean_sales[Invoice_ID],tbl_clean_sales[[#This Row],[Invoice_ID]])&gt;1,"Duplicate","Unique")</f>
        <v>Unique</v>
      </c>
      <c r="I160" s="25"/>
      <c r="J16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0" s="25" t="str">
        <f>IFERROR(VLOOKUP(tbl_clean_sales[[#This Row],[Employee_ID]],'02_Employee_Master'!$A$1:$C$12,2,FALSE),"Employee Name Missing")</f>
        <v>Karthik P</v>
      </c>
      <c r="L160" s="25" t="str">
        <f>IFERROR(VLOOKUP(tbl_clean_sales[[#This Row],[Employee_ID]],'02_Employee_Master'!$A$1:$C$12,3,FALSE),"Department Name Missing")</f>
        <v>Sales</v>
      </c>
      <c r="M160" s="25" t="str">
        <f>IF('03_Clean_data'!D160="","Missing",IFERROR(IF(VLOOKUP(D160,'03_Product_Master'!$A$1:$D$14,1,FALSE)='03_Clean_data'!D160,"Valid","Invalid"),"Invalid"))</f>
        <v>Valid</v>
      </c>
      <c r="N160" s="25" t="str">
        <f>IFERROR(VLOOKUP(tbl_clean_sales[[#This Row],[Product_ID]],'03_Product_Master'!$A$1:$D$14,2,FALSE),"Missing")</f>
        <v>Premium Coffee</v>
      </c>
      <c r="O160" s="25" t="str">
        <f>IFERROR(VLOOKUP(tbl_clean_sales[[#This Row],[Product_ID]],'03_Product_Master'!$A$1:$D$14,3,FALSE),"Missing")</f>
        <v>Beverages</v>
      </c>
      <c r="P160" s="25">
        <f>IFERROR(VLOOKUP(tbl_clean_sales[[#This Row],[Product_ID]],'03_Product_Master'!$A$1:$D$14,4,FALSE),"Missing")</f>
        <v>420</v>
      </c>
      <c r="Q160" s="25" t="str">
        <f>IF('03_Clean_data'!E160="","Missing",IFERROR(IF(VLOOKUP(E160,'04_Branch_Master'!$A$1:$C$7,1,FALSE)='03_Clean_data'!E160,"Valid","Invalid"),"Invalid"))</f>
        <v>Valid</v>
      </c>
      <c r="R160" s="25" t="str">
        <f>IFERROR(VLOOKUP(tbl_clean_sales[[#This Row],[Branch_ID]],'04_Branch_Master'!$A$1:$C$7,2,FALSE),"Missing")</f>
        <v>Palladam</v>
      </c>
      <c r="S160" s="25" t="str">
        <f>IFERROR(VLOOKUP(tbl_clean_sales[[#This Row],[Branch_ID]],'04_Branch_Master'!$A$1:$C$7,3,FALSE),"Missing")</f>
        <v>South</v>
      </c>
      <c r="T160" s="25" t="str">
        <f>C160&amp;"|"&amp;TEXT(tbl_clean_sales[[#This Row],[Date]],"yyyymm")</f>
        <v>E005|202606</v>
      </c>
      <c r="U160" s="25">
        <f>IFERROR(INDEX('05_Target_Master'!$A$1:$F$32,MATCH(tbl_clean_sales[[#This Row],[target key]],'05_Target_Master'!$F$1:$F$32,0),3),"Missing")</f>
        <v>127700</v>
      </c>
    </row>
    <row r="161" spans="1:21" x14ac:dyDescent="0.3">
      <c r="A161" s="21">
        <v>46187</v>
      </c>
      <c r="B161" s="22" t="s">
        <v>193</v>
      </c>
      <c r="C161" s="22" t="s">
        <v>38</v>
      </c>
      <c r="D161" s="22" t="s">
        <v>53</v>
      </c>
      <c r="E161" s="22" t="s">
        <v>32</v>
      </c>
      <c r="F161" s="22">
        <v>8</v>
      </c>
      <c r="G161" s="23">
        <v>2684.04</v>
      </c>
      <c r="H161" s="25" t="str">
        <f>IF(COUNTIF(tbl_clean_sales[Invoice_ID],tbl_clean_sales[[#This Row],[Invoice_ID]])&gt;1,"Duplicate","Unique")</f>
        <v>Unique</v>
      </c>
      <c r="I161" s="25"/>
      <c r="J16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1" s="25" t="str">
        <f>IFERROR(VLOOKUP(tbl_clean_sales[[#This Row],[Employee_ID]],'02_Employee_Master'!$A$1:$C$12,2,FALSE),"Employee Name Missing")</f>
        <v>Nandhini K</v>
      </c>
      <c r="L161" s="25" t="str">
        <f>IFERROR(VLOOKUP(tbl_clean_sales[[#This Row],[Employee_ID]],'02_Employee_Master'!$A$1:$C$12,3,FALSE),"Department Name Missing")</f>
        <v>Sales</v>
      </c>
      <c r="M161" s="25" t="str">
        <f>IF('03_Clean_data'!D161="","Missing",IFERROR(IF(VLOOKUP(D161,'03_Product_Master'!$A$1:$D$14,1,FALSE)='03_Clean_data'!D161,"Valid","Invalid"),"Invalid"))</f>
        <v>Valid</v>
      </c>
      <c r="N161" s="25" t="str">
        <f>IFERROR(VLOOKUP(tbl_clean_sales[[#This Row],[Product_ID]],'03_Product_Master'!$A$1:$D$14,2,FALSE),"Missing")</f>
        <v>Instant Coffee</v>
      </c>
      <c r="O161" s="25" t="str">
        <f>IFERROR(VLOOKUP(tbl_clean_sales[[#This Row],[Product_ID]],'03_Product_Master'!$A$1:$D$14,3,FALSE),"Missing")</f>
        <v>Beverages</v>
      </c>
      <c r="P161" s="25">
        <f>IFERROR(VLOOKUP(tbl_clean_sales[[#This Row],[Product_ID]],'03_Product_Master'!$A$1:$D$14,4,FALSE),"Missing")</f>
        <v>350</v>
      </c>
      <c r="Q161" s="25" t="str">
        <f>IF('03_Clean_data'!E161="","Missing",IFERROR(IF(VLOOKUP(E161,'04_Branch_Master'!$A$1:$C$7,1,FALSE)='03_Clean_data'!E161,"Valid","Invalid"),"Invalid"))</f>
        <v>Valid</v>
      </c>
      <c r="R161" s="25" t="str">
        <f>IFERROR(VLOOKUP(tbl_clean_sales[[#This Row],[Branch_ID]],'04_Branch_Master'!$A$1:$C$7,2,FALSE),"Missing")</f>
        <v>Kangeyam</v>
      </c>
      <c r="S161" s="25" t="str">
        <f>IFERROR(VLOOKUP(tbl_clean_sales[[#This Row],[Branch_ID]],'04_Branch_Master'!$A$1:$C$7,3,FALSE),"Missing")</f>
        <v>East</v>
      </c>
      <c r="T161" s="25" t="str">
        <f>C161&amp;"|"&amp;TEXT(tbl_clean_sales[[#This Row],[Date]],"yyyymm")</f>
        <v>E008|202606</v>
      </c>
      <c r="U161" s="25">
        <f>IFERROR(INDEX('05_Target_Master'!$A$1:$F$32,MATCH(tbl_clean_sales[[#This Row],[target key]],'05_Target_Master'!$F$1:$F$32,0),3),"Missing")</f>
        <v>119200</v>
      </c>
    </row>
    <row r="162" spans="1:21" x14ac:dyDescent="0.3">
      <c r="A162" s="21">
        <v>46183</v>
      </c>
      <c r="B162" s="22" t="s">
        <v>194</v>
      </c>
      <c r="C162" s="22" t="s">
        <v>8</v>
      </c>
      <c r="D162" s="22" t="s">
        <v>16</v>
      </c>
      <c r="E162" s="22" t="s">
        <v>10</v>
      </c>
      <c r="F162" s="22">
        <v>6</v>
      </c>
      <c r="G162" s="23">
        <v>1665.9</v>
      </c>
      <c r="H162" s="25" t="str">
        <f>IF(COUNTIF(tbl_clean_sales[Invoice_ID],tbl_clean_sales[[#This Row],[Invoice_ID]])&gt;1,"Duplicate","Unique")</f>
        <v>Unique</v>
      </c>
      <c r="I162" s="25"/>
      <c r="J16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2" s="25" t="str">
        <f>IFERROR(VLOOKUP(tbl_clean_sales[[#This Row],[Employee_ID]],'02_Employee_Master'!$A$1:$C$12,2,FALSE),"Employee Name Missing")</f>
        <v>Vignesh R</v>
      </c>
      <c r="L162" s="25" t="str">
        <f>IFERROR(VLOOKUP(tbl_clean_sales[[#This Row],[Employee_ID]],'02_Employee_Master'!$A$1:$C$12,3,FALSE),"Department Name Missing")</f>
        <v>Sales</v>
      </c>
      <c r="M162" s="25" t="str">
        <f>IF('03_Clean_data'!D162="","Missing",IFERROR(IF(VLOOKUP(D162,'03_Product_Master'!$A$1:$D$14,1,FALSE)='03_Clean_data'!D162,"Valid","Invalid"),"Invalid"))</f>
        <v>Valid</v>
      </c>
      <c r="N162" s="25" t="str">
        <f>IFERROR(VLOOKUP(tbl_clean_sales[[#This Row],[Product_ID]],'03_Product_Master'!$A$1:$D$14,2,FALSE),"Missing")</f>
        <v>Shampoo</v>
      </c>
      <c r="O162" s="25" t="str">
        <f>IFERROR(VLOOKUP(tbl_clean_sales[[#This Row],[Product_ID]],'03_Product_Master'!$A$1:$D$14,3,FALSE),"Missing")</f>
        <v>Personal Care</v>
      </c>
      <c r="P162" s="25">
        <f>IFERROR(VLOOKUP(tbl_clean_sales[[#This Row],[Product_ID]],'03_Product_Master'!$A$1:$D$14,4,FALSE),"Missing")</f>
        <v>310</v>
      </c>
      <c r="Q162" s="25" t="str">
        <f>IF('03_Clean_data'!E162="","Missing",IFERROR(IF(VLOOKUP(E162,'04_Branch_Master'!$A$1:$C$7,1,FALSE)='03_Clean_data'!E162,"Valid","Invalid"),"Invalid"))</f>
        <v>Valid</v>
      </c>
      <c r="R162" s="25" t="str">
        <f>IFERROR(VLOOKUP(tbl_clean_sales[[#This Row],[Branch_ID]],'04_Branch_Master'!$A$1:$C$7,2,FALSE),"Missing")</f>
        <v>Dharapuram</v>
      </c>
      <c r="S162" s="25" t="str">
        <f>IFERROR(VLOOKUP(tbl_clean_sales[[#This Row],[Branch_ID]],'04_Branch_Master'!$A$1:$C$7,3,FALSE),"Missing")</f>
        <v>South</v>
      </c>
      <c r="T162" s="25" t="str">
        <f>C162&amp;"|"&amp;TEXT(tbl_clean_sales[[#This Row],[Date]],"yyyymm")</f>
        <v>E009|202606</v>
      </c>
      <c r="U162" s="25">
        <f>IFERROR(INDEX('05_Target_Master'!$A$1:$F$32,MATCH(tbl_clean_sales[[#This Row],[target key]],'05_Target_Master'!$F$1:$F$32,0),3),"Missing")</f>
        <v>156700</v>
      </c>
    </row>
    <row r="163" spans="1:21" x14ac:dyDescent="0.3">
      <c r="A163" s="21">
        <v>46202</v>
      </c>
      <c r="B163" s="22" t="s">
        <v>195</v>
      </c>
      <c r="C163" s="22" t="s">
        <v>12</v>
      </c>
      <c r="D163" s="22" t="s">
        <v>36</v>
      </c>
      <c r="E163" s="22" t="s">
        <v>14</v>
      </c>
      <c r="F163" s="22">
        <v>7</v>
      </c>
      <c r="G163" s="23">
        <v>1323.03</v>
      </c>
      <c r="H163" s="25" t="str">
        <f>IF(COUNTIF(tbl_clean_sales[Invoice_ID],tbl_clean_sales[[#This Row],[Invoice_ID]])&gt;1,"Duplicate","Unique")</f>
        <v>Unique</v>
      </c>
      <c r="I163" s="25"/>
      <c r="J16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3" s="25" t="str">
        <f>IFERROR(VLOOKUP(tbl_clean_sales[[#This Row],[Employee_ID]],'02_Employee_Master'!$A$1:$C$12,2,FALSE),"Employee Name Missing")</f>
        <v>Divya R</v>
      </c>
      <c r="L163" s="25" t="str">
        <f>IFERROR(VLOOKUP(tbl_clean_sales[[#This Row],[Employee_ID]],'02_Employee_Master'!$A$1:$C$12,3,FALSE),"Department Name Missing")</f>
        <v>Sales</v>
      </c>
      <c r="M163" s="25" t="str">
        <f>IF('03_Clean_data'!D163="","Missing",IFERROR(IF(VLOOKUP(D163,'03_Product_Master'!$A$1:$D$14,1,FALSE)='03_Clean_data'!D163,"Valid","Invalid"),"Invalid"))</f>
        <v>Valid</v>
      </c>
      <c r="N163" s="25" t="str">
        <f>IFERROR(VLOOKUP(tbl_clean_sales[[#This Row],[Product_ID]],'03_Product_Master'!$A$1:$D$14,2,FALSE),"Missing")</f>
        <v>Dish Wash</v>
      </c>
      <c r="O163" s="25" t="str">
        <f>IFERROR(VLOOKUP(tbl_clean_sales[[#This Row],[Product_ID]],'03_Product_Master'!$A$1:$D$14,3,FALSE),"Missing")</f>
        <v>Home Care</v>
      </c>
      <c r="P163" s="25">
        <f>IFERROR(VLOOKUP(tbl_clean_sales[[#This Row],[Product_ID]],'03_Product_Master'!$A$1:$D$14,4,FALSE),"Missing")</f>
        <v>190</v>
      </c>
      <c r="Q163" s="25" t="str">
        <f>IF('03_Clean_data'!E163="","Missing",IFERROR(IF(VLOOKUP(E163,'04_Branch_Master'!$A$1:$C$7,1,FALSE)='03_Clean_data'!E163,"Valid","Invalid"),"Invalid"))</f>
        <v>Valid</v>
      </c>
      <c r="R163" s="25" t="str">
        <f>IFERROR(VLOOKUP(tbl_clean_sales[[#This Row],[Branch_ID]],'04_Branch_Master'!$A$1:$C$7,2,FALSE),"Missing")</f>
        <v>Avinashi Road</v>
      </c>
      <c r="S163" s="25" t="str">
        <f>IFERROR(VLOOKUP(tbl_clean_sales[[#This Row],[Branch_ID]],'04_Branch_Master'!$A$1:$C$7,3,FALSE),"Missing")</f>
        <v>North</v>
      </c>
      <c r="T163" s="25" t="str">
        <f>C163&amp;"|"&amp;TEXT(tbl_clean_sales[[#This Row],[Date]],"yyyymm")</f>
        <v>E004|202606</v>
      </c>
      <c r="U163" s="25">
        <f>IFERROR(INDEX('05_Target_Master'!$A$1:$F$32,MATCH(tbl_clean_sales[[#This Row],[target key]],'05_Target_Master'!$F$1:$F$32,0),3),"Missing")</f>
        <v>157100</v>
      </c>
    </row>
    <row r="164" spans="1:21" x14ac:dyDescent="0.3">
      <c r="A164" s="21">
        <v>46173</v>
      </c>
      <c r="B164" s="22" t="s">
        <v>196</v>
      </c>
      <c r="C164" s="22" t="s">
        <v>46</v>
      </c>
      <c r="D164" s="22" t="s">
        <v>16</v>
      </c>
      <c r="E164" s="22"/>
      <c r="F164" s="22">
        <v>8</v>
      </c>
      <c r="G164" s="23">
        <v>2192.87</v>
      </c>
      <c r="H164" s="25" t="str">
        <f>IF(COUNTIF(tbl_clean_sales[Invoice_ID],tbl_clean_sales[[#This Row],[Invoice_ID]])&gt;1,"Duplicate","Unique")</f>
        <v>Unique</v>
      </c>
      <c r="I164" s="25"/>
      <c r="J16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4" s="25" t="str">
        <f>IFERROR(VLOOKUP(tbl_clean_sales[[#This Row],[Employee_ID]],'02_Employee_Master'!$A$1:$C$12,2,FALSE),"Employee Name Missing")</f>
        <v>Suresh B</v>
      </c>
      <c r="L164" s="25" t="str">
        <f>IFERROR(VLOOKUP(tbl_clean_sales[[#This Row],[Employee_ID]],'02_Employee_Master'!$A$1:$C$12,3,FALSE),"Department Name Missing")</f>
        <v>Sales</v>
      </c>
      <c r="M164" s="25" t="str">
        <f>IF('03_Clean_data'!D164="","Missing",IFERROR(IF(VLOOKUP(D164,'03_Product_Master'!$A$1:$D$14,1,FALSE)='03_Clean_data'!D164,"Valid","Invalid"),"Invalid"))</f>
        <v>Valid</v>
      </c>
      <c r="N164" s="25" t="str">
        <f>IFERROR(VLOOKUP(tbl_clean_sales[[#This Row],[Product_ID]],'03_Product_Master'!$A$1:$D$14,2,FALSE),"Missing")</f>
        <v>Shampoo</v>
      </c>
      <c r="O164" s="25" t="str">
        <f>IFERROR(VLOOKUP(tbl_clean_sales[[#This Row],[Product_ID]],'03_Product_Master'!$A$1:$D$14,3,FALSE),"Missing")</f>
        <v>Personal Care</v>
      </c>
      <c r="P164" s="25">
        <f>IFERROR(VLOOKUP(tbl_clean_sales[[#This Row],[Product_ID]],'03_Product_Master'!$A$1:$D$14,4,FALSE),"Missing")</f>
        <v>310</v>
      </c>
      <c r="Q164" s="25" t="str">
        <f>IF('03_Clean_data'!E164="","Missing",IFERROR(IF(VLOOKUP(E164,'04_Branch_Master'!$A$1:$C$7,1,FALSE)='03_Clean_data'!E164,"Valid","Invalid"),"Invalid"))</f>
        <v>Missing</v>
      </c>
      <c r="R164" s="25" t="str">
        <f>IFERROR(VLOOKUP(tbl_clean_sales[[#This Row],[Branch_ID]],'04_Branch_Master'!$A$1:$C$7,2,FALSE),"Missing")</f>
        <v>Missing</v>
      </c>
      <c r="S164" s="25" t="str">
        <f>IFERROR(VLOOKUP(tbl_clean_sales[[#This Row],[Branch_ID]],'04_Branch_Master'!$A$1:$C$7,3,FALSE),"Missing")</f>
        <v>Missing</v>
      </c>
      <c r="T164" s="25" t="str">
        <f>C164&amp;"|"&amp;TEXT(tbl_clean_sales[[#This Row],[Date]],"yyyymm")</f>
        <v>E007|202605</v>
      </c>
      <c r="U164" s="25">
        <f>IFERROR(INDEX('05_Target_Master'!$A$1:$F$32,MATCH(tbl_clean_sales[[#This Row],[target key]],'05_Target_Master'!$F$1:$F$32,0),3),"Missing")</f>
        <v>140000</v>
      </c>
    </row>
    <row r="165" spans="1:21" x14ac:dyDescent="0.3">
      <c r="A165" s="21">
        <v>46129</v>
      </c>
      <c r="B165" s="22" t="s">
        <v>197</v>
      </c>
      <c r="C165" s="22" t="s">
        <v>8</v>
      </c>
      <c r="D165" s="22" t="s">
        <v>36</v>
      </c>
      <c r="E165" s="22" t="s">
        <v>10</v>
      </c>
      <c r="F165" s="22">
        <v>2</v>
      </c>
      <c r="G165" s="23">
        <v>340.14</v>
      </c>
      <c r="H165" s="25" t="str">
        <f>IF(COUNTIF(tbl_clean_sales[Invoice_ID],tbl_clean_sales[[#This Row],[Invoice_ID]])&gt;1,"Duplicate","Unique")</f>
        <v>Unique</v>
      </c>
      <c r="I165" s="25"/>
      <c r="J16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5" s="25" t="str">
        <f>IFERROR(VLOOKUP(tbl_clean_sales[[#This Row],[Employee_ID]],'02_Employee_Master'!$A$1:$C$12,2,FALSE),"Employee Name Missing")</f>
        <v>Vignesh R</v>
      </c>
      <c r="L165" s="25" t="str">
        <f>IFERROR(VLOOKUP(tbl_clean_sales[[#This Row],[Employee_ID]],'02_Employee_Master'!$A$1:$C$12,3,FALSE),"Department Name Missing")</f>
        <v>Sales</v>
      </c>
      <c r="M165" s="25" t="str">
        <f>IF('03_Clean_data'!D165="","Missing",IFERROR(IF(VLOOKUP(D165,'03_Product_Master'!$A$1:$D$14,1,FALSE)='03_Clean_data'!D165,"Valid","Invalid"),"Invalid"))</f>
        <v>Valid</v>
      </c>
      <c r="N165" s="25" t="str">
        <f>IFERROR(VLOOKUP(tbl_clean_sales[[#This Row],[Product_ID]],'03_Product_Master'!$A$1:$D$14,2,FALSE),"Missing")</f>
        <v>Dish Wash</v>
      </c>
      <c r="O165" s="25" t="str">
        <f>IFERROR(VLOOKUP(tbl_clean_sales[[#This Row],[Product_ID]],'03_Product_Master'!$A$1:$D$14,3,FALSE),"Missing")</f>
        <v>Home Care</v>
      </c>
      <c r="P165" s="25">
        <f>IFERROR(VLOOKUP(tbl_clean_sales[[#This Row],[Product_ID]],'03_Product_Master'!$A$1:$D$14,4,FALSE),"Missing")</f>
        <v>190</v>
      </c>
      <c r="Q165" s="25" t="str">
        <f>IF('03_Clean_data'!E165="","Missing",IFERROR(IF(VLOOKUP(E165,'04_Branch_Master'!$A$1:$C$7,1,FALSE)='03_Clean_data'!E165,"Valid","Invalid"),"Invalid"))</f>
        <v>Valid</v>
      </c>
      <c r="R165" s="25" t="str">
        <f>IFERROR(VLOOKUP(tbl_clean_sales[[#This Row],[Branch_ID]],'04_Branch_Master'!$A$1:$C$7,2,FALSE),"Missing")</f>
        <v>Dharapuram</v>
      </c>
      <c r="S165" s="25" t="str">
        <f>IFERROR(VLOOKUP(tbl_clean_sales[[#This Row],[Branch_ID]],'04_Branch_Master'!$A$1:$C$7,3,FALSE),"Missing")</f>
        <v>South</v>
      </c>
      <c r="T165" s="25" t="str">
        <f>C165&amp;"|"&amp;TEXT(tbl_clean_sales[[#This Row],[Date]],"yyyymm")</f>
        <v>E009|202604</v>
      </c>
      <c r="U165" s="25">
        <f>IFERROR(INDEX('05_Target_Master'!$A$1:$F$32,MATCH(tbl_clean_sales[[#This Row],[target key]],'05_Target_Master'!$F$1:$F$32,0),3),"Missing")</f>
        <v>163300</v>
      </c>
    </row>
    <row r="166" spans="1:21" x14ac:dyDescent="0.3">
      <c r="A166" s="21">
        <v>46169</v>
      </c>
      <c r="B166" s="22" t="s">
        <v>198</v>
      </c>
      <c r="C166" s="22" t="s">
        <v>21</v>
      </c>
      <c r="D166" s="22" t="s">
        <v>13</v>
      </c>
      <c r="E166" s="22" t="s">
        <v>22</v>
      </c>
      <c r="F166" s="22">
        <v>12</v>
      </c>
      <c r="G166" s="23">
        <v>4599.04</v>
      </c>
      <c r="H166" s="25" t="str">
        <f>IF(COUNTIF(tbl_clean_sales[Invoice_ID],tbl_clean_sales[[#This Row],[Invoice_ID]])&gt;1,"Duplicate","Unique")</f>
        <v>Unique</v>
      </c>
      <c r="I166" s="25"/>
      <c r="J16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6" s="25" t="str">
        <f>IFERROR(VLOOKUP(tbl_clean_sales[[#This Row],[Employee_ID]],'02_Employee_Master'!$A$1:$C$12,2,FALSE),"Employee Name Missing")</f>
        <v>Priya S</v>
      </c>
      <c r="L166" s="25" t="str">
        <f>IFERROR(VLOOKUP(tbl_clean_sales[[#This Row],[Employee_ID]],'02_Employee_Master'!$A$1:$C$12,3,FALSE),"Department Name Missing")</f>
        <v>Sales</v>
      </c>
      <c r="M166" s="25" t="str">
        <f>IF('03_Clean_data'!D166="","Missing",IFERROR(IF(VLOOKUP(D166,'03_Product_Master'!$A$1:$D$14,1,FALSE)='03_Clean_data'!D166,"Valid","Invalid"),"Invalid"))</f>
        <v>Valid</v>
      </c>
      <c r="N166" s="25" t="str">
        <f>IFERROR(VLOOKUP(tbl_clean_sales[[#This Row],[Product_ID]],'03_Product_Master'!$A$1:$D$14,2,FALSE),"Missing")</f>
        <v>Body Lotion</v>
      </c>
      <c r="O166" s="25" t="str">
        <f>IFERROR(VLOOKUP(tbl_clean_sales[[#This Row],[Product_ID]],'03_Product_Master'!$A$1:$D$14,3,FALSE),"Missing")</f>
        <v>Personal Care</v>
      </c>
      <c r="P166" s="25">
        <f>IFERROR(VLOOKUP(tbl_clean_sales[[#This Row],[Product_ID]],'03_Product_Master'!$A$1:$D$14,4,FALSE),"Missing")</f>
        <v>390</v>
      </c>
      <c r="Q166" s="25" t="str">
        <f>IF('03_Clean_data'!E166="","Missing",IFERROR(IF(VLOOKUP(E166,'04_Branch_Master'!$A$1:$C$7,1,FALSE)='03_Clean_data'!E166,"Valid","Invalid"),"Invalid"))</f>
        <v>Valid</v>
      </c>
      <c r="R166" s="25" t="str">
        <f>IFERROR(VLOOKUP(tbl_clean_sales[[#This Row],[Branch_ID]],'04_Branch_Master'!$A$1:$C$7,2,FALSE),"Missing")</f>
        <v>Tirupur Central</v>
      </c>
      <c r="S166" s="25" t="str">
        <f>IFERROR(VLOOKUP(tbl_clean_sales[[#This Row],[Branch_ID]],'04_Branch_Master'!$A$1:$C$7,3,FALSE),"Missing")</f>
        <v>North</v>
      </c>
      <c r="T166" s="25" t="str">
        <f>C166&amp;"|"&amp;TEXT(tbl_clean_sales[[#This Row],[Date]],"yyyymm")</f>
        <v>E002|202605</v>
      </c>
      <c r="U166" s="25">
        <f>IFERROR(INDEX('05_Target_Master'!$A$1:$F$32,MATCH(tbl_clean_sales[[#This Row],[target key]],'05_Target_Master'!$F$1:$F$32,0),3),"Missing")</f>
        <v>132100</v>
      </c>
    </row>
    <row r="167" spans="1:21" x14ac:dyDescent="0.3">
      <c r="A167" s="21">
        <v>46196</v>
      </c>
      <c r="B167" s="22" t="s">
        <v>199</v>
      </c>
      <c r="C167" s="22" t="s">
        <v>18</v>
      </c>
      <c r="D167" s="22" t="s">
        <v>9</v>
      </c>
      <c r="E167" s="22" t="s">
        <v>14</v>
      </c>
      <c r="F167" s="22">
        <v>5</v>
      </c>
      <c r="G167" s="23">
        <v>1343.12</v>
      </c>
      <c r="H167" s="25" t="str">
        <f>IF(COUNTIF(tbl_clean_sales[Invoice_ID],tbl_clean_sales[[#This Row],[Invoice_ID]])&gt;1,"Duplicate","Unique")</f>
        <v>Unique</v>
      </c>
      <c r="I167" s="25"/>
      <c r="J16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7" s="25" t="str">
        <f>IFERROR(VLOOKUP(tbl_clean_sales[[#This Row],[Employee_ID]],'02_Employee_Master'!$A$1:$C$12,2,FALSE),"Employee Name Missing")</f>
        <v>Rahul M</v>
      </c>
      <c r="L167" s="25" t="str">
        <f>IFERROR(VLOOKUP(tbl_clean_sales[[#This Row],[Employee_ID]],'02_Employee_Master'!$A$1:$C$12,3,FALSE),"Department Name Missing")</f>
        <v>Sales</v>
      </c>
      <c r="M167" s="25" t="str">
        <f>IF('03_Clean_data'!D167="","Missing",IFERROR(IF(VLOOKUP(D167,'03_Product_Master'!$A$1:$D$14,1,FALSE)='03_Clean_data'!D167,"Valid","Invalid"),"Invalid"))</f>
        <v>Valid</v>
      </c>
      <c r="N167" s="25" t="str">
        <f>IFERROR(VLOOKUP(tbl_clean_sales[[#This Row],[Product_ID]],'03_Product_Master'!$A$1:$D$14,2,FALSE),"Missing")</f>
        <v>Green Tea</v>
      </c>
      <c r="O167" s="25" t="str">
        <f>IFERROR(VLOOKUP(tbl_clean_sales[[#This Row],[Product_ID]],'03_Product_Master'!$A$1:$D$14,3,FALSE),"Missing")</f>
        <v>Beverages</v>
      </c>
      <c r="P167" s="25">
        <f>IFERROR(VLOOKUP(tbl_clean_sales[[#This Row],[Product_ID]],'03_Product_Master'!$A$1:$D$14,4,FALSE),"Missing")</f>
        <v>280</v>
      </c>
      <c r="Q167" s="25" t="str">
        <f>IF('03_Clean_data'!E167="","Missing",IFERROR(IF(VLOOKUP(E167,'04_Branch_Master'!$A$1:$C$7,1,FALSE)='03_Clean_data'!E167,"Valid","Invalid"),"Invalid"))</f>
        <v>Valid</v>
      </c>
      <c r="R167" s="25" t="str">
        <f>IFERROR(VLOOKUP(tbl_clean_sales[[#This Row],[Branch_ID]],'04_Branch_Master'!$A$1:$C$7,2,FALSE),"Missing")</f>
        <v>Avinashi Road</v>
      </c>
      <c r="S167" s="25" t="str">
        <f>IFERROR(VLOOKUP(tbl_clean_sales[[#This Row],[Branch_ID]],'04_Branch_Master'!$A$1:$C$7,3,FALSE),"Missing")</f>
        <v>North</v>
      </c>
      <c r="T167" s="25" t="str">
        <f>C167&amp;"|"&amp;TEXT(tbl_clean_sales[[#This Row],[Date]],"yyyymm")</f>
        <v>E003|202606</v>
      </c>
      <c r="U167" s="25">
        <f>IFERROR(INDEX('05_Target_Master'!$A$1:$F$32,MATCH(tbl_clean_sales[[#This Row],[target key]],'05_Target_Master'!$F$1:$F$32,0),3),"Missing")</f>
        <v>112000</v>
      </c>
    </row>
    <row r="168" spans="1:21" x14ac:dyDescent="0.3">
      <c r="A168" s="21">
        <v>46201</v>
      </c>
      <c r="B168" s="22" t="s">
        <v>200</v>
      </c>
      <c r="C168" s="22" t="s">
        <v>46</v>
      </c>
      <c r="D168" s="22" t="s">
        <v>43</v>
      </c>
      <c r="E168" s="22" t="s">
        <v>32</v>
      </c>
      <c r="F168" s="22">
        <v>6</v>
      </c>
      <c r="G168" s="23">
        <v>1831.35</v>
      </c>
      <c r="H168" s="25" t="str">
        <f>IF(COUNTIF(tbl_clean_sales[Invoice_ID],tbl_clean_sales[[#This Row],[Invoice_ID]])&gt;1,"Duplicate","Unique")</f>
        <v>Unique</v>
      </c>
      <c r="I168" s="25"/>
      <c r="J16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8" s="25" t="str">
        <f>IFERROR(VLOOKUP(tbl_clean_sales[[#This Row],[Employee_ID]],'02_Employee_Master'!$A$1:$C$12,2,FALSE),"Employee Name Missing")</f>
        <v>Suresh B</v>
      </c>
      <c r="L168" s="25" t="str">
        <f>IFERROR(VLOOKUP(tbl_clean_sales[[#This Row],[Employee_ID]],'02_Employee_Master'!$A$1:$C$12,3,FALSE),"Department Name Missing")</f>
        <v>Sales</v>
      </c>
      <c r="M168" s="25" t="str">
        <f>IF('03_Clean_data'!D168="","Missing",IFERROR(IF(VLOOKUP(D168,'03_Product_Master'!$A$1:$D$14,1,FALSE)='03_Clean_data'!D168,"Valid","Invalid"),"Invalid"))</f>
        <v>Valid</v>
      </c>
      <c r="N168" s="25" t="str">
        <f>IFERROR(VLOOKUP(tbl_clean_sales[[#This Row],[Product_ID]],'03_Product_Master'!$A$1:$D$14,2,FALSE),"Missing")</f>
        <v>Laundry Liquid</v>
      </c>
      <c r="O168" s="25" t="str">
        <f>IFERROR(VLOOKUP(tbl_clean_sales[[#This Row],[Product_ID]],'03_Product_Master'!$A$1:$D$14,3,FALSE),"Missing")</f>
        <v>Home Care</v>
      </c>
      <c r="P168" s="25">
        <f>IFERROR(VLOOKUP(tbl_clean_sales[[#This Row],[Product_ID]],'03_Product_Master'!$A$1:$D$14,4,FALSE),"Missing")</f>
        <v>340</v>
      </c>
      <c r="Q168" s="25" t="str">
        <f>IF('03_Clean_data'!E168="","Missing",IFERROR(IF(VLOOKUP(E168,'04_Branch_Master'!$A$1:$C$7,1,FALSE)='03_Clean_data'!E168,"Valid","Invalid"),"Invalid"))</f>
        <v>Valid</v>
      </c>
      <c r="R168" s="25" t="str">
        <f>IFERROR(VLOOKUP(tbl_clean_sales[[#This Row],[Branch_ID]],'04_Branch_Master'!$A$1:$C$7,2,FALSE),"Missing")</f>
        <v>Kangeyam</v>
      </c>
      <c r="S168" s="25" t="str">
        <f>IFERROR(VLOOKUP(tbl_clean_sales[[#This Row],[Branch_ID]],'04_Branch_Master'!$A$1:$C$7,3,FALSE),"Missing")</f>
        <v>East</v>
      </c>
      <c r="T168" s="25" t="str">
        <f>C168&amp;"|"&amp;TEXT(tbl_clean_sales[[#This Row],[Date]],"yyyymm")</f>
        <v>E007|202606</v>
      </c>
      <c r="U168" s="25">
        <f>IFERROR(INDEX('05_Target_Master'!$A$1:$F$32,MATCH(tbl_clean_sales[[#This Row],[target key]],'05_Target_Master'!$F$1:$F$32,0),3),"Missing")</f>
        <v>124400</v>
      </c>
    </row>
    <row r="169" spans="1:21" x14ac:dyDescent="0.3">
      <c r="A169" s="21">
        <v>46181</v>
      </c>
      <c r="B169" s="22" t="s">
        <v>201</v>
      </c>
      <c r="C169" s="22" t="s">
        <v>46</v>
      </c>
      <c r="D169" s="22" t="s">
        <v>34</v>
      </c>
      <c r="E169" s="22" t="s">
        <v>32</v>
      </c>
      <c r="F169" s="22">
        <v>8</v>
      </c>
      <c r="G169" s="23">
        <v>787.88</v>
      </c>
      <c r="H169" s="25" t="str">
        <f>IF(COUNTIF(tbl_clean_sales[Invoice_ID],tbl_clean_sales[[#This Row],[Invoice_ID]])&gt;1,"Duplicate","Unique")</f>
        <v>Unique</v>
      </c>
      <c r="I169" s="25"/>
      <c r="J16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69" s="25" t="str">
        <f>IFERROR(VLOOKUP(tbl_clean_sales[[#This Row],[Employee_ID]],'02_Employee_Master'!$A$1:$C$12,2,FALSE),"Employee Name Missing")</f>
        <v>Suresh B</v>
      </c>
      <c r="L169" s="25" t="str">
        <f>IFERROR(VLOOKUP(tbl_clean_sales[[#This Row],[Employee_ID]],'02_Employee_Master'!$A$1:$C$12,3,FALSE),"Department Name Missing")</f>
        <v>Sales</v>
      </c>
      <c r="M169" s="25" t="str">
        <f>IF('03_Clean_data'!D169="","Missing",IFERROR(IF(VLOOKUP(D169,'03_Product_Master'!$A$1:$D$14,1,FALSE)='03_Clean_data'!D169,"Valid","Invalid"),"Invalid"))</f>
        <v>Valid</v>
      </c>
      <c r="N169" s="25" t="str">
        <f>IFERROR(VLOOKUP(tbl_clean_sales[[#This Row],[Product_ID]],'03_Product_Master'!$A$1:$D$14,2,FALSE),"Missing")</f>
        <v>Potato Chips</v>
      </c>
      <c r="O169" s="25" t="str">
        <f>IFERROR(VLOOKUP(tbl_clean_sales[[#This Row],[Product_ID]],'03_Product_Master'!$A$1:$D$14,3,FALSE),"Missing")</f>
        <v>Snacks</v>
      </c>
      <c r="P169" s="25">
        <f>IFERROR(VLOOKUP(tbl_clean_sales[[#This Row],[Product_ID]],'03_Product_Master'!$A$1:$D$14,4,FALSE),"Missing")</f>
        <v>110</v>
      </c>
      <c r="Q169" s="25" t="str">
        <f>IF('03_Clean_data'!E169="","Missing",IFERROR(IF(VLOOKUP(E169,'04_Branch_Master'!$A$1:$C$7,1,FALSE)='03_Clean_data'!E169,"Valid","Invalid"),"Invalid"))</f>
        <v>Valid</v>
      </c>
      <c r="R169" s="25" t="str">
        <f>IFERROR(VLOOKUP(tbl_clean_sales[[#This Row],[Branch_ID]],'04_Branch_Master'!$A$1:$C$7,2,FALSE),"Missing")</f>
        <v>Kangeyam</v>
      </c>
      <c r="S169" s="25" t="str">
        <f>IFERROR(VLOOKUP(tbl_clean_sales[[#This Row],[Branch_ID]],'04_Branch_Master'!$A$1:$C$7,3,FALSE),"Missing")</f>
        <v>East</v>
      </c>
      <c r="T169" s="25" t="str">
        <f>C169&amp;"|"&amp;TEXT(tbl_clean_sales[[#This Row],[Date]],"yyyymm")</f>
        <v>E007|202606</v>
      </c>
      <c r="U169" s="25">
        <f>IFERROR(INDEX('05_Target_Master'!$A$1:$F$32,MATCH(tbl_clean_sales[[#This Row],[target key]],'05_Target_Master'!$F$1:$F$32,0),3),"Missing")</f>
        <v>124400</v>
      </c>
    </row>
    <row r="170" spans="1:21" x14ac:dyDescent="0.3">
      <c r="A170" s="21">
        <v>46117</v>
      </c>
      <c r="B170" s="22" t="s">
        <v>202</v>
      </c>
      <c r="C170" s="22" t="s">
        <v>29</v>
      </c>
      <c r="D170" s="22" t="s">
        <v>9</v>
      </c>
      <c r="E170" s="22" t="s">
        <v>10</v>
      </c>
      <c r="F170" s="22">
        <v>11</v>
      </c>
      <c r="G170" s="23">
        <v>2739.62</v>
      </c>
      <c r="H170" s="25" t="str">
        <f>IF(COUNTIF(tbl_clean_sales[Invoice_ID],tbl_clean_sales[[#This Row],[Invoice_ID]])&gt;1,"Duplicate","Unique")</f>
        <v>Unique</v>
      </c>
      <c r="I170" s="25"/>
      <c r="J17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0" s="25" t="str">
        <f>IFERROR(VLOOKUP(tbl_clean_sales[[#This Row],[Employee_ID]],'02_Employee_Master'!$A$1:$C$12,2,FALSE),"Employee Name Missing")</f>
        <v>Swetha L</v>
      </c>
      <c r="L170" s="25" t="str">
        <f>IFERROR(VLOOKUP(tbl_clean_sales[[#This Row],[Employee_ID]],'02_Employee_Master'!$A$1:$C$12,3,FALSE),"Department Name Missing")</f>
        <v>Sales</v>
      </c>
      <c r="M170" s="25" t="str">
        <f>IF('03_Clean_data'!D170="","Missing",IFERROR(IF(VLOOKUP(D170,'03_Product_Master'!$A$1:$D$14,1,FALSE)='03_Clean_data'!D170,"Valid","Invalid"),"Invalid"))</f>
        <v>Valid</v>
      </c>
      <c r="N170" s="25" t="str">
        <f>IFERROR(VLOOKUP(tbl_clean_sales[[#This Row],[Product_ID]],'03_Product_Master'!$A$1:$D$14,2,FALSE),"Missing")</f>
        <v>Green Tea</v>
      </c>
      <c r="O170" s="25" t="str">
        <f>IFERROR(VLOOKUP(tbl_clean_sales[[#This Row],[Product_ID]],'03_Product_Master'!$A$1:$D$14,3,FALSE),"Missing")</f>
        <v>Beverages</v>
      </c>
      <c r="P170" s="25">
        <f>IFERROR(VLOOKUP(tbl_clean_sales[[#This Row],[Product_ID]],'03_Product_Master'!$A$1:$D$14,4,FALSE),"Missing")</f>
        <v>280</v>
      </c>
      <c r="Q170" s="25" t="str">
        <f>IF('03_Clean_data'!E170="","Missing",IFERROR(IF(VLOOKUP(E170,'04_Branch_Master'!$A$1:$C$7,1,FALSE)='03_Clean_data'!E170,"Valid","Invalid"),"Invalid"))</f>
        <v>Valid</v>
      </c>
      <c r="R170" s="25" t="str">
        <f>IFERROR(VLOOKUP(tbl_clean_sales[[#This Row],[Branch_ID]],'04_Branch_Master'!$A$1:$C$7,2,FALSE),"Missing")</f>
        <v>Dharapuram</v>
      </c>
      <c r="S170" s="25" t="str">
        <f>IFERROR(VLOOKUP(tbl_clean_sales[[#This Row],[Branch_ID]],'04_Branch_Master'!$A$1:$C$7,3,FALSE),"Missing")</f>
        <v>South</v>
      </c>
      <c r="T170" s="25" t="str">
        <f>C170&amp;"|"&amp;TEXT(tbl_clean_sales[[#This Row],[Date]],"yyyymm")</f>
        <v>E010|202604</v>
      </c>
      <c r="U170" s="25">
        <f>IFERROR(INDEX('05_Target_Master'!$A$1:$F$32,MATCH(tbl_clean_sales[[#This Row],[target key]],'05_Target_Master'!$F$1:$F$32,0),3),"Missing")</f>
        <v>121700</v>
      </c>
    </row>
    <row r="171" spans="1:21" x14ac:dyDescent="0.3">
      <c r="A171" s="21">
        <v>46142</v>
      </c>
      <c r="B171" s="22" t="s">
        <v>203</v>
      </c>
      <c r="C171" s="22" t="s">
        <v>21</v>
      </c>
      <c r="D171" s="22" t="s">
        <v>16</v>
      </c>
      <c r="E171" s="22" t="s">
        <v>22</v>
      </c>
      <c r="F171" s="22">
        <v>8</v>
      </c>
      <c r="G171" s="23">
        <v>2430.4899999999998</v>
      </c>
      <c r="H171" s="25" t="str">
        <f>IF(COUNTIF(tbl_clean_sales[Invoice_ID],tbl_clean_sales[[#This Row],[Invoice_ID]])&gt;1,"Duplicate","Unique")</f>
        <v>Unique</v>
      </c>
      <c r="I171" s="25"/>
      <c r="J17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1" s="25" t="str">
        <f>IFERROR(VLOOKUP(tbl_clean_sales[[#This Row],[Employee_ID]],'02_Employee_Master'!$A$1:$C$12,2,FALSE),"Employee Name Missing")</f>
        <v>Priya S</v>
      </c>
      <c r="L171" s="25" t="str">
        <f>IFERROR(VLOOKUP(tbl_clean_sales[[#This Row],[Employee_ID]],'02_Employee_Master'!$A$1:$C$12,3,FALSE),"Department Name Missing")</f>
        <v>Sales</v>
      </c>
      <c r="M171" s="25" t="str">
        <f>IF('03_Clean_data'!D171="","Missing",IFERROR(IF(VLOOKUP(D171,'03_Product_Master'!$A$1:$D$14,1,FALSE)='03_Clean_data'!D171,"Valid","Invalid"),"Invalid"))</f>
        <v>Valid</v>
      </c>
      <c r="N171" s="25" t="str">
        <f>IFERROR(VLOOKUP(tbl_clean_sales[[#This Row],[Product_ID]],'03_Product_Master'!$A$1:$D$14,2,FALSE),"Missing")</f>
        <v>Shampoo</v>
      </c>
      <c r="O171" s="25" t="str">
        <f>IFERROR(VLOOKUP(tbl_clean_sales[[#This Row],[Product_ID]],'03_Product_Master'!$A$1:$D$14,3,FALSE),"Missing")</f>
        <v>Personal Care</v>
      </c>
      <c r="P171" s="25">
        <f>IFERROR(VLOOKUP(tbl_clean_sales[[#This Row],[Product_ID]],'03_Product_Master'!$A$1:$D$14,4,FALSE),"Missing")</f>
        <v>310</v>
      </c>
      <c r="Q171" s="25" t="str">
        <f>IF('03_Clean_data'!E171="","Missing",IFERROR(IF(VLOOKUP(E171,'04_Branch_Master'!$A$1:$C$7,1,FALSE)='03_Clean_data'!E171,"Valid","Invalid"),"Invalid"))</f>
        <v>Valid</v>
      </c>
      <c r="R171" s="25" t="str">
        <f>IFERROR(VLOOKUP(tbl_clean_sales[[#This Row],[Branch_ID]],'04_Branch_Master'!$A$1:$C$7,2,FALSE),"Missing")</f>
        <v>Tirupur Central</v>
      </c>
      <c r="S171" s="25" t="str">
        <f>IFERROR(VLOOKUP(tbl_clean_sales[[#This Row],[Branch_ID]],'04_Branch_Master'!$A$1:$C$7,3,FALSE),"Missing")</f>
        <v>North</v>
      </c>
      <c r="T171" s="25" t="str">
        <f>C171&amp;"|"&amp;TEXT(tbl_clean_sales[[#This Row],[Date]],"yyyymm")</f>
        <v>E002|202604</v>
      </c>
      <c r="U171" s="25">
        <f>IFERROR(INDEX('05_Target_Master'!$A$1:$F$32,MATCH(tbl_clean_sales[[#This Row],[target key]],'05_Target_Master'!$F$1:$F$32,0),3),"Missing")</f>
        <v>122300</v>
      </c>
    </row>
    <row r="172" spans="1:21" x14ac:dyDescent="0.3">
      <c r="A172" s="21">
        <v>46151</v>
      </c>
      <c r="B172" s="22" t="s">
        <v>204</v>
      </c>
      <c r="C172" s="22" t="s">
        <v>74</v>
      </c>
      <c r="D172" s="22" t="s">
        <v>25</v>
      </c>
      <c r="E172" s="22" t="s">
        <v>22</v>
      </c>
      <c r="F172" s="22">
        <v>1</v>
      </c>
      <c r="G172" s="23">
        <v>405.21</v>
      </c>
      <c r="H172" s="25" t="str">
        <f>IF(COUNTIF(tbl_clean_sales[Invoice_ID],tbl_clean_sales[[#This Row],[Invoice_ID]])&gt;1,"Duplicate","Unique")</f>
        <v>Unique</v>
      </c>
      <c r="I172" s="25"/>
      <c r="J17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2" s="25" t="str">
        <f>IFERROR(VLOOKUP(tbl_clean_sales[[#This Row],[Employee_ID]],'02_Employee_Master'!$A$1:$C$12,2,FALSE),"Employee Name Missing")</f>
        <v>Arun Kumar</v>
      </c>
      <c r="L172" s="25" t="str">
        <f>IFERROR(VLOOKUP(tbl_clean_sales[[#This Row],[Employee_ID]],'02_Employee_Master'!$A$1:$C$12,3,FALSE),"Department Name Missing")</f>
        <v>Sales</v>
      </c>
      <c r="M172" s="25" t="str">
        <f>IF('03_Clean_data'!D172="","Missing",IFERROR(IF(VLOOKUP(D172,'03_Product_Master'!$A$1:$D$14,1,FALSE)='03_Clean_data'!D172,"Valid","Invalid"),"Invalid"))</f>
        <v>Valid</v>
      </c>
      <c r="N172" s="25" t="str">
        <f>IFERROR(VLOOKUP(tbl_clean_sales[[#This Row],[Product_ID]],'03_Product_Master'!$A$1:$D$14,2,FALSE),"Missing")</f>
        <v>Premium Coffee</v>
      </c>
      <c r="O172" s="25" t="str">
        <f>IFERROR(VLOOKUP(tbl_clean_sales[[#This Row],[Product_ID]],'03_Product_Master'!$A$1:$D$14,3,FALSE),"Missing")</f>
        <v>Beverages</v>
      </c>
      <c r="P172" s="25">
        <f>IFERROR(VLOOKUP(tbl_clean_sales[[#This Row],[Product_ID]],'03_Product_Master'!$A$1:$D$14,4,FALSE),"Missing")</f>
        <v>420</v>
      </c>
      <c r="Q172" s="25" t="str">
        <f>IF('03_Clean_data'!E172="","Missing",IFERROR(IF(VLOOKUP(E172,'04_Branch_Master'!$A$1:$C$7,1,FALSE)='03_Clean_data'!E172,"Valid","Invalid"),"Invalid"))</f>
        <v>Valid</v>
      </c>
      <c r="R172" s="25" t="str">
        <f>IFERROR(VLOOKUP(tbl_clean_sales[[#This Row],[Branch_ID]],'04_Branch_Master'!$A$1:$C$7,2,FALSE),"Missing")</f>
        <v>Tirupur Central</v>
      </c>
      <c r="S172" s="25" t="str">
        <f>IFERROR(VLOOKUP(tbl_clean_sales[[#This Row],[Branch_ID]],'04_Branch_Master'!$A$1:$C$7,3,FALSE),"Missing")</f>
        <v>North</v>
      </c>
      <c r="T172" s="25" t="str">
        <f>C172&amp;"|"&amp;TEXT(tbl_clean_sales[[#This Row],[Date]],"yyyymm")</f>
        <v>E001|202605</v>
      </c>
      <c r="U172" s="25">
        <f>IFERROR(INDEX('05_Target_Master'!$A$1:$F$32,MATCH(tbl_clean_sales[[#This Row],[target key]],'05_Target_Master'!$F$1:$F$32,0),3),"Missing")</f>
        <v>169500</v>
      </c>
    </row>
    <row r="173" spans="1:21" x14ac:dyDescent="0.3">
      <c r="A173" s="21">
        <v>46160</v>
      </c>
      <c r="B173" s="22" t="s">
        <v>205</v>
      </c>
      <c r="C173" s="22" t="s">
        <v>46</v>
      </c>
      <c r="D173" s="22" t="s">
        <v>53</v>
      </c>
      <c r="E173" s="22" t="s">
        <v>32</v>
      </c>
      <c r="F173" s="22">
        <v>7</v>
      </c>
      <c r="G173" s="23">
        <v>2283.62</v>
      </c>
      <c r="H173" s="25" t="str">
        <f>IF(COUNTIF(tbl_clean_sales[Invoice_ID],tbl_clean_sales[[#This Row],[Invoice_ID]])&gt;1,"Duplicate","Unique")</f>
        <v>Unique</v>
      </c>
      <c r="I173" s="25"/>
      <c r="J17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3" s="25" t="str">
        <f>IFERROR(VLOOKUP(tbl_clean_sales[[#This Row],[Employee_ID]],'02_Employee_Master'!$A$1:$C$12,2,FALSE),"Employee Name Missing")</f>
        <v>Suresh B</v>
      </c>
      <c r="L173" s="25" t="str">
        <f>IFERROR(VLOOKUP(tbl_clean_sales[[#This Row],[Employee_ID]],'02_Employee_Master'!$A$1:$C$12,3,FALSE),"Department Name Missing")</f>
        <v>Sales</v>
      </c>
      <c r="M173" s="25" t="str">
        <f>IF('03_Clean_data'!D173="","Missing",IFERROR(IF(VLOOKUP(D173,'03_Product_Master'!$A$1:$D$14,1,FALSE)='03_Clean_data'!D173,"Valid","Invalid"),"Invalid"))</f>
        <v>Valid</v>
      </c>
      <c r="N173" s="25" t="str">
        <f>IFERROR(VLOOKUP(tbl_clean_sales[[#This Row],[Product_ID]],'03_Product_Master'!$A$1:$D$14,2,FALSE),"Missing")</f>
        <v>Instant Coffee</v>
      </c>
      <c r="O173" s="25" t="str">
        <f>IFERROR(VLOOKUP(tbl_clean_sales[[#This Row],[Product_ID]],'03_Product_Master'!$A$1:$D$14,3,FALSE),"Missing")</f>
        <v>Beverages</v>
      </c>
      <c r="P173" s="25">
        <f>IFERROR(VLOOKUP(tbl_clean_sales[[#This Row],[Product_ID]],'03_Product_Master'!$A$1:$D$14,4,FALSE),"Missing")</f>
        <v>350</v>
      </c>
      <c r="Q173" s="25" t="str">
        <f>IF('03_Clean_data'!E173="","Missing",IFERROR(IF(VLOOKUP(E173,'04_Branch_Master'!$A$1:$C$7,1,FALSE)='03_Clean_data'!E173,"Valid","Invalid"),"Invalid"))</f>
        <v>Valid</v>
      </c>
      <c r="R173" s="25" t="str">
        <f>IFERROR(VLOOKUP(tbl_clean_sales[[#This Row],[Branch_ID]],'04_Branch_Master'!$A$1:$C$7,2,FALSE),"Missing")</f>
        <v>Kangeyam</v>
      </c>
      <c r="S173" s="25" t="str">
        <f>IFERROR(VLOOKUP(tbl_clean_sales[[#This Row],[Branch_ID]],'04_Branch_Master'!$A$1:$C$7,3,FALSE),"Missing")</f>
        <v>East</v>
      </c>
      <c r="T173" s="25" t="str">
        <f>C173&amp;"|"&amp;TEXT(tbl_clean_sales[[#This Row],[Date]],"yyyymm")</f>
        <v>E007|202605</v>
      </c>
      <c r="U173" s="25">
        <f>IFERROR(INDEX('05_Target_Master'!$A$1:$F$32,MATCH(tbl_clean_sales[[#This Row],[target key]],'05_Target_Master'!$F$1:$F$32,0),3),"Missing")</f>
        <v>140000</v>
      </c>
    </row>
    <row r="174" spans="1:21" x14ac:dyDescent="0.3">
      <c r="A174" s="21">
        <v>46136</v>
      </c>
      <c r="B174" s="22" t="s">
        <v>206</v>
      </c>
      <c r="C174" s="22" t="s">
        <v>18</v>
      </c>
      <c r="D174" s="22" t="s">
        <v>53</v>
      </c>
      <c r="E174" s="22" t="s">
        <v>14</v>
      </c>
      <c r="F174" s="22">
        <v>7</v>
      </c>
      <c r="G174" s="23">
        <v>2267.81</v>
      </c>
      <c r="H174" s="25" t="str">
        <f>IF(COUNTIF(tbl_clean_sales[Invoice_ID],tbl_clean_sales[[#This Row],[Invoice_ID]])&gt;1,"Duplicate","Unique")</f>
        <v>Unique</v>
      </c>
      <c r="I174" s="25"/>
      <c r="J17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4" s="25" t="str">
        <f>IFERROR(VLOOKUP(tbl_clean_sales[[#This Row],[Employee_ID]],'02_Employee_Master'!$A$1:$C$12,2,FALSE),"Employee Name Missing")</f>
        <v>Rahul M</v>
      </c>
      <c r="L174" s="25" t="str">
        <f>IFERROR(VLOOKUP(tbl_clean_sales[[#This Row],[Employee_ID]],'02_Employee_Master'!$A$1:$C$12,3,FALSE),"Department Name Missing")</f>
        <v>Sales</v>
      </c>
      <c r="M174" s="25" t="str">
        <f>IF('03_Clean_data'!D174="","Missing",IFERROR(IF(VLOOKUP(D174,'03_Product_Master'!$A$1:$D$14,1,FALSE)='03_Clean_data'!D174,"Valid","Invalid"),"Invalid"))</f>
        <v>Valid</v>
      </c>
      <c r="N174" s="25" t="str">
        <f>IFERROR(VLOOKUP(tbl_clean_sales[[#This Row],[Product_ID]],'03_Product_Master'!$A$1:$D$14,2,FALSE),"Missing")</f>
        <v>Instant Coffee</v>
      </c>
      <c r="O174" s="25" t="str">
        <f>IFERROR(VLOOKUP(tbl_clean_sales[[#This Row],[Product_ID]],'03_Product_Master'!$A$1:$D$14,3,FALSE),"Missing")</f>
        <v>Beverages</v>
      </c>
      <c r="P174" s="25">
        <f>IFERROR(VLOOKUP(tbl_clean_sales[[#This Row],[Product_ID]],'03_Product_Master'!$A$1:$D$14,4,FALSE),"Missing")</f>
        <v>350</v>
      </c>
      <c r="Q174" s="25" t="str">
        <f>IF('03_Clean_data'!E174="","Missing",IFERROR(IF(VLOOKUP(E174,'04_Branch_Master'!$A$1:$C$7,1,FALSE)='03_Clean_data'!E174,"Valid","Invalid"),"Invalid"))</f>
        <v>Valid</v>
      </c>
      <c r="R174" s="25" t="str">
        <f>IFERROR(VLOOKUP(tbl_clean_sales[[#This Row],[Branch_ID]],'04_Branch_Master'!$A$1:$C$7,2,FALSE),"Missing")</f>
        <v>Avinashi Road</v>
      </c>
      <c r="S174" s="25" t="str">
        <f>IFERROR(VLOOKUP(tbl_clean_sales[[#This Row],[Branch_ID]],'04_Branch_Master'!$A$1:$C$7,3,FALSE),"Missing")</f>
        <v>North</v>
      </c>
      <c r="T174" s="25" t="str">
        <f>C174&amp;"|"&amp;TEXT(tbl_clean_sales[[#This Row],[Date]],"yyyymm")</f>
        <v>E003|202604</v>
      </c>
      <c r="U174" s="25">
        <f>IFERROR(INDEX('05_Target_Master'!$A$1:$F$32,MATCH(tbl_clean_sales[[#This Row],[target key]],'05_Target_Master'!$F$1:$F$32,0),3),"Missing")</f>
        <v>116600</v>
      </c>
    </row>
    <row r="175" spans="1:21" x14ac:dyDescent="0.3">
      <c r="A175" s="21">
        <v>46143</v>
      </c>
      <c r="B175" s="22" t="s">
        <v>207</v>
      </c>
      <c r="C175" s="22" t="s">
        <v>38</v>
      </c>
      <c r="D175" s="22" t="s">
        <v>36</v>
      </c>
      <c r="E175" s="22" t="s">
        <v>32</v>
      </c>
      <c r="F175" s="22">
        <v>8</v>
      </c>
      <c r="G175" s="23">
        <v>1403.65</v>
      </c>
      <c r="H175" s="25" t="str">
        <f>IF(COUNTIF(tbl_clean_sales[Invoice_ID],tbl_clean_sales[[#This Row],[Invoice_ID]])&gt;1,"Duplicate","Unique")</f>
        <v>Unique</v>
      </c>
      <c r="I175" s="25"/>
      <c r="J17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5" s="25" t="str">
        <f>IFERROR(VLOOKUP(tbl_clean_sales[[#This Row],[Employee_ID]],'02_Employee_Master'!$A$1:$C$12,2,FALSE),"Employee Name Missing")</f>
        <v>Nandhini K</v>
      </c>
      <c r="L175" s="25" t="str">
        <f>IFERROR(VLOOKUP(tbl_clean_sales[[#This Row],[Employee_ID]],'02_Employee_Master'!$A$1:$C$12,3,FALSE),"Department Name Missing")</f>
        <v>Sales</v>
      </c>
      <c r="M175" s="25" t="str">
        <f>IF('03_Clean_data'!D175="","Missing",IFERROR(IF(VLOOKUP(D175,'03_Product_Master'!$A$1:$D$14,1,FALSE)='03_Clean_data'!D175,"Valid","Invalid"),"Invalid"))</f>
        <v>Valid</v>
      </c>
      <c r="N175" s="25" t="str">
        <f>IFERROR(VLOOKUP(tbl_clean_sales[[#This Row],[Product_ID]],'03_Product_Master'!$A$1:$D$14,2,FALSE),"Missing")</f>
        <v>Dish Wash</v>
      </c>
      <c r="O175" s="25" t="str">
        <f>IFERROR(VLOOKUP(tbl_clean_sales[[#This Row],[Product_ID]],'03_Product_Master'!$A$1:$D$14,3,FALSE),"Missing")</f>
        <v>Home Care</v>
      </c>
      <c r="P175" s="25">
        <f>IFERROR(VLOOKUP(tbl_clean_sales[[#This Row],[Product_ID]],'03_Product_Master'!$A$1:$D$14,4,FALSE),"Missing")</f>
        <v>190</v>
      </c>
      <c r="Q175" s="25" t="str">
        <f>IF('03_Clean_data'!E175="","Missing",IFERROR(IF(VLOOKUP(E175,'04_Branch_Master'!$A$1:$C$7,1,FALSE)='03_Clean_data'!E175,"Valid","Invalid"),"Invalid"))</f>
        <v>Valid</v>
      </c>
      <c r="R175" s="25" t="str">
        <f>IFERROR(VLOOKUP(tbl_clean_sales[[#This Row],[Branch_ID]],'04_Branch_Master'!$A$1:$C$7,2,FALSE),"Missing")</f>
        <v>Kangeyam</v>
      </c>
      <c r="S175" s="25" t="str">
        <f>IFERROR(VLOOKUP(tbl_clean_sales[[#This Row],[Branch_ID]],'04_Branch_Master'!$A$1:$C$7,3,FALSE),"Missing")</f>
        <v>East</v>
      </c>
      <c r="T175" s="25" t="str">
        <f>C175&amp;"|"&amp;TEXT(tbl_clean_sales[[#This Row],[Date]],"yyyymm")</f>
        <v>E008|202605</v>
      </c>
      <c r="U175" s="25">
        <f>IFERROR(INDEX('05_Target_Master'!$A$1:$F$32,MATCH(tbl_clean_sales[[#This Row],[target key]],'05_Target_Master'!$F$1:$F$32,0),3),"Missing")</f>
        <v>134100</v>
      </c>
    </row>
    <row r="176" spans="1:21" x14ac:dyDescent="0.3">
      <c r="A176" s="21">
        <v>46171</v>
      </c>
      <c r="B176" s="22" t="s">
        <v>208</v>
      </c>
      <c r="C176" s="22" t="s">
        <v>24</v>
      </c>
      <c r="D176" s="22" t="s">
        <v>43</v>
      </c>
      <c r="E176" s="22" t="s">
        <v>26</v>
      </c>
      <c r="F176" s="22">
        <v>8</v>
      </c>
      <c r="G176" s="23">
        <v>2425.85</v>
      </c>
      <c r="H176" s="25" t="str">
        <f>IF(COUNTIF(tbl_clean_sales[Invoice_ID],tbl_clean_sales[[#This Row],[Invoice_ID]])&gt;1,"Duplicate","Unique")</f>
        <v>Unique</v>
      </c>
      <c r="I176" s="25"/>
      <c r="J17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6" s="25" t="str">
        <f>IFERROR(VLOOKUP(tbl_clean_sales[[#This Row],[Employee_ID]],'02_Employee_Master'!$A$1:$C$12,2,FALSE),"Employee Name Missing")</f>
        <v>Karthik P</v>
      </c>
      <c r="L176" s="25" t="str">
        <f>IFERROR(VLOOKUP(tbl_clean_sales[[#This Row],[Employee_ID]],'02_Employee_Master'!$A$1:$C$12,3,FALSE),"Department Name Missing")</f>
        <v>Sales</v>
      </c>
      <c r="M176" s="25" t="str">
        <f>IF('03_Clean_data'!D176="","Missing",IFERROR(IF(VLOOKUP(D176,'03_Product_Master'!$A$1:$D$14,1,FALSE)='03_Clean_data'!D176,"Valid","Invalid"),"Invalid"))</f>
        <v>Valid</v>
      </c>
      <c r="N176" s="25" t="str">
        <f>IFERROR(VLOOKUP(tbl_clean_sales[[#This Row],[Product_ID]],'03_Product_Master'!$A$1:$D$14,2,FALSE),"Missing")</f>
        <v>Laundry Liquid</v>
      </c>
      <c r="O176" s="25" t="str">
        <f>IFERROR(VLOOKUP(tbl_clean_sales[[#This Row],[Product_ID]],'03_Product_Master'!$A$1:$D$14,3,FALSE),"Missing")</f>
        <v>Home Care</v>
      </c>
      <c r="P176" s="25">
        <f>IFERROR(VLOOKUP(tbl_clean_sales[[#This Row],[Product_ID]],'03_Product_Master'!$A$1:$D$14,4,FALSE),"Missing")</f>
        <v>340</v>
      </c>
      <c r="Q176" s="25" t="str">
        <f>IF('03_Clean_data'!E176="","Missing",IFERROR(IF(VLOOKUP(E176,'04_Branch_Master'!$A$1:$C$7,1,FALSE)='03_Clean_data'!E176,"Valid","Invalid"),"Invalid"))</f>
        <v>Valid</v>
      </c>
      <c r="R176" s="25" t="str">
        <f>IFERROR(VLOOKUP(tbl_clean_sales[[#This Row],[Branch_ID]],'04_Branch_Master'!$A$1:$C$7,2,FALSE),"Missing")</f>
        <v>Palladam</v>
      </c>
      <c r="S176" s="25" t="str">
        <f>IFERROR(VLOOKUP(tbl_clean_sales[[#This Row],[Branch_ID]],'04_Branch_Master'!$A$1:$C$7,3,FALSE),"Missing")</f>
        <v>South</v>
      </c>
      <c r="T176" s="25" t="str">
        <f>C176&amp;"|"&amp;TEXT(tbl_clean_sales[[#This Row],[Date]],"yyyymm")</f>
        <v>E005|202605</v>
      </c>
      <c r="U176" s="25">
        <f>IFERROR(INDEX('05_Target_Master'!$A$1:$F$32,MATCH(tbl_clean_sales[[#This Row],[target key]],'05_Target_Master'!$F$1:$F$32,0),3),"Missing")</f>
        <v>143700</v>
      </c>
    </row>
    <row r="177" spans="1:21" x14ac:dyDescent="0.3">
      <c r="A177" s="21">
        <v>46199</v>
      </c>
      <c r="B177" s="22" t="s">
        <v>209</v>
      </c>
      <c r="C177" s="22" t="s">
        <v>8</v>
      </c>
      <c r="D177" s="22" t="s">
        <v>53</v>
      </c>
      <c r="E177" s="22" t="s">
        <v>10</v>
      </c>
      <c r="F177" s="22">
        <v>6</v>
      </c>
      <c r="G177" s="23">
        <v>1851.11</v>
      </c>
      <c r="H177" s="25" t="str">
        <f>IF(COUNTIF(tbl_clean_sales[Invoice_ID],tbl_clean_sales[[#This Row],[Invoice_ID]])&gt;1,"Duplicate","Unique")</f>
        <v>Unique</v>
      </c>
      <c r="I177" s="25"/>
      <c r="J17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7" s="25" t="str">
        <f>IFERROR(VLOOKUP(tbl_clean_sales[[#This Row],[Employee_ID]],'02_Employee_Master'!$A$1:$C$12,2,FALSE),"Employee Name Missing")</f>
        <v>Vignesh R</v>
      </c>
      <c r="L177" s="25" t="str">
        <f>IFERROR(VLOOKUP(tbl_clean_sales[[#This Row],[Employee_ID]],'02_Employee_Master'!$A$1:$C$12,3,FALSE),"Department Name Missing")</f>
        <v>Sales</v>
      </c>
      <c r="M177" s="25" t="str">
        <f>IF('03_Clean_data'!D177="","Missing",IFERROR(IF(VLOOKUP(D177,'03_Product_Master'!$A$1:$D$14,1,FALSE)='03_Clean_data'!D177,"Valid","Invalid"),"Invalid"))</f>
        <v>Valid</v>
      </c>
      <c r="N177" s="25" t="str">
        <f>IFERROR(VLOOKUP(tbl_clean_sales[[#This Row],[Product_ID]],'03_Product_Master'!$A$1:$D$14,2,FALSE),"Missing")</f>
        <v>Instant Coffee</v>
      </c>
      <c r="O177" s="25" t="str">
        <f>IFERROR(VLOOKUP(tbl_clean_sales[[#This Row],[Product_ID]],'03_Product_Master'!$A$1:$D$14,3,FALSE),"Missing")</f>
        <v>Beverages</v>
      </c>
      <c r="P177" s="25">
        <f>IFERROR(VLOOKUP(tbl_clean_sales[[#This Row],[Product_ID]],'03_Product_Master'!$A$1:$D$14,4,FALSE),"Missing")</f>
        <v>350</v>
      </c>
      <c r="Q177" s="25" t="str">
        <f>IF('03_Clean_data'!E177="","Missing",IFERROR(IF(VLOOKUP(E177,'04_Branch_Master'!$A$1:$C$7,1,FALSE)='03_Clean_data'!E177,"Valid","Invalid"),"Invalid"))</f>
        <v>Valid</v>
      </c>
      <c r="R177" s="25" t="str">
        <f>IFERROR(VLOOKUP(tbl_clean_sales[[#This Row],[Branch_ID]],'04_Branch_Master'!$A$1:$C$7,2,FALSE),"Missing")</f>
        <v>Dharapuram</v>
      </c>
      <c r="S177" s="25" t="str">
        <f>IFERROR(VLOOKUP(tbl_clean_sales[[#This Row],[Branch_ID]],'04_Branch_Master'!$A$1:$C$7,3,FALSE),"Missing")</f>
        <v>South</v>
      </c>
      <c r="T177" s="25" t="str">
        <f>C177&amp;"|"&amp;TEXT(tbl_clean_sales[[#This Row],[Date]],"yyyymm")</f>
        <v>E009|202606</v>
      </c>
      <c r="U177" s="25">
        <f>IFERROR(INDEX('05_Target_Master'!$A$1:$F$32,MATCH(tbl_clean_sales[[#This Row],[target key]],'05_Target_Master'!$F$1:$F$32,0),3),"Missing")</f>
        <v>156700</v>
      </c>
    </row>
    <row r="178" spans="1:21" x14ac:dyDescent="0.3">
      <c r="A178" s="21">
        <v>46151</v>
      </c>
      <c r="B178" s="22" t="s">
        <v>210</v>
      </c>
      <c r="C178" s="22" t="s">
        <v>46</v>
      </c>
      <c r="D178" s="22" t="s">
        <v>19</v>
      </c>
      <c r="E178" s="22" t="s">
        <v>32</v>
      </c>
      <c r="F178" s="22">
        <v>5</v>
      </c>
      <c r="G178" s="23">
        <v>1122.51</v>
      </c>
      <c r="H178" s="25" t="str">
        <f>IF(COUNTIF(tbl_clean_sales[Invoice_ID],tbl_clean_sales[[#This Row],[Invoice_ID]])&gt;1,"Duplicate","Unique")</f>
        <v>Unique</v>
      </c>
      <c r="I178" s="25"/>
      <c r="J17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8" s="25" t="str">
        <f>IFERROR(VLOOKUP(tbl_clean_sales[[#This Row],[Employee_ID]],'02_Employee_Master'!$A$1:$C$12,2,FALSE),"Employee Name Missing")</f>
        <v>Suresh B</v>
      </c>
      <c r="L178" s="25" t="str">
        <f>IFERROR(VLOOKUP(tbl_clean_sales[[#This Row],[Employee_ID]],'02_Employee_Master'!$A$1:$C$12,3,FALSE),"Department Name Missing")</f>
        <v>Sales</v>
      </c>
      <c r="M178" s="25" t="str">
        <f>IF('03_Clean_data'!D178="","Missing",IFERROR(IF(VLOOKUP(D178,'03_Product_Master'!$A$1:$D$14,1,FALSE)='03_Clean_data'!D178,"Valid","Invalid"),"Invalid"))</f>
        <v>Valid</v>
      </c>
      <c r="N178" s="25" t="str">
        <f>IFERROR(VLOOKUP(tbl_clean_sales[[#This Row],[Product_ID]],'03_Product_Master'!$A$1:$D$14,2,FALSE),"Missing")</f>
        <v>Floor Cleaner</v>
      </c>
      <c r="O178" s="25" t="str">
        <f>IFERROR(VLOOKUP(tbl_clean_sales[[#This Row],[Product_ID]],'03_Product_Master'!$A$1:$D$14,3,FALSE),"Missing")</f>
        <v>Home Care</v>
      </c>
      <c r="P178" s="25">
        <f>IFERROR(VLOOKUP(tbl_clean_sales[[#This Row],[Product_ID]],'03_Product_Master'!$A$1:$D$14,4,FALSE),"Missing")</f>
        <v>230</v>
      </c>
      <c r="Q178" s="25" t="str">
        <f>IF('03_Clean_data'!E178="","Missing",IFERROR(IF(VLOOKUP(E178,'04_Branch_Master'!$A$1:$C$7,1,FALSE)='03_Clean_data'!E178,"Valid","Invalid"),"Invalid"))</f>
        <v>Valid</v>
      </c>
      <c r="R178" s="25" t="str">
        <f>IFERROR(VLOOKUP(tbl_clean_sales[[#This Row],[Branch_ID]],'04_Branch_Master'!$A$1:$C$7,2,FALSE),"Missing")</f>
        <v>Kangeyam</v>
      </c>
      <c r="S178" s="25" t="str">
        <f>IFERROR(VLOOKUP(tbl_clean_sales[[#This Row],[Branch_ID]],'04_Branch_Master'!$A$1:$C$7,3,FALSE),"Missing")</f>
        <v>East</v>
      </c>
      <c r="T178" s="25" t="str">
        <f>C178&amp;"|"&amp;TEXT(tbl_clean_sales[[#This Row],[Date]],"yyyymm")</f>
        <v>E007|202605</v>
      </c>
      <c r="U178" s="25">
        <f>IFERROR(INDEX('05_Target_Master'!$A$1:$F$32,MATCH(tbl_clean_sales[[#This Row],[target key]],'05_Target_Master'!$F$1:$F$32,0),3),"Missing")</f>
        <v>140000</v>
      </c>
    </row>
    <row r="179" spans="1:21" x14ac:dyDescent="0.3">
      <c r="A179" s="21">
        <v>46162</v>
      </c>
      <c r="B179" s="22" t="s">
        <v>211</v>
      </c>
      <c r="C179" s="22" t="s">
        <v>38</v>
      </c>
      <c r="D179" s="22" t="s">
        <v>9</v>
      </c>
      <c r="E179" s="22" t="s">
        <v>32</v>
      </c>
      <c r="F179" s="22">
        <v>10</v>
      </c>
      <c r="G179" s="23">
        <v>2679.39</v>
      </c>
      <c r="H179" s="25" t="str">
        <f>IF(COUNTIF(tbl_clean_sales[Invoice_ID],tbl_clean_sales[[#This Row],[Invoice_ID]])&gt;1,"Duplicate","Unique")</f>
        <v>Unique</v>
      </c>
      <c r="I179" s="25"/>
      <c r="J17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79" s="25" t="str">
        <f>IFERROR(VLOOKUP(tbl_clean_sales[[#This Row],[Employee_ID]],'02_Employee_Master'!$A$1:$C$12,2,FALSE),"Employee Name Missing")</f>
        <v>Nandhini K</v>
      </c>
      <c r="L179" s="25" t="str">
        <f>IFERROR(VLOOKUP(tbl_clean_sales[[#This Row],[Employee_ID]],'02_Employee_Master'!$A$1:$C$12,3,FALSE),"Department Name Missing")</f>
        <v>Sales</v>
      </c>
      <c r="M179" s="25" t="str">
        <f>IF('03_Clean_data'!D179="","Missing",IFERROR(IF(VLOOKUP(D179,'03_Product_Master'!$A$1:$D$14,1,FALSE)='03_Clean_data'!D179,"Valid","Invalid"),"Invalid"))</f>
        <v>Valid</v>
      </c>
      <c r="N179" s="25" t="str">
        <f>IFERROR(VLOOKUP(tbl_clean_sales[[#This Row],[Product_ID]],'03_Product_Master'!$A$1:$D$14,2,FALSE),"Missing")</f>
        <v>Green Tea</v>
      </c>
      <c r="O179" s="25" t="str">
        <f>IFERROR(VLOOKUP(tbl_clean_sales[[#This Row],[Product_ID]],'03_Product_Master'!$A$1:$D$14,3,FALSE),"Missing")</f>
        <v>Beverages</v>
      </c>
      <c r="P179" s="25">
        <f>IFERROR(VLOOKUP(tbl_clean_sales[[#This Row],[Product_ID]],'03_Product_Master'!$A$1:$D$14,4,FALSE),"Missing")</f>
        <v>280</v>
      </c>
      <c r="Q179" s="25" t="str">
        <f>IF('03_Clean_data'!E179="","Missing",IFERROR(IF(VLOOKUP(E179,'04_Branch_Master'!$A$1:$C$7,1,FALSE)='03_Clean_data'!E179,"Valid","Invalid"),"Invalid"))</f>
        <v>Valid</v>
      </c>
      <c r="R179" s="25" t="str">
        <f>IFERROR(VLOOKUP(tbl_clean_sales[[#This Row],[Branch_ID]],'04_Branch_Master'!$A$1:$C$7,2,FALSE),"Missing")</f>
        <v>Kangeyam</v>
      </c>
      <c r="S179" s="25" t="str">
        <f>IFERROR(VLOOKUP(tbl_clean_sales[[#This Row],[Branch_ID]],'04_Branch_Master'!$A$1:$C$7,3,FALSE),"Missing")</f>
        <v>East</v>
      </c>
      <c r="T179" s="25" t="str">
        <f>C179&amp;"|"&amp;TEXT(tbl_clean_sales[[#This Row],[Date]],"yyyymm")</f>
        <v>E008|202605</v>
      </c>
      <c r="U179" s="25">
        <f>IFERROR(INDEX('05_Target_Master'!$A$1:$F$32,MATCH(tbl_clean_sales[[#This Row],[target key]],'05_Target_Master'!$F$1:$F$32,0),3),"Missing")</f>
        <v>134100</v>
      </c>
    </row>
    <row r="180" spans="1:21" x14ac:dyDescent="0.3">
      <c r="A180" s="21">
        <v>46150</v>
      </c>
      <c r="B180" s="22" t="s">
        <v>212</v>
      </c>
      <c r="C180" s="22" t="s">
        <v>24</v>
      </c>
      <c r="D180" s="22" t="s">
        <v>25</v>
      </c>
      <c r="E180" s="22" t="s">
        <v>32</v>
      </c>
      <c r="F180" s="22">
        <v>5</v>
      </c>
      <c r="G180" s="23">
        <v>2097.96</v>
      </c>
      <c r="H180" s="25" t="str">
        <f>IF(COUNTIF(tbl_clean_sales[Invoice_ID],tbl_clean_sales[[#This Row],[Invoice_ID]])&gt;1,"Duplicate","Unique")</f>
        <v>Unique</v>
      </c>
      <c r="I180" s="25"/>
      <c r="J18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0" s="25" t="str">
        <f>IFERROR(VLOOKUP(tbl_clean_sales[[#This Row],[Employee_ID]],'02_Employee_Master'!$A$1:$C$12,2,FALSE),"Employee Name Missing")</f>
        <v>Karthik P</v>
      </c>
      <c r="L180" s="25" t="str">
        <f>IFERROR(VLOOKUP(tbl_clean_sales[[#This Row],[Employee_ID]],'02_Employee_Master'!$A$1:$C$12,3,FALSE),"Department Name Missing")</f>
        <v>Sales</v>
      </c>
      <c r="M180" s="25" t="str">
        <f>IF('03_Clean_data'!D180="","Missing",IFERROR(IF(VLOOKUP(D180,'03_Product_Master'!$A$1:$D$14,1,FALSE)='03_Clean_data'!D180,"Valid","Invalid"),"Invalid"))</f>
        <v>Valid</v>
      </c>
      <c r="N180" s="25" t="str">
        <f>IFERROR(VLOOKUP(tbl_clean_sales[[#This Row],[Product_ID]],'03_Product_Master'!$A$1:$D$14,2,FALSE),"Missing")</f>
        <v>Premium Coffee</v>
      </c>
      <c r="O180" s="25" t="str">
        <f>IFERROR(VLOOKUP(tbl_clean_sales[[#This Row],[Product_ID]],'03_Product_Master'!$A$1:$D$14,3,FALSE),"Missing")</f>
        <v>Beverages</v>
      </c>
      <c r="P180" s="25">
        <f>IFERROR(VLOOKUP(tbl_clean_sales[[#This Row],[Product_ID]],'03_Product_Master'!$A$1:$D$14,4,FALSE),"Missing")</f>
        <v>420</v>
      </c>
      <c r="Q180" s="25" t="str">
        <f>IF('03_Clean_data'!E180="","Missing",IFERROR(IF(VLOOKUP(E180,'04_Branch_Master'!$A$1:$C$7,1,FALSE)='03_Clean_data'!E180,"Valid","Invalid"),"Invalid"))</f>
        <v>Valid</v>
      </c>
      <c r="R180" s="25" t="str">
        <f>IFERROR(VLOOKUP(tbl_clean_sales[[#This Row],[Branch_ID]],'04_Branch_Master'!$A$1:$C$7,2,FALSE),"Missing")</f>
        <v>Kangeyam</v>
      </c>
      <c r="S180" s="25" t="str">
        <f>IFERROR(VLOOKUP(tbl_clean_sales[[#This Row],[Branch_ID]],'04_Branch_Master'!$A$1:$C$7,3,FALSE),"Missing")</f>
        <v>East</v>
      </c>
      <c r="T180" s="25" t="str">
        <f>C180&amp;"|"&amp;TEXT(tbl_clean_sales[[#This Row],[Date]],"yyyymm")</f>
        <v>E005|202605</v>
      </c>
      <c r="U180" s="25">
        <f>IFERROR(INDEX('05_Target_Master'!$A$1:$F$32,MATCH(tbl_clean_sales[[#This Row],[target key]],'05_Target_Master'!$F$1:$F$32,0),3),"Missing")</f>
        <v>143700</v>
      </c>
    </row>
    <row r="181" spans="1:21" x14ac:dyDescent="0.3">
      <c r="A181" s="21">
        <v>46200</v>
      </c>
      <c r="B181" s="22" t="s">
        <v>213</v>
      </c>
      <c r="C181" s="22" t="s">
        <v>74</v>
      </c>
      <c r="D181" s="22" t="s">
        <v>36</v>
      </c>
      <c r="E181" s="22" t="s">
        <v>22</v>
      </c>
      <c r="F181" s="22">
        <v>5</v>
      </c>
      <c r="G181" s="23">
        <v>861.57</v>
      </c>
      <c r="H181" s="25" t="str">
        <f>IF(COUNTIF(tbl_clean_sales[Invoice_ID],tbl_clean_sales[[#This Row],[Invoice_ID]])&gt;1,"Duplicate","Unique")</f>
        <v>Unique</v>
      </c>
      <c r="I181" s="25"/>
      <c r="J18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1" s="25" t="str">
        <f>IFERROR(VLOOKUP(tbl_clean_sales[[#This Row],[Employee_ID]],'02_Employee_Master'!$A$1:$C$12,2,FALSE),"Employee Name Missing")</f>
        <v>Arun Kumar</v>
      </c>
      <c r="L181" s="25" t="str">
        <f>IFERROR(VLOOKUP(tbl_clean_sales[[#This Row],[Employee_ID]],'02_Employee_Master'!$A$1:$C$12,3,FALSE),"Department Name Missing")</f>
        <v>Sales</v>
      </c>
      <c r="M181" s="25" t="str">
        <f>IF('03_Clean_data'!D181="","Missing",IFERROR(IF(VLOOKUP(D181,'03_Product_Master'!$A$1:$D$14,1,FALSE)='03_Clean_data'!D181,"Valid","Invalid"),"Invalid"))</f>
        <v>Valid</v>
      </c>
      <c r="N181" s="25" t="str">
        <f>IFERROR(VLOOKUP(tbl_clean_sales[[#This Row],[Product_ID]],'03_Product_Master'!$A$1:$D$14,2,FALSE),"Missing")</f>
        <v>Dish Wash</v>
      </c>
      <c r="O181" s="25" t="str">
        <f>IFERROR(VLOOKUP(tbl_clean_sales[[#This Row],[Product_ID]],'03_Product_Master'!$A$1:$D$14,3,FALSE),"Missing")</f>
        <v>Home Care</v>
      </c>
      <c r="P181" s="25">
        <f>IFERROR(VLOOKUP(tbl_clean_sales[[#This Row],[Product_ID]],'03_Product_Master'!$A$1:$D$14,4,FALSE),"Missing")</f>
        <v>190</v>
      </c>
      <c r="Q181" s="25" t="str">
        <f>IF('03_Clean_data'!E181="","Missing",IFERROR(IF(VLOOKUP(E181,'04_Branch_Master'!$A$1:$C$7,1,FALSE)='03_Clean_data'!E181,"Valid","Invalid"),"Invalid"))</f>
        <v>Valid</v>
      </c>
      <c r="R181" s="25" t="str">
        <f>IFERROR(VLOOKUP(tbl_clean_sales[[#This Row],[Branch_ID]],'04_Branch_Master'!$A$1:$C$7,2,FALSE),"Missing")</f>
        <v>Tirupur Central</v>
      </c>
      <c r="S181" s="25" t="str">
        <f>IFERROR(VLOOKUP(tbl_clean_sales[[#This Row],[Branch_ID]],'04_Branch_Master'!$A$1:$C$7,3,FALSE),"Missing")</f>
        <v>North</v>
      </c>
      <c r="T181" s="25" t="str">
        <f>C181&amp;"|"&amp;TEXT(tbl_clean_sales[[#This Row],[Date]],"yyyymm")</f>
        <v>E001|202606</v>
      </c>
      <c r="U181" s="25">
        <f>IFERROR(INDEX('05_Target_Master'!$A$1:$F$32,MATCH(tbl_clean_sales[[#This Row],[target key]],'05_Target_Master'!$F$1:$F$32,0),3),"Missing")</f>
        <v>150600</v>
      </c>
    </row>
    <row r="182" spans="1:21" x14ac:dyDescent="0.3">
      <c r="A182" s="21">
        <v>46142</v>
      </c>
      <c r="B182" s="22" t="s">
        <v>214</v>
      </c>
      <c r="C182" s="22" t="s">
        <v>29</v>
      </c>
      <c r="D182" s="22" t="s">
        <v>34</v>
      </c>
      <c r="E182" s="22" t="s">
        <v>10</v>
      </c>
      <c r="F182" s="22">
        <v>4</v>
      </c>
      <c r="G182" s="23">
        <v>407.22</v>
      </c>
      <c r="H182" s="25" t="str">
        <f>IF(COUNTIF(tbl_clean_sales[Invoice_ID],tbl_clean_sales[[#This Row],[Invoice_ID]])&gt;1,"Duplicate","Unique")</f>
        <v>Unique</v>
      </c>
      <c r="I182" s="25"/>
      <c r="J18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2" s="25" t="str">
        <f>IFERROR(VLOOKUP(tbl_clean_sales[[#This Row],[Employee_ID]],'02_Employee_Master'!$A$1:$C$12,2,FALSE),"Employee Name Missing")</f>
        <v>Swetha L</v>
      </c>
      <c r="L182" s="25" t="str">
        <f>IFERROR(VLOOKUP(tbl_clean_sales[[#This Row],[Employee_ID]],'02_Employee_Master'!$A$1:$C$12,3,FALSE),"Department Name Missing")</f>
        <v>Sales</v>
      </c>
      <c r="M182" s="25" t="str">
        <f>IF('03_Clean_data'!D182="","Missing",IFERROR(IF(VLOOKUP(D182,'03_Product_Master'!$A$1:$D$14,1,FALSE)='03_Clean_data'!D182,"Valid","Invalid"),"Invalid"))</f>
        <v>Valid</v>
      </c>
      <c r="N182" s="25" t="str">
        <f>IFERROR(VLOOKUP(tbl_clean_sales[[#This Row],[Product_ID]],'03_Product_Master'!$A$1:$D$14,2,FALSE),"Missing")</f>
        <v>Potato Chips</v>
      </c>
      <c r="O182" s="25" t="str">
        <f>IFERROR(VLOOKUP(tbl_clean_sales[[#This Row],[Product_ID]],'03_Product_Master'!$A$1:$D$14,3,FALSE),"Missing")</f>
        <v>Snacks</v>
      </c>
      <c r="P182" s="25">
        <f>IFERROR(VLOOKUP(tbl_clean_sales[[#This Row],[Product_ID]],'03_Product_Master'!$A$1:$D$14,4,FALSE),"Missing")</f>
        <v>110</v>
      </c>
      <c r="Q182" s="25" t="str">
        <f>IF('03_Clean_data'!E182="","Missing",IFERROR(IF(VLOOKUP(E182,'04_Branch_Master'!$A$1:$C$7,1,FALSE)='03_Clean_data'!E182,"Valid","Invalid"),"Invalid"))</f>
        <v>Valid</v>
      </c>
      <c r="R182" s="25" t="str">
        <f>IFERROR(VLOOKUP(tbl_clean_sales[[#This Row],[Branch_ID]],'04_Branch_Master'!$A$1:$C$7,2,FALSE),"Missing")</f>
        <v>Dharapuram</v>
      </c>
      <c r="S182" s="25" t="str">
        <f>IFERROR(VLOOKUP(tbl_clean_sales[[#This Row],[Branch_ID]],'04_Branch_Master'!$A$1:$C$7,3,FALSE),"Missing")</f>
        <v>South</v>
      </c>
      <c r="T182" s="25" t="str">
        <f>C182&amp;"|"&amp;TEXT(tbl_clean_sales[[#This Row],[Date]],"yyyymm")</f>
        <v>E010|202604</v>
      </c>
      <c r="U182" s="25">
        <f>IFERROR(INDEX('05_Target_Master'!$A$1:$F$32,MATCH(tbl_clean_sales[[#This Row],[target key]],'05_Target_Master'!$F$1:$F$32,0),3),"Missing")</f>
        <v>121700</v>
      </c>
    </row>
    <row r="183" spans="1:21" x14ac:dyDescent="0.3">
      <c r="A183" s="21">
        <v>46199</v>
      </c>
      <c r="B183" s="22" t="s">
        <v>215</v>
      </c>
      <c r="C183" s="22" t="s">
        <v>18</v>
      </c>
      <c r="D183" s="22" t="s">
        <v>43</v>
      </c>
      <c r="E183" s="22" t="s">
        <v>14</v>
      </c>
      <c r="F183" s="22">
        <v>11</v>
      </c>
      <c r="G183" s="23">
        <v>3449.92</v>
      </c>
      <c r="H183" s="25" t="str">
        <f>IF(COUNTIF(tbl_clean_sales[Invoice_ID],tbl_clean_sales[[#This Row],[Invoice_ID]])&gt;1,"Duplicate","Unique")</f>
        <v>Unique</v>
      </c>
      <c r="I183" s="25"/>
      <c r="J18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3" s="25" t="str">
        <f>IFERROR(VLOOKUP(tbl_clean_sales[[#This Row],[Employee_ID]],'02_Employee_Master'!$A$1:$C$12,2,FALSE),"Employee Name Missing")</f>
        <v>Rahul M</v>
      </c>
      <c r="L183" s="25" t="str">
        <f>IFERROR(VLOOKUP(tbl_clean_sales[[#This Row],[Employee_ID]],'02_Employee_Master'!$A$1:$C$12,3,FALSE),"Department Name Missing")</f>
        <v>Sales</v>
      </c>
      <c r="M183" s="25" t="str">
        <f>IF('03_Clean_data'!D183="","Missing",IFERROR(IF(VLOOKUP(D183,'03_Product_Master'!$A$1:$D$14,1,FALSE)='03_Clean_data'!D183,"Valid","Invalid"),"Invalid"))</f>
        <v>Valid</v>
      </c>
      <c r="N183" s="25" t="str">
        <f>IFERROR(VLOOKUP(tbl_clean_sales[[#This Row],[Product_ID]],'03_Product_Master'!$A$1:$D$14,2,FALSE),"Missing")</f>
        <v>Laundry Liquid</v>
      </c>
      <c r="O183" s="25" t="str">
        <f>IFERROR(VLOOKUP(tbl_clean_sales[[#This Row],[Product_ID]],'03_Product_Master'!$A$1:$D$14,3,FALSE),"Missing")</f>
        <v>Home Care</v>
      </c>
      <c r="P183" s="25">
        <f>IFERROR(VLOOKUP(tbl_clean_sales[[#This Row],[Product_ID]],'03_Product_Master'!$A$1:$D$14,4,FALSE),"Missing")</f>
        <v>340</v>
      </c>
      <c r="Q183" s="25" t="str">
        <f>IF('03_Clean_data'!E183="","Missing",IFERROR(IF(VLOOKUP(E183,'04_Branch_Master'!$A$1:$C$7,1,FALSE)='03_Clean_data'!E183,"Valid","Invalid"),"Invalid"))</f>
        <v>Valid</v>
      </c>
      <c r="R183" s="25" t="str">
        <f>IFERROR(VLOOKUP(tbl_clean_sales[[#This Row],[Branch_ID]],'04_Branch_Master'!$A$1:$C$7,2,FALSE),"Missing")</f>
        <v>Avinashi Road</v>
      </c>
      <c r="S183" s="25" t="str">
        <f>IFERROR(VLOOKUP(tbl_clean_sales[[#This Row],[Branch_ID]],'04_Branch_Master'!$A$1:$C$7,3,FALSE),"Missing")</f>
        <v>North</v>
      </c>
      <c r="T183" s="25" t="str">
        <f>C183&amp;"|"&amp;TEXT(tbl_clean_sales[[#This Row],[Date]],"yyyymm")</f>
        <v>E003|202606</v>
      </c>
      <c r="U183" s="25">
        <f>IFERROR(INDEX('05_Target_Master'!$A$1:$F$32,MATCH(tbl_clean_sales[[#This Row],[target key]],'05_Target_Master'!$F$1:$F$32,0),3),"Missing")</f>
        <v>112000</v>
      </c>
    </row>
    <row r="184" spans="1:21" x14ac:dyDescent="0.3">
      <c r="A184" s="21">
        <v>46152</v>
      </c>
      <c r="B184" s="22" t="s">
        <v>216</v>
      </c>
      <c r="C184" s="22" t="s">
        <v>38</v>
      </c>
      <c r="D184" s="22" t="s">
        <v>25</v>
      </c>
      <c r="E184" s="22" t="s">
        <v>32</v>
      </c>
      <c r="F184" s="22">
        <v>12</v>
      </c>
      <c r="G184" s="23">
        <v>4960.5200000000004</v>
      </c>
      <c r="H184" s="25" t="str">
        <f>IF(COUNTIF(tbl_clean_sales[Invoice_ID],tbl_clean_sales[[#This Row],[Invoice_ID]])&gt;1,"Duplicate","Unique")</f>
        <v>Unique</v>
      </c>
      <c r="I184" s="25"/>
      <c r="J18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4" s="25" t="str">
        <f>IFERROR(VLOOKUP(tbl_clean_sales[[#This Row],[Employee_ID]],'02_Employee_Master'!$A$1:$C$12,2,FALSE),"Employee Name Missing")</f>
        <v>Nandhini K</v>
      </c>
      <c r="L184" s="25" t="str">
        <f>IFERROR(VLOOKUP(tbl_clean_sales[[#This Row],[Employee_ID]],'02_Employee_Master'!$A$1:$C$12,3,FALSE),"Department Name Missing")</f>
        <v>Sales</v>
      </c>
      <c r="M184" s="25" t="str">
        <f>IF('03_Clean_data'!D184="","Missing",IFERROR(IF(VLOOKUP(D184,'03_Product_Master'!$A$1:$D$14,1,FALSE)='03_Clean_data'!D184,"Valid","Invalid"),"Invalid"))</f>
        <v>Valid</v>
      </c>
      <c r="N184" s="25" t="str">
        <f>IFERROR(VLOOKUP(tbl_clean_sales[[#This Row],[Product_ID]],'03_Product_Master'!$A$1:$D$14,2,FALSE),"Missing")</f>
        <v>Premium Coffee</v>
      </c>
      <c r="O184" s="25" t="str">
        <f>IFERROR(VLOOKUP(tbl_clean_sales[[#This Row],[Product_ID]],'03_Product_Master'!$A$1:$D$14,3,FALSE),"Missing")</f>
        <v>Beverages</v>
      </c>
      <c r="P184" s="25">
        <f>IFERROR(VLOOKUP(tbl_clean_sales[[#This Row],[Product_ID]],'03_Product_Master'!$A$1:$D$14,4,FALSE),"Missing")</f>
        <v>420</v>
      </c>
      <c r="Q184" s="25" t="str">
        <f>IF('03_Clean_data'!E184="","Missing",IFERROR(IF(VLOOKUP(E184,'04_Branch_Master'!$A$1:$C$7,1,FALSE)='03_Clean_data'!E184,"Valid","Invalid"),"Invalid"))</f>
        <v>Valid</v>
      </c>
      <c r="R184" s="25" t="str">
        <f>IFERROR(VLOOKUP(tbl_clean_sales[[#This Row],[Branch_ID]],'04_Branch_Master'!$A$1:$C$7,2,FALSE),"Missing")</f>
        <v>Kangeyam</v>
      </c>
      <c r="S184" s="25" t="str">
        <f>IFERROR(VLOOKUP(tbl_clean_sales[[#This Row],[Branch_ID]],'04_Branch_Master'!$A$1:$C$7,3,FALSE),"Missing")</f>
        <v>East</v>
      </c>
      <c r="T184" s="25" t="str">
        <f>C184&amp;"|"&amp;TEXT(tbl_clean_sales[[#This Row],[Date]],"yyyymm")</f>
        <v>E008|202605</v>
      </c>
      <c r="U184" s="25">
        <f>IFERROR(INDEX('05_Target_Master'!$A$1:$F$32,MATCH(tbl_clean_sales[[#This Row],[target key]],'05_Target_Master'!$F$1:$F$32,0),3),"Missing")</f>
        <v>134100</v>
      </c>
    </row>
    <row r="185" spans="1:21" x14ac:dyDescent="0.3">
      <c r="A185" s="21">
        <v>46150</v>
      </c>
      <c r="B185" s="22" t="s">
        <v>217</v>
      </c>
      <c r="C185" s="22" t="s">
        <v>40</v>
      </c>
      <c r="D185" s="22" t="s">
        <v>19</v>
      </c>
      <c r="E185" s="22" t="s">
        <v>26</v>
      </c>
      <c r="F185" s="22">
        <v>4</v>
      </c>
      <c r="G185" s="23">
        <v>905.41</v>
      </c>
      <c r="H185" s="25" t="str">
        <f>IF(COUNTIF(tbl_clean_sales[Invoice_ID],tbl_clean_sales[[#This Row],[Invoice_ID]])&gt;1,"Duplicate","Unique")</f>
        <v>Unique</v>
      </c>
      <c r="I185" s="25"/>
      <c r="J18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5" s="25" t="str">
        <f>IFERROR(VLOOKUP(tbl_clean_sales[[#This Row],[Employee_ID]],'02_Employee_Master'!$A$1:$C$12,2,FALSE),"Employee Name Missing")</f>
        <v>Meena V</v>
      </c>
      <c r="L185" s="25" t="str">
        <f>IFERROR(VLOOKUP(tbl_clean_sales[[#This Row],[Employee_ID]],'02_Employee_Master'!$A$1:$C$12,3,FALSE),"Department Name Missing")</f>
        <v>Sales</v>
      </c>
      <c r="M185" s="25" t="str">
        <f>IF('03_Clean_data'!D185="","Missing",IFERROR(IF(VLOOKUP(D185,'03_Product_Master'!$A$1:$D$14,1,FALSE)='03_Clean_data'!D185,"Valid","Invalid"),"Invalid"))</f>
        <v>Valid</v>
      </c>
      <c r="N185" s="25" t="str">
        <f>IFERROR(VLOOKUP(tbl_clean_sales[[#This Row],[Product_ID]],'03_Product_Master'!$A$1:$D$14,2,FALSE),"Missing")</f>
        <v>Floor Cleaner</v>
      </c>
      <c r="O185" s="25" t="str">
        <f>IFERROR(VLOOKUP(tbl_clean_sales[[#This Row],[Product_ID]],'03_Product_Master'!$A$1:$D$14,3,FALSE),"Missing")</f>
        <v>Home Care</v>
      </c>
      <c r="P185" s="25">
        <f>IFERROR(VLOOKUP(tbl_clean_sales[[#This Row],[Product_ID]],'03_Product_Master'!$A$1:$D$14,4,FALSE),"Missing")</f>
        <v>230</v>
      </c>
      <c r="Q185" s="25" t="str">
        <f>IF('03_Clean_data'!E185="","Missing",IFERROR(IF(VLOOKUP(E185,'04_Branch_Master'!$A$1:$C$7,1,FALSE)='03_Clean_data'!E185,"Valid","Invalid"),"Invalid"))</f>
        <v>Valid</v>
      </c>
      <c r="R185" s="25" t="str">
        <f>IFERROR(VLOOKUP(tbl_clean_sales[[#This Row],[Branch_ID]],'04_Branch_Master'!$A$1:$C$7,2,FALSE),"Missing")</f>
        <v>Palladam</v>
      </c>
      <c r="S185" s="25" t="str">
        <f>IFERROR(VLOOKUP(tbl_clean_sales[[#This Row],[Branch_ID]],'04_Branch_Master'!$A$1:$C$7,3,FALSE),"Missing")</f>
        <v>South</v>
      </c>
      <c r="T185" s="25" t="str">
        <f>C185&amp;"|"&amp;TEXT(tbl_clean_sales[[#This Row],[Date]],"yyyymm")</f>
        <v>E006|202605</v>
      </c>
      <c r="U185" s="25">
        <f>IFERROR(INDEX('05_Target_Master'!$A$1:$F$32,MATCH(tbl_clean_sales[[#This Row],[target key]],'05_Target_Master'!$F$1:$F$32,0),3),"Missing")</f>
        <v>141500</v>
      </c>
    </row>
    <row r="186" spans="1:21" x14ac:dyDescent="0.3">
      <c r="A186" s="21">
        <v>46182</v>
      </c>
      <c r="B186" s="22" t="s">
        <v>218</v>
      </c>
      <c r="C186" s="22" t="s">
        <v>40</v>
      </c>
      <c r="D186" s="22" t="s">
        <v>13</v>
      </c>
      <c r="E186" s="22" t="s">
        <v>26</v>
      </c>
      <c r="F186" s="22">
        <v>5</v>
      </c>
      <c r="G186" s="23">
        <v>1755.67</v>
      </c>
      <c r="H186" s="25" t="str">
        <f>IF(COUNTIF(tbl_clean_sales[Invoice_ID],tbl_clean_sales[[#This Row],[Invoice_ID]])&gt;1,"Duplicate","Unique")</f>
        <v>Unique</v>
      </c>
      <c r="I186" s="25"/>
      <c r="J18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6" s="25" t="str">
        <f>IFERROR(VLOOKUP(tbl_clean_sales[[#This Row],[Employee_ID]],'02_Employee_Master'!$A$1:$C$12,2,FALSE),"Employee Name Missing")</f>
        <v>Meena V</v>
      </c>
      <c r="L186" s="25" t="str">
        <f>IFERROR(VLOOKUP(tbl_clean_sales[[#This Row],[Employee_ID]],'02_Employee_Master'!$A$1:$C$12,3,FALSE),"Department Name Missing")</f>
        <v>Sales</v>
      </c>
      <c r="M186" s="25" t="str">
        <f>IF('03_Clean_data'!D186="","Missing",IFERROR(IF(VLOOKUP(D186,'03_Product_Master'!$A$1:$D$14,1,FALSE)='03_Clean_data'!D186,"Valid","Invalid"),"Invalid"))</f>
        <v>Valid</v>
      </c>
      <c r="N186" s="25" t="str">
        <f>IFERROR(VLOOKUP(tbl_clean_sales[[#This Row],[Product_ID]],'03_Product_Master'!$A$1:$D$14,2,FALSE),"Missing")</f>
        <v>Body Lotion</v>
      </c>
      <c r="O186" s="25" t="str">
        <f>IFERROR(VLOOKUP(tbl_clean_sales[[#This Row],[Product_ID]],'03_Product_Master'!$A$1:$D$14,3,FALSE),"Missing")</f>
        <v>Personal Care</v>
      </c>
      <c r="P186" s="25">
        <f>IFERROR(VLOOKUP(tbl_clean_sales[[#This Row],[Product_ID]],'03_Product_Master'!$A$1:$D$14,4,FALSE),"Missing")</f>
        <v>390</v>
      </c>
      <c r="Q186" s="25" t="str">
        <f>IF('03_Clean_data'!E186="","Missing",IFERROR(IF(VLOOKUP(E186,'04_Branch_Master'!$A$1:$C$7,1,FALSE)='03_Clean_data'!E186,"Valid","Invalid"),"Invalid"))</f>
        <v>Valid</v>
      </c>
      <c r="R186" s="25" t="str">
        <f>IFERROR(VLOOKUP(tbl_clean_sales[[#This Row],[Branch_ID]],'04_Branch_Master'!$A$1:$C$7,2,FALSE),"Missing")</f>
        <v>Palladam</v>
      </c>
      <c r="S186" s="25" t="str">
        <f>IFERROR(VLOOKUP(tbl_clean_sales[[#This Row],[Branch_ID]],'04_Branch_Master'!$A$1:$C$7,3,FALSE),"Missing")</f>
        <v>South</v>
      </c>
      <c r="T186" s="25" t="str">
        <f>C186&amp;"|"&amp;TEXT(tbl_clean_sales[[#This Row],[Date]],"yyyymm")</f>
        <v>E006|202606</v>
      </c>
      <c r="U186" s="25">
        <f>IFERROR(INDEX('05_Target_Master'!$A$1:$F$32,MATCH(tbl_clean_sales[[#This Row],[target key]],'05_Target_Master'!$F$1:$F$32,0),3),"Missing")</f>
        <v>125800</v>
      </c>
    </row>
    <row r="187" spans="1:21" x14ac:dyDescent="0.3">
      <c r="A187" s="21">
        <v>46145</v>
      </c>
      <c r="B187" s="22" t="s">
        <v>219</v>
      </c>
      <c r="C187" s="22" t="s">
        <v>38</v>
      </c>
      <c r="D187" s="22" t="s">
        <v>82</v>
      </c>
      <c r="E187" s="22" t="s">
        <v>32</v>
      </c>
      <c r="F187" s="22">
        <v>6</v>
      </c>
      <c r="G187" s="23">
        <v>650.51</v>
      </c>
      <c r="H187" s="25" t="str">
        <f>IF(COUNTIF(tbl_clean_sales[Invoice_ID],tbl_clean_sales[[#This Row],[Invoice_ID]])&gt;1,"Duplicate","Unique")</f>
        <v>Unique</v>
      </c>
      <c r="I187" s="25"/>
      <c r="J18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7" s="25" t="str">
        <f>IFERROR(VLOOKUP(tbl_clean_sales[[#This Row],[Employee_ID]],'02_Employee_Master'!$A$1:$C$12,2,FALSE),"Employee Name Missing")</f>
        <v>Nandhini K</v>
      </c>
      <c r="L187" s="25" t="str">
        <f>IFERROR(VLOOKUP(tbl_clean_sales[[#This Row],[Employee_ID]],'02_Employee_Master'!$A$1:$C$12,3,FALSE),"Department Name Missing")</f>
        <v>Sales</v>
      </c>
      <c r="M187" s="25" t="str">
        <f>IF('03_Clean_data'!D187="","Missing",IFERROR(IF(VLOOKUP(D187,'03_Product_Master'!$A$1:$D$14,1,FALSE)='03_Clean_data'!D187,"Valid","Invalid"),"Invalid"))</f>
        <v>Valid</v>
      </c>
      <c r="N187" s="25" t="str">
        <f>IFERROR(VLOOKUP(tbl_clean_sales[[#This Row],[Product_ID]],'03_Product_Master'!$A$1:$D$14,2,FALSE),"Missing")</f>
        <v>Chocolate Bar</v>
      </c>
      <c r="O187" s="25" t="str">
        <f>IFERROR(VLOOKUP(tbl_clean_sales[[#This Row],[Product_ID]],'03_Product_Master'!$A$1:$D$14,3,FALSE),"Missing")</f>
        <v>Snacks</v>
      </c>
      <c r="P187" s="25">
        <f>IFERROR(VLOOKUP(tbl_clean_sales[[#This Row],[Product_ID]],'03_Product_Master'!$A$1:$D$14,4,FALSE),"Missing")</f>
        <v>120</v>
      </c>
      <c r="Q187" s="25" t="str">
        <f>IF('03_Clean_data'!E187="","Missing",IFERROR(IF(VLOOKUP(E187,'04_Branch_Master'!$A$1:$C$7,1,FALSE)='03_Clean_data'!E187,"Valid","Invalid"),"Invalid"))</f>
        <v>Valid</v>
      </c>
      <c r="R187" s="25" t="str">
        <f>IFERROR(VLOOKUP(tbl_clean_sales[[#This Row],[Branch_ID]],'04_Branch_Master'!$A$1:$C$7,2,FALSE),"Missing")</f>
        <v>Kangeyam</v>
      </c>
      <c r="S187" s="25" t="str">
        <f>IFERROR(VLOOKUP(tbl_clean_sales[[#This Row],[Branch_ID]],'04_Branch_Master'!$A$1:$C$7,3,FALSE),"Missing")</f>
        <v>East</v>
      </c>
      <c r="T187" s="25" t="str">
        <f>C187&amp;"|"&amp;TEXT(tbl_clean_sales[[#This Row],[Date]],"yyyymm")</f>
        <v>E008|202605</v>
      </c>
      <c r="U187" s="25">
        <f>IFERROR(INDEX('05_Target_Master'!$A$1:$F$32,MATCH(tbl_clean_sales[[#This Row],[target key]],'05_Target_Master'!$F$1:$F$32,0),3),"Missing")</f>
        <v>134100</v>
      </c>
    </row>
    <row r="188" spans="1:21" x14ac:dyDescent="0.3">
      <c r="A188" s="21">
        <v>46172</v>
      </c>
      <c r="B188" s="22" t="s">
        <v>220</v>
      </c>
      <c r="C188" s="22" t="s">
        <v>21</v>
      </c>
      <c r="D188" s="22" t="s">
        <v>53</v>
      </c>
      <c r="E188" s="22" t="s">
        <v>22</v>
      </c>
      <c r="F188" s="22">
        <v>4</v>
      </c>
      <c r="G188" s="23">
        <v>1255.5</v>
      </c>
      <c r="H188" s="25" t="str">
        <f>IF(COUNTIF(tbl_clean_sales[Invoice_ID],tbl_clean_sales[[#This Row],[Invoice_ID]])&gt;1,"Duplicate","Unique")</f>
        <v>Unique</v>
      </c>
      <c r="I188" s="25"/>
      <c r="J18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8" s="25" t="str">
        <f>IFERROR(VLOOKUP(tbl_clean_sales[[#This Row],[Employee_ID]],'02_Employee_Master'!$A$1:$C$12,2,FALSE),"Employee Name Missing")</f>
        <v>Priya S</v>
      </c>
      <c r="L188" s="25" t="str">
        <f>IFERROR(VLOOKUP(tbl_clean_sales[[#This Row],[Employee_ID]],'02_Employee_Master'!$A$1:$C$12,3,FALSE),"Department Name Missing")</f>
        <v>Sales</v>
      </c>
      <c r="M188" s="25" t="str">
        <f>IF('03_Clean_data'!D188="","Missing",IFERROR(IF(VLOOKUP(D188,'03_Product_Master'!$A$1:$D$14,1,FALSE)='03_Clean_data'!D188,"Valid","Invalid"),"Invalid"))</f>
        <v>Valid</v>
      </c>
      <c r="N188" s="25" t="str">
        <f>IFERROR(VLOOKUP(tbl_clean_sales[[#This Row],[Product_ID]],'03_Product_Master'!$A$1:$D$14,2,FALSE),"Missing")</f>
        <v>Instant Coffee</v>
      </c>
      <c r="O188" s="25" t="str">
        <f>IFERROR(VLOOKUP(tbl_clean_sales[[#This Row],[Product_ID]],'03_Product_Master'!$A$1:$D$14,3,FALSE),"Missing")</f>
        <v>Beverages</v>
      </c>
      <c r="P188" s="25">
        <f>IFERROR(VLOOKUP(tbl_clean_sales[[#This Row],[Product_ID]],'03_Product_Master'!$A$1:$D$14,4,FALSE),"Missing")</f>
        <v>350</v>
      </c>
      <c r="Q188" s="25" t="str">
        <f>IF('03_Clean_data'!E188="","Missing",IFERROR(IF(VLOOKUP(E188,'04_Branch_Master'!$A$1:$C$7,1,FALSE)='03_Clean_data'!E188,"Valid","Invalid"),"Invalid"))</f>
        <v>Valid</v>
      </c>
      <c r="R188" s="25" t="str">
        <f>IFERROR(VLOOKUP(tbl_clean_sales[[#This Row],[Branch_ID]],'04_Branch_Master'!$A$1:$C$7,2,FALSE),"Missing")</f>
        <v>Tirupur Central</v>
      </c>
      <c r="S188" s="25" t="str">
        <f>IFERROR(VLOOKUP(tbl_clean_sales[[#This Row],[Branch_ID]],'04_Branch_Master'!$A$1:$C$7,3,FALSE),"Missing")</f>
        <v>North</v>
      </c>
      <c r="T188" s="25" t="str">
        <f>C188&amp;"|"&amp;TEXT(tbl_clean_sales[[#This Row],[Date]],"yyyymm")</f>
        <v>E002|202605</v>
      </c>
      <c r="U188" s="25">
        <f>IFERROR(INDEX('05_Target_Master'!$A$1:$F$32,MATCH(tbl_clean_sales[[#This Row],[target key]],'05_Target_Master'!$F$1:$F$32,0),3),"Missing")</f>
        <v>132100</v>
      </c>
    </row>
    <row r="189" spans="1:21" x14ac:dyDescent="0.3">
      <c r="A189" s="21">
        <v>46199</v>
      </c>
      <c r="B189" s="22" t="s">
        <v>221</v>
      </c>
      <c r="C189" s="22" t="s">
        <v>46</v>
      </c>
      <c r="D189" s="22" t="s">
        <v>13</v>
      </c>
      <c r="E189" s="22" t="s">
        <v>32</v>
      </c>
      <c r="F189" s="22">
        <v>7</v>
      </c>
      <c r="G189" s="23">
        <v>2725.44</v>
      </c>
      <c r="H189" s="25" t="str">
        <f>IF(COUNTIF(tbl_clean_sales[Invoice_ID],tbl_clean_sales[[#This Row],[Invoice_ID]])&gt;1,"Duplicate","Unique")</f>
        <v>Unique</v>
      </c>
      <c r="I189" s="25"/>
      <c r="J18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89" s="25" t="str">
        <f>IFERROR(VLOOKUP(tbl_clean_sales[[#This Row],[Employee_ID]],'02_Employee_Master'!$A$1:$C$12,2,FALSE),"Employee Name Missing")</f>
        <v>Suresh B</v>
      </c>
      <c r="L189" s="25" t="str">
        <f>IFERROR(VLOOKUP(tbl_clean_sales[[#This Row],[Employee_ID]],'02_Employee_Master'!$A$1:$C$12,3,FALSE),"Department Name Missing")</f>
        <v>Sales</v>
      </c>
      <c r="M189" s="25" t="str">
        <f>IF('03_Clean_data'!D189="","Missing",IFERROR(IF(VLOOKUP(D189,'03_Product_Master'!$A$1:$D$14,1,FALSE)='03_Clean_data'!D189,"Valid","Invalid"),"Invalid"))</f>
        <v>Valid</v>
      </c>
      <c r="N189" s="25" t="str">
        <f>IFERROR(VLOOKUP(tbl_clean_sales[[#This Row],[Product_ID]],'03_Product_Master'!$A$1:$D$14,2,FALSE),"Missing")</f>
        <v>Body Lotion</v>
      </c>
      <c r="O189" s="25" t="str">
        <f>IFERROR(VLOOKUP(tbl_clean_sales[[#This Row],[Product_ID]],'03_Product_Master'!$A$1:$D$14,3,FALSE),"Missing")</f>
        <v>Personal Care</v>
      </c>
      <c r="P189" s="25">
        <f>IFERROR(VLOOKUP(tbl_clean_sales[[#This Row],[Product_ID]],'03_Product_Master'!$A$1:$D$14,4,FALSE),"Missing")</f>
        <v>390</v>
      </c>
      <c r="Q189" s="25" t="str">
        <f>IF('03_Clean_data'!E189="","Missing",IFERROR(IF(VLOOKUP(E189,'04_Branch_Master'!$A$1:$C$7,1,FALSE)='03_Clean_data'!E189,"Valid","Invalid"),"Invalid"))</f>
        <v>Valid</v>
      </c>
      <c r="R189" s="25" t="str">
        <f>IFERROR(VLOOKUP(tbl_clean_sales[[#This Row],[Branch_ID]],'04_Branch_Master'!$A$1:$C$7,2,FALSE),"Missing")</f>
        <v>Kangeyam</v>
      </c>
      <c r="S189" s="25" t="str">
        <f>IFERROR(VLOOKUP(tbl_clean_sales[[#This Row],[Branch_ID]],'04_Branch_Master'!$A$1:$C$7,3,FALSE),"Missing")</f>
        <v>East</v>
      </c>
      <c r="T189" s="25" t="str">
        <f>C189&amp;"|"&amp;TEXT(tbl_clean_sales[[#This Row],[Date]],"yyyymm")</f>
        <v>E007|202606</v>
      </c>
      <c r="U189" s="25">
        <f>IFERROR(INDEX('05_Target_Master'!$A$1:$F$32,MATCH(tbl_clean_sales[[#This Row],[target key]],'05_Target_Master'!$F$1:$F$32,0),3),"Missing")</f>
        <v>124400</v>
      </c>
    </row>
    <row r="190" spans="1:21" x14ac:dyDescent="0.3">
      <c r="A190" s="21">
        <v>46181</v>
      </c>
      <c r="B190" s="22" t="s">
        <v>222</v>
      </c>
      <c r="C190" s="22" t="s">
        <v>21</v>
      </c>
      <c r="D190" s="22" t="s">
        <v>48</v>
      </c>
      <c r="E190" s="22" t="s">
        <v>22</v>
      </c>
      <c r="F190" s="22">
        <v>12</v>
      </c>
      <c r="G190" s="23">
        <v>2868.28</v>
      </c>
      <c r="H190" s="25" t="str">
        <f>IF(COUNTIF(tbl_clean_sales[Invoice_ID],tbl_clean_sales[[#This Row],[Invoice_ID]])&gt;1,"Duplicate","Unique")</f>
        <v>Unique</v>
      </c>
      <c r="I190" s="25"/>
      <c r="J19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0" s="25" t="str">
        <f>IFERROR(VLOOKUP(tbl_clean_sales[[#This Row],[Employee_ID]],'02_Employee_Master'!$A$1:$C$12,2,FALSE),"Employee Name Missing")</f>
        <v>Priya S</v>
      </c>
      <c r="L190" s="25" t="str">
        <f>IFERROR(VLOOKUP(tbl_clean_sales[[#This Row],[Employee_ID]],'02_Employee_Master'!$A$1:$C$12,3,FALSE),"Department Name Missing")</f>
        <v>Sales</v>
      </c>
      <c r="M190" s="25" t="str">
        <f>IF('03_Clean_data'!D190="","Missing",IFERROR(IF(VLOOKUP(D190,'03_Product_Master'!$A$1:$D$14,1,FALSE)='03_Clean_data'!D190,"Valid","Invalid"),"Invalid"))</f>
        <v>Valid</v>
      </c>
      <c r="N190" s="25" t="str">
        <f>IFERROR(VLOOKUP(tbl_clean_sales[[#This Row],[Product_ID]],'03_Product_Master'!$A$1:$D$14,2,FALSE),"Missing")</f>
        <v>Face Wash</v>
      </c>
      <c r="O190" s="25" t="str">
        <f>IFERROR(VLOOKUP(tbl_clean_sales[[#This Row],[Product_ID]],'03_Product_Master'!$A$1:$D$14,3,FALSE),"Missing")</f>
        <v>Personal Care</v>
      </c>
      <c r="P190" s="25">
        <f>IFERROR(VLOOKUP(tbl_clean_sales[[#This Row],[Product_ID]],'03_Product_Master'!$A$1:$D$14,4,FALSE),"Missing")</f>
        <v>260</v>
      </c>
      <c r="Q190" s="25" t="str">
        <f>IF('03_Clean_data'!E190="","Missing",IFERROR(IF(VLOOKUP(E190,'04_Branch_Master'!$A$1:$C$7,1,FALSE)='03_Clean_data'!E190,"Valid","Invalid"),"Invalid"))</f>
        <v>Valid</v>
      </c>
      <c r="R190" s="25" t="str">
        <f>IFERROR(VLOOKUP(tbl_clean_sales[[#This Row],[Branch_ID]],'04_Branch_Master'!$A$1:$C$7,2,FALSE),"Missing")</f>
        <v>Tirupur Central</v>
      </c>
      <c r="S190" s="25" t="str">
        <f>IFERROR(VLOOKUP(tbl_clean_sales[[#This Row],[Branch_ID]],'04_Branch_Master'!$A$1:$C$7,3,FALSE),"Missing")</f>
        <v>North</v>
      </c>
      <c r="T190" s="25" t="str">
        <f>C190&amp;"|"&amp;TEXT(tbl_clean_sales[[#This Row],[Date]],"yyyymm")</f>
        <v>E002|202606</v>
      </c>
      <c r="U190" s="25">
        <f>IFERROR(INDEX('05_Target_Master'!$A$1:$F$32,MATCH(tbl_clean_sales[[#This Row],[target key]],'05_Target_Master'!$F$1:$F$32,0),3),"Missing")</f>
        <v>117400</v>
      </c>
    </row>
    <row r="191" spans="1:21" x14ac:dyDescent="0.3">
      <c r="A191" s="21">
        <v>46187</v>
      </c>
      <c r="B191" s="22" t="s">
        <v>223</v>
      </c>
      <c r="C191" s="22" t="s">
        <v>46</v>
      </c>
      <c r="D191" s="22" t="s">
        <v>43</v>
      </c>
      <c r="E191" s="22" t="s">
        <v>22</v>
      </c>
      <c r="F191" s="22">
        <v>11</v>
      </c>
      <c r="G191" s="23">
        <v>3635.06</v>
      </c>
      <c r="H191" s="25" t="str">
        <f>IF(COUNTIF(tbl_clean_sales[Invoice_ID],tbl_clean_sales[[#This Row],[Invoice_ID]])&gt;1,"Duplicate","Unique")</f>
        <v>Unique</v>
      </c>
      <c r="I191" s="25"/>
      <c r="J19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1" s="25" t="str">
        <f>IFERROR(VLOOKUP(tbl_clean_sales[[#This Row],[Employee_ID]],'02_Employee_Master'!$A$1:$C$12,2,FALSE),"Employee Name Missing")</f>
        <v>Suresh B</v>
      </c>
      <c r="L191" s="25" t="str">
        <f>IFERROR(VLOOKUP(tbl_clean_sales[[#This Row],[Employee_ID]],'02_Employee_Master'!$A$1:$C$12,3,FALSE),"Department Name Missing")</f>
        <v>Sales</v>
      </c>
      <c r="M191" s="25" t="str">
        <f>IF('03_Clean_data'!D191="","Missing",IFERROR(IF(VLOOKUP(D191,'03_Product_Master'!$A$1:$D$14,1,FALSE)='03_Clean_data'!D191,"Valid","Invalid"),"Invalid"))</f>
        <v>Valid</v>
      </c>
      <c r="N191" s="25" t="str">
        <f>IFERROR(VLOOKUP(tbl_clean_sales[[#This Row],[Product_ID]],'03_Product_Master'!$A$1:$D$14,2,FALSE),"Missing")</f>
        <v>Laundry Liquid</v>
      </c>
      <c r="O191" s="25" t="str">
        <f>IFERROR(VLOOKUP(tbl_clean_sales[[#This Row],[Product_ID]],'03_Product_Master'!$A$1:$D$14,3,FALSE),"Missing")</f>
        <v>Home Care</v>
      </c>
      <c r="P191" s="25">
        <f>IFERROR(VLOOKUP(tbl_clean_sales[[#This Row],[Product_ID]],'03_Product_Master'!$A$1:$D$14,4,FALSE),"Missing")</f>
        <v>340</v>
      </c>
      <c r="Q191" s="25" t="str">
        <f>IF('03_Clean_data'!E191="","Missing",IFERROR(IF(VLOOKUP(E191,'04_Branch_Master'!$A$1:$C$7,1,FALSE)='03_Clean_data'!E191,"Valid","Invalid"),"Invalid"))</f>
        <v>Valid</v>
      </c>
      <c r="R191" s="25" t="str">
        <f>IFERROR(VLOOKUP(tbl_clean_sales[[#This Row],[Branch_ID]],'04_Branch_Master'!$A$1:$C$7,2,FALSE),"Missing")</f>
        <v>Tirupur Central</v>
      </c>
      <c r="S191" s="25" t="str">
        <f>IFERROR(VLOOKUP(tbl_clean_sales[[#This Row],[Branch_ID]],'04_Branch_Master'!$A$1:$C$7,3,FALSE),"Missing")</f>
        <v>North</v>
      </c>
      <c r="T191" s="25" t="str">
        <f>C191&amp;"|"&amp;TEXT(tbl_clean_sales[[#This Row],[Date]],"yyyymm")</f>
        <v>E007|202606</v>
      </c>
      <c r="U191" s="25">
        <f>IFERROR(INDEX('05_Target_Master'!$A$1:$F$32,MATCH(tbl_clean_sales[[#This Row],[target key]],'05_Target_Master'!$F$1:$F$32,0),3),"Missing")</f>
        <v>124400</v>
      </c>
    </row>
    <row r="192" spans="1:21" x14ac:dyDescent="0.3">
      <c r="A192" s="21">
        <v>46116</v>
      </c>
      <c r="B192" s="22" t="s">
        <v>224</v>
      </c>
      <c r="C192" s="22" t="s">
        <v>29</v>
      </c>
      <c r="D192" s="22" t="s">
        <v>13</v>
      </c>
      <c r="E192" s="22" t="s">
        <v>10</v>
      </c>
      <c r="F192" s="22">
        <v>10</v>
      </c>
      <c r="G192" s="23">
        <v>3796.4</v>
      </c>
      <c r="H192" s="25" t="str">
        <f>IF(COUNTIF(tbl_clean_sales[Invoice_ID],tbl_clean_sales[[#This Row],[Invoice_ID]])&gt;1,"Duplicate","Unique")</f>
        <v>Unique</v>
      </c>
      <c r="I192" s="25"/>
      <c r="J19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2" s="25" t="str">
        <f>IFERROR(VLOOKUP(tbl_clean_sales[[#This Row],[Employee_ID]],'02_Employee_Master'!$A$1:$C$12,2,FALSE),"Employee Name Missing")</f>
        <v>Swetha L</v>
      </c>
      <c r="L192" s="25" t="str">
        <f>IFERROR(VLOOKUP(tbl_clean_sales[[#This Row],[Employee_ID]],'02_Employee_Master'!$A$1:$C$12,3,FALSE),"Department Name Missing")</f>
        <v>Sales</v>
      </c>
      <c r="M192" s="25" t="str">
        <f>IF('03_Clean_data'!D192="","Missing",IFERROR(IF(VLOOKUP(D192,'03_Product_Master'!$A$1:$D$14,1,FALSE)='03_Clean_data'!D192,"Valid","Invalid"),"Invalid"))</f>
        <v>Valid</v>
      </c>
      <c r="N192" s="25" t="str">
        <f>IFERROR(VLOOKUP(tbl_clean_sales[[#This Row],[Product_ID]],'03_Product_Master'!$A$1:$D$14,2,FALSE),"Missing")</f>
        <v>Body Lotion</v>
      </c>
      <c r="O192" s="25" t="str">
        <f>IFERROR(VLOOKUP(tbl_clean_sales[[#This Row],[Product_ID]],'03_Product_Master'!$A$1:$D$14,3,FALSE),"Missing")</f>
        <v>Personal Care</v>
      </c>
      <c r="P192" s="25">
        <f>IFERROR(VLOOKUP(tbl_clean_sales[[#This Row],[Product_ID]],'03_Product_Master'!$A$1:$D$14,4,FALSE),"Missing")</f>
        <v>390</v>
      </c>
      <c r="Q192" s="25" t="str">
        <f>IF('03_Clean_data'!E192="","Missing",IFERROR(IF(VLOOKUP(E192,'04_Branch_Master'!$A$1:$C$7,1,FALSE)='03_Clean_data'!E192,"Valid","Invalid"),"Invalid"))</f>
        <v>Valid</v>
      </c>
      <c r="R192" s="25" t="str">
        <f>IFERROR(VLOOKUP(tbl_clean_sales[[#This Row],[Branch_ID]],'04_Branch_Master'!$A$1:$C$7,2,FALSE),"Missing")</f>
        <v>Dharapuram</v>
      </c>
      <c r="S192" s="25" t="str">
        <f>IFERROR(VLOOKUP(tbl_clean_sales[[#This Row],[Branch_ID]],'04_Branch_Master'!$A$1:$C$7,3,FALSE),"Missing")</f>
        <v>South</v>
      </c>
      <c r="T192" s="25" t="str">
        <f>C192&amp;"|"&amp;TEXT(tbl_clean_sales[[#This Row],[Date]],"yyyymm")</f>
        <v>E010|202604</v>
      </c>
      <c r="U192" s="25">
        <f>IFERROR(INDEX('05_Target_Master'!$A$1:$F$32,MATCH(tbl_clean_sales[[#This Row],[target key]],'05_Target_Master'!$F$1:$F$32,0),3),"Missing")</f>
        <v>121700</v>
      </c>
    </row>
    <row r="193" spans="1:21" x14ac:dyDescent="0.3">
      <c r="A193" s="21">
        <v>46121</v>
      </c>
      <c r="B193" s="22" t="s">
        <v>225</v>
      </c>
      <c r="C193" s="22" t="s">
        <v>38</v>
      </c>
      <c r="D193" s="22" t="s">
        <v>19</v>
      </c>
      <c r="E193" s="22" t="s">
        <v>32</v>
      </c>
      <c r="F193" s="22">
        <v>7</v>
      </c>
      <c r="G193" s="23">
        <v>1587.46</v>
      </c>
      <c r="H193" s="25" t="str">
        <f>IF(COUNTIF(tbl_clean_sales[Invoice_ID],tbl_clean_sales[[#This Row],[Invoice_ID]])&gt;1,"Duplicate","Unique")</f>
        <v>Unique</v>
      </c>
      <c r="I193" s="25"/>
      <c r="J19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3" s="25" t="str">
        <f>IFERROR(VLOOKUP(tbl_clean_sales[[#This Row],[Employee_ID]],'02_Employee_Master'!$A$1:$C$12,2,FALSE),"Employee Name Missing")</f>
        <v>Nandhini K</v>
      </c>
      <c r="L193" s="25" t="str">
        <f>IFERROR(VLOOKUP(tbl_clean_sales[[#This Row],[Employee_ID]],'02_Employee_Master'!$A$1:$C$12,3,FALSE),"Department Name Missing")</f>
        <v>Sales</v>
      </c>
      <c r="M193" s="25" t="str">
        <f>IF('03_Clean_data'!D193="","Missing",IFERROR(IF(VLOOKUP(D193,'03_Product_Master'!$A$1:$D$14,1,FALSE)='03_Clean_data'!D193,"Valid","Invalid"),"Invalid"))</f>
        <v>Valid</v>
      </c>
      <c r="N193" s="25" t="str">
        <f>IFERROR(VLOOKUP(tbl_clean_sales[[#This Row],[Product_ID]],'03_Product_Master'!$A$1:$D$14,2,FALSE),"Missing")</f>
        <v>Floor Cleaner</v>
      </c>
      <c r="O193" s="25" t="str">
        <f>IFERROR(VLOOKUP(tbl_clean_sales[[#This Row],[Product_ID]],'03_Product_Master'!$A$1:$D$14,3,FALSE),"Missing")</f>
        <v>Home Care</v>
      </c>
      <c r="P193" s="25">
        <f>IFERROR(VLOOKUP(tbl_clean_sales[[#This Row],[Product_ID]],'03_Product_Master'!$A$1:$D$14,4,FALSE),"Missing")</f>
        <v>230</v>
      </c>
      <c r="Q193" s="25" t="str">
        <f>IF('03_Clean_data'!E193="","Missing",IFERROR(IF(VLOOKUP(E193,'04_Branch_Master'!$A$1:$C$7,1,FALSE)='03_Clean_data'!E193,"Valid","Invalid"),"Invalid"))</f>
        <v>Valid</v>
      </c>
      <c r="R193" s="25" t="str">
        <f>IFERROR(VLOOKUP(tbl_clean_sales[[#This Row],[Branch_ID]],'04_Branch_Master'!$A$1:$C$7,2,FALSE),"Missing")</f>
        <v>Kangeyam</v>
      </c>
      <c r="S193" s="25" t="str">
        <f>IFERROR(VLOOKUP(tbl_clean_sales[[#This Row],[Branch_ID]],'04_Branch_Master'!$A$1:$C$7,3,FALSE),"Missing")</f>
        <v>East</v>
      </c>
      <c r="T193" s="25" t="str">
        <f>C193&amp;"|"&amp;TEXT(tbl_clean_sales[[#This Row],[Date]],"yyyymm")</f>
        <v>E008|202604</v>
      </c>
      <c r="U193" s="25">
        <f>IFERROR(INDEX('05_Target_Master'!$A$1:$F$32,MATCH(tbl_clean_sales[[#This Row],[target key]],'05_Target_Master'!$F$1:$F$32,0),3),"Missing")</f>
        <v>124100</v>
      </c>
    </row>
    <row r="194" spans="1:21" x14ac:dyDescent="0.3">
      <c r="A194" s="21">
        <v>46118</v>
      </c>
      <c r="B194" s="22" t="s">
        <v>226</v>
      </c>
      <c r="C194" s="22" t="s">
        <v>74</v>
      </c>
      <c r="D194" s="22" t="s">
        <v>82</v>
      </c>
      <c r="E194" s="22" t="s">
        <v>22</v>
      </c>
      <c r="F194" s="22">
        <v>2</v>
      </c>
      <c r="G194" s="23">
        <v>233.24</v>
      </c>
      <c r="H194" s="25" t="str">
        <f>IF(COUNTIF(tbl_clean_sales[Invoice_ID],tbl_clean_sales[[#This Row],[Invoice_ID]])&gt;1,"Duplicate","Unique")</f>
        <v>Unique</v>
      </c>
      <c r="I194" s="25"/>
      <c r="J19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4" s="25" t="str">
        <f>IFERROR(VLOOKUP(tbl_clean_sales[[#This Row],[Employee_ID]],'02_Employee_Master'!$A$1:$C$12,2,FALSE),"Employee Name Missing")</f>
        <v>Arun Kumar</v>
      </c>
      <c r="L194" s="25" t="str">
        <f>IFERROR(VLOOKUP(tbl_clean_sales[[#This Row],[Employee_ID]],'02_Employee_Master'!$A$1:$C$12,3,FALSE),"Department Name Missing")</f>
        <v>Sales</v>
      </c>
      <c r="M194" s="25" t="str">
        <f>IF('03_Clean_data'!D194="","Missing",IFERROR(IF(VLOOKUP(D194,'03_Product_Master'!$A$1:$D$14,1,FALSE)='03_Clean_data'!D194,"Valid","Invalid"),"Invalid"))</f>
        <v>Valid</v>
      </c>
      <c r="N194" s="25" t="str">
        <f>IFERROR(VLOOKUP(tbl_clean_sales[[#This Row],[Product_ID]],'03_Product_Master'!$A$1:$D$14,2,FALSE),"Missing")</f>
        <v>Chocolate Bar</v>
      </c>
      <c r="O194" s="25" t="str">
        <f>IFERROR(VLOOKUP(tbl_clean_sales[[#This Row],[Product_ID]],'03_Product_Master'!$A$1:$D$14,3,FALSE),"Missing")</f>
        <v>Snacks</v>
      </c>
      <c r="P194" s="25">
        <f>IFERROR(VLOOKUP(tbl_clean_sales[[#This Row],[Product_ID]],'03_Product_Master'!$A$1:$D$14,4,FALSE),"Missing")</f>
        <v>120</v>
      </c>
      <c r="Q194" s="25" t="str">
        <f>IF('03_Clean_data'!E194="","Missing",IFERROR(IF(VLOOKUP(E194,'04_Branch_Master'!$A$1:$C$7,1,FALSE)='03_Clean_data'!E194,"Valid","Invalid"),"Invalid"))</f>
        <v>Valid</v>
      </c>
      <c r="R194" s="25" t="str">
        <f>IFERROR(VLOOKUP(tbl_clean_sales[[#This Row],[Branch_ID]],'04_Branch_Master'!$A$1:$C$7,2,FALSE),"Missing")</f>
        <v>Tirupur Central</v>
      </c>
      <c r="S194" s="25" t="str">
        <f>IFERROR(VLOOKUP(tbl_clean_sales[[#This Row],[Branch_ID]],'04_Branch_Master'!$A$1:$C$7,3,FALSE),"Missing")</f>
        <v>North</v>
      </c>
      <c r="T194" s="25" t="str">
        <f>C194&amp;"|"&amp;TEXT(tbl_clean_sales[[#This Row],[Date]],"yyyymm")</f>
        <v>E001|202604</v>
      </c>
      <c r="U194" s="25">
        <f>IFERROR(INDEX('05_Target_Master'!$A$1:$F$32,MATCH(tbl_clean_sales[[#This Row],[target key]],'05_Target_Master'!$F$1:$F$32,0),3),"Missing")</f>
        <v>156900</v>
      </c>
    </row>
    <row r="195" spans="1:21" x14ac:dyDescent="0.3">
      <c r="A195" s="21">
        <v>46181</v>
      </c>
      <c r="B195" s="22" t="s">
        <v>227</v>
      </c>
      <c r="C195" s="22" t="s">
        <v>18</v>
      </c>
      <c r="D195" s="22" t="s">
        <v>16</v>
      </c>
      <c r="E195" s="22" t="s">
        <v>14</v>
      </c>
      <c r="F195" s="22">
        <v>11</v>
      </c>
      <c r="G195" s="23">
        <v>3021.51</v>
      </c>
      <c r="H195" s="25" t="str">
        <f>IF(COUNTIF(tbl_clean_sales[Invoice_ID],tbl_clean_sales[[#This Row],[Invoice_ID]])&gt;1,"Duplicate","Unique")</f>
        <v>Unique</v>
      </c>
      <c r="I195" s="25"/>
      <c r="J19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5" s="25" t="str">
        <f>IFERROR(VLOOKUP(tbl_clean_sales[[#This Row],[Employee_ID]],'02_Employee_Master'!$A$1:$C$12,2,FALSE),"Employee Name Missing")</f>
        <v>Rahul M</v>
      </c>
      <c r="L195" s="25" t="str">
        <f>IFERROR(VLOOKUP(tbl_clean_sales[[#This Row],[Employee_ID]],'02_Employee_Master'!$A$1:$C$12,3,FALSE),"Department Name Missing")</f>
        <v>Sales</v>
      </c>
      <c r="M195" s="25" t="str">
        <f>IF('03_Clean_data'!D195="","Missing",IFERROR(IF(VLOOKUP(D195,'03_Product_Master'!$A$1:$D$14,1,FALSE)='03_Clean_data'!D195,"Valid","Invalid"),"Invalid"))</f>
        <v>Valid</v>
      </c>
      <c r="N195" s="25" t="str">
        <f>IFERROR(VLOOKUP(tbl_clean_sales[[#This Row],[Product_ID]],'03_Product_Master'!$A$1:$D$14,2,FALSE),"Missing")</f>
        <v>Shampoo</v>
      </c>
      <c r="O195" s="25" t="str">
        <f>IFERROR(VLOOKUP(tbl_clean_sales[[#This Row],[Product_ID]],'03_Product_Master'!$A$1:$D$14,3,FALSE),"Missing")</f>
        <v>Personal Care</v>
      </c>
      <c r="P195" s="25">
        <f>IFERROR(VLOOKUP(tbl_clean_sales[[#This Row],[Product_ID]],'03_Product_Master'!$A$1:$D$14,4,FALSE),"Missing")</f>
        <v>310</v>
      </c>
      <c r="Q195" s="25" t="str">
        <f>IF('03_Clean_data'!E195="","Missing",IFERROR(IF(VLOOKUP(E195,'04_Branch_Master'!$A$1:$C$7,1,FALSE)='03_Clean_data'!E195,"Valid","Invalid"),"Invalid"))</f>
        <v>Valid</v>
      </c>
      <c r="R195" s="25" t="str">
        <f>IFERROR(VLOOKUP(tbl_clean_sales[[#This Row],[Branch_ID]],'04_Branch_Master'!$A$1:$C$7,2,FALSE),"Missing")</f>
        <v>Avinashi Road</v>
      </c>
      <c r="S195" s="25" t="str">
        <f>IFERROR(VLOOKUP(tbl_clean_sales[[#This Row],[Branch_ID]],'04_Branch_Master'!$A$1:$C$7,3,FALSE),"Missing")</f>
        <v>North</v>
      </c>
      <c r="T195" s="25" t="str">
        <f>C195&amp;"|"&amp;TEXT(tbl_clean_sales[[#This Row],[Date]],"yyyymm")</f>
        <v>E003|202606</v>
      </c>
      <c r="U195" s="25">
        <f>IFERROR(INDEX('05_Target_Master'!$A$1:$F$32,MATCH(tbl_clean_sales[[#This Row],[target key]],'05_Target_Master'!$F$1:$F$32,0),3),"Missing")</f>
        <v>112000</v>
      </c>
    </row>
    <row r="196" spans="1:21" x14ac:dyDescent="0.3">
      <c r="A196" s="21">
        <v>46202</v>
      </c>
      <c r="B196" s="22" t="s">
        <v>228</v>
      </c>
      <c r="C196" s="22" t="s">
        <v>8</v>
      </c>
      <c r="D196" s="22" t="s">
        <v>16</v>
      </c>
      <c r="E196" s="22" t="s">
        <v>10</v>
      </c>
      <c r="F196" s="22">
        <v>12</v>
      </c>
      <c r="G196" s="23">
        <v>3651.02</v>
      </c>
      <c r="H196" s="25" t="str">
        <f>IF(COUNTIF(tbl_clean_sales[Invoice_ID],tbl_clean_sales[[#This Row],[Invoice_ID]])&gt;1,"Duplicate","Unique")</f>
        <v>Unique</v>
      </c>
      <c r="I196" s="25"/>
      <c r="J19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6" s="25" t="str">
        <f>IFERROR(VLOOKUP(tbl_clean_sales[[#This Row],[Employee_ID]],'02_Employee_Master'!$A$1:$C$12,2,FALSE),"Employee Name Missing")</f>
        <v>Vignesh R</v>
      </c>
      <c r="L196" s="25" t="str">
        <f>IFERROR(VLOOKUP(tbl_clean_sales[[#This Row],[Employee_ID]],'02_Employee_Master'!$A$1:$C$12,3,FALSE),"Department Name Missing")</f>
        <v>Sales</v>
      </c>
      <c r="M196" s="25" t="str">
        <f>IF('03_Clean_data'!D196="","Missing",IFERROR(IF(VLOOKUP(D196,'03_Product_Master'!$A$1:$D$14,1,FALSE)='03_Clean_data'!D196,"Valid","Invalid"),"Invalid"))</f>
        <v>Valid</v>
      </c>
      <c r="N196" s="25" t="str">
        <f>IFERROR(VLOOKUP(tbl_clean_sales[[#This Row],[Product_ID]],'03_Product_Master'!$A$1:$D$14,2,FALSE),"Missing")</f>
        <v>Shampoo</v>
      </c>
      <c r="O196" s="25" t="str">
        <f>IFERROR(VLOOKUP(tbl_clean_sales[[#This Row],[Product_ID]],'03_Product_Master'!$A$1:$D$14,3,FALSE),"Missing")</f>
        <v>Personal Care</v>
      </c>
      <c r="P196" s="25">
        <f>IFERROR(VLOOKUP(tbl_clean_sales[[#This Row],[Product_ID]],'03_Product_Master'!$A$1:$D$14,4,FALSE),"Missing")</f>
        <v>310</v>
      </c>
      <c r="Q196" s="25" t="str">
        <f>IF('03_Clean_data'!E196="","Missing",IFERROR(IF(VLOOKUP(E196,'04_Branch_Master'!$A$1:$C$7,1,FALSE)='03_Clean_data'!E196,"Valid","Invalid"),"Invalid"))</f>
        <v>Valid</v>
      </c>
      <c r="R196" s="25" t="str">
        <f>IFERROR(VLOOKUP(tbl_clean_sales[[#This Row],[Branch_ID]],'04_Branch_Master'!$A$1:$C$7,2,FALSE),"Missing")</f>
        <v>Dharapuram</v>
      </c>
      <c r="S196" s="25" t="str">
        <f>IFERROR(VLOOKUP(tbl_clean_sales[[#This Row],[Branch_ID]],'04_Branch_Master'!$A$1:$C$7,3,FALSE),"Missing")</f>
        <v>South</v>
      </c>
      <c r="T196" s="25" t="str">
        <f>C196&amp;"|"&amp;TEXT(tbl_clean_sales[[#This Row],[Date]],"yyyymm")</f>
        <v>E009|202606</v>
      </c>
      <c r="U196" s="25">
        <f>IFERROR(INDEX('05_Target_Master'!$A$1:$F$32,MATCH(tbl_clean_sales[[#This Row],[target key]],'05_Target_Master'!$F$1:$F$32,0),3),"Missing")</f>
        <v>156700</v>
      </c>
    </row>
    <row r="197" spans="1:21" x14ac:dyDescent="0.3">
      <c r="A197" s="21">
        <v>46166</v>
      </c>
      <c r="B197" s="22" t="s">
        <v>229</v>
      </c>
      <c r="C197" s="22" t="s">
        <v>21</v>
      </c>
      <c r="D197" s="22" t="s">
        <v>48</v>
      </c>
      <c r="E197" s="22" t="s">
        <v>22</v>
      </c>
      <c r="F197" s="22">
        <v>5</v>
      </c>
      <c r="G197" s="23">
        <v>1294.9000000000001</v>
      </c>
      <c r="H197" s="25" t="str">
        <f>IF(COUNTIF(tbl_clean_sales[Invoice_ID],tbl_clean_sales[[#This Row],[Invoice_ID]])&gt;1,"Duplicate","Unique")</f>
        <v>Unique</v>
      </c>
      <c r="I197" s="25"/>
      <c r="J19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7" s="25" t="str">
        <f>IFERROR(VLOOKUP(tbl_clean_sales[[#This Row],[Employee_ID]],'02_Employee_Master'!$A$1:$C$12,2,FALSE),"Employee Name Missing")</f>
        <v>Priya S</v>
      </c>
      <c r="L197" s="25" t="str">
        <f>IFERROR(VLOOKUP(tbl_clean_sales[[#This Row],[Employee_ID]],'02_Employee_Master'!$A$1:$C$12,3,FALSE),"Department Name Missing")</f>
        <v>Sales</v>
      </c>
      <c r="M197" s="25" t="str">
        <f>IF('03_Clean_data'!D197="","Missing",IFERROR(IF(VLOOKUP(D197,'03_Product_Master'!$A$1:$D$14,1,FALSE)='03_Clean_data'!D197,"Valid","Invalid"),"Invalid"))</f>
        <v>Valid</v>
      </c>
      <c r="N197" s="25" t="str">
        <f>IFERROR(VLOOKUP(tbl_clean_sales[[#This Row],[Product_ID]],'03_Product_Master'!$A$1:$D$14,2,FALSE),"Missing")</f>
        <v>Face Wash</v>
      </c>
      <c r="O197" s="25" t="str">
        <f>IFERROR(VLOOKUP(tbl_clean_sales[[#This Row],[Product_ID]],'03_Product_Master'!$A$1:$D$14,3,FALSE),"Missing")</f>
        <v>Personal Care</v>
      </c>
      <c r="P197" s="25">
        <f>IFERROR(VLOOKUP(tbl_clean_sales[[#This Row],[Product_ID]],'03_Product_Master'!$A$1:$D$14,4,FALSE),"Missing")</f>
        <v>260</v>
      </c>
      <c r="Q197" s="25" t="str">
        <f>IF('03_Clean_data'!E197="","Missing",IFERROR(IF(VLOOKUP(E197,'04_Branch_Master'!$A$1:$C$7,1,FALSE)='03_Clean_data'!E197,"Valid","Invalid"),"Invalid"))</f>
        <v>Valid</v>
      </c>
      <c r="R197" s="25" t="str">
        <f>IFERROR(VLOOKUP(tbl_clean_sales[[#This Row],[Branch_ID]],'04_Branch_Master'!$A$1:$C$7,2,FALSE),"Missing")</f>
        <v>Tirupur Central</v>
      </c>
      <c r="S197" s="25" t="str">
        <f>IFERROR(VLOOKUP(tbl_clean_sales[[#This Row],[Branch_ID]],'04_Branch_Master'!$A$1:$C$7,3,FALSE),"Missing")</f>
        <v>North</v>
      </c>
      <c r="T197" s="25" t="str">
        <f>C197&amp;"|"&amp;TEXT(tbl_clean_sales[[#This Row],[Date]],"yyyymm")</f>
        <v>E002|202605</v>
      </c>
      <c r="U197" s="25">
        <f>IFERROR(INDEX('05_Target_Master'!$A$1:$F$32,MATCH(tbl_clean_sales[[#This Row],[target key]],'05_Target_Master'!$F$1:$F$32,0),3),"Missing")</f>
        <v>132100</v>
      </c>
    </row>
    <row r="198" spans="1:21" x14ac:dyDescent="0.3">
      <c r="A198" s="21">
        <v>46160</v>
      </c>
      <c r="B198" s="22" t="s">
        <v>230</v>
      </c>
      <c r="C198" s="22" t="s">
        <v>12</v>
      </c>
      <c r="D198" s="22" t="s">
        <v>48</v>
      </c>
      <c r="E198" s="22" t="s">
        <v>14</v>
      </c>
      <c r="F198" s="22">
        <v>4</v>
      </c>
      <c r="G198" s="23">
        <v>933.24</v>
      </c>
      <c r="H198" s="25" t="str">
        <f>IF(COUNTIF(tbl_clean_sales[Invoice_ID],tbl_clean_sales[[#This Row],[Invoice_ID]])&gt;1,"Duplicate","Unique")</f>
        <v>Unique</v>
      </c>
      <c r="I198" s="25"/>
      <c r="J19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8" s="25" t="str">
        <f>IFERROR(VLOOKUP(tbl_clean_sales[[#This Row],[Employee_ID]],'02_Employee_Master'!$A$1:$C$12,2,FALSE),"Employee Name Missing")</f>
        <v>Divya R</v>
      </c>
      <c r="L198" s="25" t="str">
        <f>IFERROR(VLOOKUP(tbl_clean_sales[[#This Row],[Employee_ID]],'02_Employee_Master'!$A$1:$C$12,3,FALSE),"Department Name Missing")</f>
        <v>Sales</v>
      </c>
      <c r="M198" s="25" t="str">
        <f>IF('03_Clean_data'!D198="","Missing",IFERROR(IF(VLOOKUP(D198,'03_Product_Master'!$A$1:$D$14,1,FALSE)='03_Clean_data'!D198,"Valid","Invalid"),"Invalid"))</f>
        <v>Valid</v>
      </c>
      <c r="N198" s="25" t="str">
        <f>IFERROR(VLOOKUP(tbl_clean_sales[[#This Row],[Product_ID]],'03_Product_Master'!$A$1:$D$14,2,FALSE),"Missing")</f>
        <v>Face Wash</v>
      </c>
      <c r="O198" s="25" t="str">
        <f>IFERROR(VLOOKUP(tbl_clean_sales[[#This Row],[Product_ID]],'03_Product_Master'!$A$1:$D$14,3,FALSE),"Missing")</f>
        <v>Personal Care</v>
      </c>
      <c r="P198" s="25">
        <f>IFERROR(VLOOKUP(tbl_clean_sales[[#This Row],[Product_ID]],'03_Product_Master'!$A$1:$D$14,4,FALSE),"Missing")</f>
        <v>260</v>
      </c>
      <c r="Q198" s="25" t="str">
        <f>IF('03_Clean_data'!E198="","Missing",IFERROR(IF(VLOOKUP(E198,'04_Branch_Master'!$A$1:$C$7,1,FALSE)='03_Clean_data'!E198,"Valid","Invalid"),"Invalid"))</f>
        <v>Valid</v>
      </c>
      <c r="R198" s="25" t="str">
        <f>IFERROR(VLOOKUP(tbl_clean_sales[[#This Row],[Branch_ID]],'04_Branch_Master'!$A$1:$C$7,2,FALSE),"Missing")</f>
        <v>Avinashi Road</v>
      </c>
      <c r="S198" s="25" t="str">
        <f>IFERROR(VLOOKUP(tbl_clean_sales[[#This Row],[Branch_ID]],'04_Branch_Master'!$A$1:$C$7,3,FALSE),"Missing")</f>
        <v>North</v>
      </c>
      <c r="T198" s="25" t="str">
        <f>C198&amp;"|"&amp;TEXT(tbl_clean_sales[[#This Row],[Date]],"yyyymm")</f>
        <v>E004|202605</v>
      </c>
      <c r="U198" s="25">
        <f>IFERROR(INDEX('05_Target_Master'!$A$1:$F$32,MATCH(tbl_clean_sales[[#This Row],[target key]],'05_Target_Master'!$F$1:$F$32,0),3),"Missing")</f>
        <v>176700</v>
      </c>
    </row>
    <row r="199" spans="1:21" x14ac:dyDescent="0.3">
      <c r="A199" s="21">
        <v>46125</v>
      </c>
      <c r="B199" s="22" t="s">
        <v>231</v>
      </c>
      <c r="C199" s="22" t="s">
        <v>40</v>
      </c>
      <c r="D199" s="22" t="s">
        <v>13</v>
      </c>
      <c r="E199" s="22" t="s">
        <v>26</v>
      </c>
      <c r="F199" s="22">
        <v>1</v>
      </c>
      <c r="G199" s="23">
        <v>371.37</v>
      </c>
      <c r="H199" s="25" t="str">
        <f>IF(COUNTIF(tbl_clean_sales[Invoice_ID],tbl_clean_sales[[#This Row],[Invoice_ID]])&gt;1,"Duplicate","Unique")</f>
        <v>Unique</v>
      </c>
      <c r="I199" s="25"/>
      <c r="J19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199" s="25" t="str">
        <f>IFERROR(VLOOKUP(tbl_clean_sales[[#This Row],[Employee_ID]],'02_Employee_Master'!$A$1:$C$12,2,FALSE),"Employee Name Missing")</f>
        <v>Meena V</v>
      </c>
      <c r="L199" s="25" t="str">
        <f>IFERROR(VLOOKUP(tbl_clean_sales[[#This Row],[Employee_ID]],'02_Employee_Master'!$A$1:$C$12,3,FALSE),"Department Name Missing")</f>
        <v>Sales</v>
      </c>
      <c r="M199" s="25" t="str">
        <f>IF('03_Clean_data'!D199="","Missing",IFERROR(IF(VLOOKUP(D199,'03_Product_Master'!$A$1:$D$14,1,FALSE)='03_Clean_data'!D199,"Valid","Invalid"),"Invalid"))</f>
        <v>Valid</v>
      </c>
      <c r="N199" s="25" t="str">
        <f>IFERROR(VLOOKUP(tbl_clean_sales[[#This Row],[Product_ID]],'03_Product_Master'!$A$1:$D$14,2,FALSE),"Missing")</f>
        <v>Body Lotion</v>
      </c>
      <c r="O199" s="25" t="str">
        <f>IFERROR(VLOOKUP(tbl_clean_sales[[#This Row],[Product_ID]],'03_Product_Master'!$A$1:$D$14,3,FALSE),"Missing")</f>
        <v>Personal Care</v>
      </c>
      <c r="P199" s="25">
        <f>IFERROR(VLOOKUP(tbl_clean_sales[[#This Row],[Product_ID]],'03_Product_Master'!$A$1:$D$14,4,FALSE),"Missing")</f>
        <v>390</v>
      </c>
      <c r="Q199" s="25" t="str">
        <f>IF('03_Clean_data'!E199="","Missing",IFERROR(IF(VLOOKUP(E199,'04_Branch_Master'!$A$1:$C$7,1,FALSE)='03_Clean_data'!E199,"Valid","Invalid"),"Invalid"))</f>
        <v>Valid</v>
      </c>
      <c r="R199" s="25" t="str">
        <f>IFERROR(VLOOKUP(tbl_clean_sales[[#This Row],[Branch_ID]],'04_Branch_Master'!$A$1:$C$7,2,FALSE),"Missing")</f>
        <v>Palladam</v>
      </c>
      <c r="S199" s="25" t="str">
        <f>IFERROR(VLOOKUP(tbl_clean_sales[[#This Row],[Branch_ID]],'04_Branch_Master'!$A$1:$C$7,3,FALSE),"Missing")</f>
        <v>South</v>
      </c>
      <c r="T199" s="25" t="str">
        <f>C199&amp;"|"&amp;TEXT(tbl_clean_sales[[#This Row],[Date]],"yyyymm")</f>
        <v>E006|202604</v>
      </c>
      <c r="U199" s="25">
        <f>IFERROR(INDEX('05_Target_Master'!$A$1:$F$32,MATCH(tbl_clean_sales[[#This Row],[target key]],'05_Target_Master'!$F$1:$F$32,0),3),"Missing")</f>
        <v>131000</v>
      </c>
    </row>
    <row r="200" spans="1:21" x14ac:dyDescent="0.3">
      <c r="A200" s="21">
        <v>46137</v>
      </c>
      <c r="B200" s="24" t="s">
        <v>232</v>
      </c>
      <c r="C200" s="22" t="s">
        <v>21</v>
      </c>
      <c r="D200" s="22" t="s">
        <v>48</v>
      </c>
      <c r="E200" s="22" t="s">
        <v>22</v>
      </c>
      <c r="F200" s="22">
        <v>4</v>
      </c>
      <c r="G200" s="23">
        <v>959.92</v>
      </c>
      <c r="H200" s="25" t="str">
        <f>IF(COUNTIF(tbl_clean_sales[Invoice_ID],tbl_clean_sales[[#This Row],[Invoice_ID]])&gt;1,"Duplicate","Unique")</f>
        <v>Duplicate</v>
      </c>
      <c r="I200" s="25"/>
      <c r="J20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0" s="25" t="str">
        <f>IFERROR(VLOOKUP(tbl_clean_sales[[#This Row],[Employee_ID]],'02_Employee_Master'!$A$1:$C$12,2,FALSE),"Employee Name Missing")</f>
        <v>Priya S</v>
      </c>
      <c r="L200" s="25" t="str">
        <f>IFERROR(VLOOKUP(tbl_clean_sales[[#This Row],[Employee_ID]],'02_Employee_Master'!$A$1:$C$12,3,FALSE),"Department Name Missing")</f>
        <v>Sales</v>
      </c>
      <c r="M200" s="25" t="str">
        <f>IF('03_Clean_data'!D200="","Missing",IFERROR(IF(VLOOKUP(D200,'03_Product_Master'!$A$1:$D$14,1,FALSE)='03_Clean_data'!D200,"Valid","Invalid"),"Invalid"))</f>
        <v>Valid</v>
      </c>
      <c r="N200" s="25" t="str">
        <f>IFERROR(VLOOKUP(tbl_clean_sales[[#This Row],[Product_ID]],'03_Product_Master'!$A$1:$D$14,2,FALSE),"Missing")</f>
        <v>Face Wash</v>
      </c>
      <c r="O200" s="25" t="str">
        <f>IFERROR(VLOOKUP(tbl_clean_sales[[#This Row],[Product_ID]],'03_Product_Master'!$A$1:$D$14,3,FALSE),"Missing")</f>
        <v>Personal Care</v>
      </c>
      <c r="P200" s="25">
        <f>IFERROR(VLOOKUP(tbl_clean_sales[[#This Row],[Product_ID]],'03_Product_Master'!$A$1:$D$14,4,FALSE),"Missing")</f>
        <v>260</v>
      </c>
      <c r="Q200" s="25" t="str">
        <f>IF('03_Clean_data'!E200="","Missing",IFERROR(IF(VLOOKUP(E200,'04_Branch_Master'!$A$1:$C$7,1,FALSE)='03_Clean_data'!E200,"Valid","Invalid"),"Invalid"))</f>
        <v>Valid</v>
      </c>
      <c r="R200" s="25" t="str">
        <f>IFERROR(VLOOKUP(tbl_clean_sales[[#This Row],[Branch_ID]],'04_Branch_Master'!$A$1:$C$7,2,FALSE),"Missing")</f>
        <v>Tirupur Central</v>
      </c>
      <c r="S200" s="25" t="str">
        <f>IFERROR(VLOOKUP(tbl_clean_sales[[#This Row],[Branch_ID]],'04_Branch_Master'!$A$1:$C$7,3,FALSE),"Missing")</f>
        <v>North</v>
      </c>
      <c r="T200" s="25" t="str">
        <f>C200&amp;"|"&amp;TEXT(tbl_clean_sales[[#This Row],[Date]],"yyyymm")</f>
        <v>E002|202604</v>
      </c>
      <c r="U200" s="25">
        <f>IFERROR(INDEX('05_Target_Master'!$A$1:$F$32,MATCH(tbl_clean_sales[[#This Row],[target key]],'05_Target_Master'!$F$1:$F$32,0),3),"Missing")</f>
        <v>122300</v>
      </c>
    </row>
    <row r="201" spans="1:21" x14ac:dyDescent="0.3">
      <c r="A201" s="21">
        <v>46189</v>
      </c>
      <c r="B201" s="24" t="s">
        <v>232</v>
      </c>
      <c r="C201" s="22" t="s">
        <v>74</v>
      </c>
      <c r="D201" s="22" t="s">
        <v>25</v>
      </c>
      <c r="E201" s="22" t="s">
        <v>14</v>
      </c>
      <c r="F201" s="22">
        <v>3</v>
      </c>
      <c r="G201" s="23">
        <v>1266.51</v>
      </c>
      <c r="H201" s="25" t="str">
        <f>IF(COUNTIF(tbl_clean_sales[Invoice_ID],tbl_clean_sales[[#This Row],[Invoice_ID]])&gt;1,"Duplicate","Unique")</f>
        <v>Duplicate</v>
      </c>
      <c r="I201" s="25" t="s">
        <v>933</v>
      </c>
      <c r="J20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1" s="25" t="str">
        <f>IFERROR(VLOOKUP(tbl_clean_sales[[#This Row],[Employee_ID]],'02_Employee_Master'!$A$1:$C$12,2,FALSE),"Employee Name Missing")</f>
        <v>Arun Kumar</v>
      </c>
      <c r="L201" s="25" t="str">
        <f>IFERROR(VLOOKUP(tbl_clean_sales[[#This Row],[Employee_ID]],'02_Employee_Master'!$A$1:$C$12,3,FALSE),"Department Name Missing")</f>
        <v>Sales</v>
      </c>
      <c r="M201" s="25" t="str">
        <f>IF('03_Clean_data'!D201="","Missing",IFERROR(IF(VLOOKUP(D201,'03_Product_Master'!$A$1:$D$14,1,FALSE)='03_Clean_data'!D201,"Valid","Invalid"),"Invalid"))</f>
        <v>Valid</v>
      </c>
      <c r="N201" s="25" t="str">
        <f>IFERROR(VLOOKUP(tbl_clean_sales[[#This Row],[Product_ID]],'03_Product_Master'!$A$1:$D$14,2,FALSE),"Missing")</f>
        <v>Premium Coffee</v>
      </c>
      <c r="O201" s="25" t="str">
        <f>IFERROR(VLOOKUP(tbl_clean_sales[[#This Row],[Product_ID]],'03_Product_Master'!$A$1:$D$14,3,FALSE),"Missing")</f>
        <v>Beverages</v>
      </c>
      <c r="P201" s="25">
        <f>IFERROR(VLOOKUP(tbl_clean_sales[[#This Row],[Product_ID]],'03_Product_Master'!$A$1:$D$14,4,FALSE),"Missing")</f>
        <v>420</v>
      </c>
      <c r="Q201" s="25" t="str">
        <f>IF('03_Clean_data'!E201="","Missing",IFERROR(IF(VLOOKUP(E201,'04_Branch_Master'!$A$1:$C$7,1,FALSE)='03_Clean_data'!E201,"Valid","Invalid"),"Invalid"))</f>
        <v>Valid</v>
      </c>
      <c r="R201" s="25" t="str">
        <f>IFERROR(VLOOKUP(tbl_clean_sales[[#This Row],[Branch_ID]],'04_Branch_Master'!$A$1:$C$7,2,FALSE),"Missing")</f>
        <v>Avinashi Road</v>
      </c>
      <c r="S201" s="25" t="str">
        <f>IFERROR(VLOOKUP(tbl_clean_sales[[#This Row],[Branch_ID]],'04_Branch_Master'!$A$1:$C$7,3,FALSE),"Missing")</f>
        <v>North</v>
      </c>
      <c r="T201" s="25" t="str">
        <f>C201&amp;"|"&amp;TEXT(tbl_clean_sales[[#This Row],[Date]],"yyyymm")</f>
        <v>E001|202606</v>
      </c>
      <c r="U201" s="25">
        <f>IFERROR(INDEX('05_Target_Master'!$A$1:$F$32,MATCH(tbl_clean_sales[[#This Row],[target key]],'05_Target_Master'!$F$1:$F$32,0),3),"Missing")</f>
        <v>150600</v>
      </c>
    </row>
    <row r="202" spans="1:21" x14ac:dyDescent="0.3">
      <c r="A202" s="21">
        <v>46139</v>
      </c>
      <c r="B202" s="22" t="s">
        <v>233</v>
      </c>
      <c r="C202" s="22" t="s">
        <v>21</v>
      </c>
      <c r="D202" s="22" t="s">
        <v>13</v>
      </c>
      <c r="E202" s="22" t="s">
        <v>22</v>
      </c>
      <c r="F202" s="22">
        <v>4</v>
      </c>
      <c r="G202" s="23">
        <v>1407.8</v>
      </c>
      <c r="H202" s="25" t="str">
        <f>IF(COUNTIF(tbl_clean_sales[Invoice_ID],tbl_clean_sales[[#This Row],[Invoice_ID]])&gt;1,"Duplicate","Unique")</f>
        <v>Unique</v>
      </c>
      <c r="I202" s="25"/>
      <c r="J20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2" s="25" t="str">
        <f>IFERROR(VLOOKUP(tbl_clean_sales[[#This Row],[Employee_ID]],'02_Employee_Master'!$A$1:$C$12,2,FALSE),"Employee Name Missing")</f>
        <v>Priya S</v>
      </c>
      <c r="L202" s="25" t="str">
        <f>IFERROR(VLOOKUP(tbl_clean_sales[[#This Row],[Employee_ID]],'02_Employee_Master'!$A$1:$C$12,3,FALSE),"Department Name Missing")</f>
        <v>Sales</v>
      </c>
      <c r="M202" s="25" t="str">
        <f>IF('03_Clean_data'!D202="","Missing",IFERROR(IF(VLOOKUP(D202,'03_Product_Master'!$A$1:$D$14,1,FALSE)='03_Clean_data'!D202,"Valid","Invalid"),"Invalid"))</f>
        <v>Valid</v>
      </c>
      <c r="N202" s="25" t="str">
        <f>IFERROR(VLOOKUP(tbl_clean_sales[[#This Row],[Product_ID]],'03_Product_Master'!$A$1:$D$14,2,FALSE),"Missing")</f>
        <v>Body Lotion</v>
      </c>
      <c r="O202" s="25" t="str">
        <f>IFERROR(VLOOKUP(tbl_clean_sales[[#This Row],[Product_ID]],'03_Product_Master'!$A$1:$D$14,3,FALSE),"Missing")</f>
        <v>Personal Care</v>
      </c>
      <c r="P202" s="25">
        <f>IFERROR(VLOOKUP(tbl_clean_sales[[#This Row],[Product_ID]],'03_Product_Master'!$A$1:$D$14,4,FALSE),"Missing")</f>
        <v>390</v>
      </c>
      <c r="Q202" s="25" t="str">
        <f>IF('03_Clean_data'!E202="","Missing",IFERROR(IF(VLOOKUP(E202,'04_Branch_Master'!$A$1:$C$7,1,FALSE)='03_Clean_data'!E202,"Valid","Invalid"),"Invalid"))</f>
        <v>Valid</v>
      </c>
      <c r="R202" s="25" t="str">
        <f>IFERROR(VLOOKUP(tbl_clean_sales[[#This Row],[Branch_ID]],'04_Branch_Master'!$A$1:$C$7,2,FALSE),"Missing")</f>
        <v>Tirupur Central</v>
      </c>
      <c r="S202" s="25" t="str">
        <f>IFERROR(VLOOKUP(tbl_clean_sales[[#This Row],[Branch_ID]],'04_Branch_Master'!$A$1:$C$7,3,FALSE),"Missing")</f>
        <v>North</v>
      </c>
      <c r="T202" s="25" t="str">
        <f>C202&amp;"|"&amp;TEXT(tbl_clean_sales[[#This Row],[Date]],"yyyymm")</f>
        <v>E002|202604</v>
      </c>
      <c r="U202" s="25">
        <f>IFERROR(INDEX('05_Target_Master'!$A$1:$F$32,MATCH(tbl_clean_sales[[#This Row],[target key]],'05_Target_Master'!$F$1:$F$32,0),3),"Missing")</f>
        <v>122300</v>
      </c>
    </row>
    <row r="203" spans="1:21" x14ac:dyDescent="0.3">
      <c r="A203" s="21">
        <v>46142</v>
      </c>
      <c r="B203" s="22" t="s">
        <v>234</v>
      </c>
      <c r="C203" s="22" t="s">
        <v>40</v>
      </c>
      <c r="D203" s="22" t="s">
        <v>53</v>
      </c>
      <c r="E203" s="22" t="s">
        <v>10</v>
      </c>
      <c r="F203" s="22">
        <v>1</v>
      </c>
      <c r="G203" s="23">
        <v>338.35</v>
      </c>
      <c r="H203" s="25" t="str">
        <f>IF(COUNTIF(tbl_clean_sales[Invoice_ID],tbl_clean_sales[[#This Row],[Invoice_ID]])&gt;1,"Duplicate","Unique")</f>
        <v>Unique</v>
      </c>
      <c r="I203" s="25"/>
      <c r="J20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3" s="25" t="str">
        <f>IFERROR(VLOOKUP(tbl_clean_sales[[#This Row],[Employee_ID]],'02_Employee_Master'!$A$1:$C$12,2,FALSE),"Employee Name Missing")</f>
        <v>Meena V</v>
      </c>
      <c r="L203" s="25" t="str">
        <f>IFERROR(VLOOKUP(tbl_clean_sales[[#This Row],[Employee_ID]],'02_Employee_Master'!$A$1:$C$12,3,FALSE),"Department Name Missing")</f>
        <v>Sales</v>
      </c>
      <c r="M203" s="25" t="str">
        <f>IF('03_Clean_data'!D203="","Missing",IFERROR(IF(VLOOKUP(D203,'03_Product_Master'!$A$1:$D$14,1,FALSE)='03_Clean_data'!D203,"Valid","Invalid"),"Invalid"))</f>
        <v>Valid</v>
      </c>
      <c r="N203" s="25" t="str">
        <f>IFERROR(VLOOKUP(tbl_clean_sales[[#This Row],[Product_ID]],'03_Product_Master'!$A$1:$D$14,2,FALSE),"Missing")</f>
        <v>Instant Coffee</v>
      </c>
      <c r="O203" s="25" t="str">
        <f>IFERROR(VLOOKUP(tbl_clean_sales[[#This Row],[Product_ID]],'03_Product_Master'!$A$1:$D$14,3,FALSE),"Missing")</f>
        <v>Beverages</v>
      </c>
      <c r="P203" s="25">
        <f>IFERROR(VLOOKUP(tbl_clean_sales[[#This Row],[Product_ID]],'03_Product_Master'!$A$1:$D$14,4,FALSE),"Missing")</f>
        <v>350</v>
      </c>
      <c r="Q203" s="25" t="str">
        <f>IF('03_Clean_data'!E203="","Missing",IFERROR(IF(VLOOKUP(E203,'04_Branch_Master'!$A$1:$C$7,1,FALSE)='03_Clean_data'!E203,"Valid","Invalid"),"Invalid"))</f>
        <v>Valid</v>
      </c>
      <c r="R203" s="25" t="str">
        <f>IFERROR(VLOOKUP(tbl_clean_sales[[#This Row],[Branch_ID]],'04_Branch_Master'!$A$1:$C$7,2,FALSE),"Missing")</f>
        <v>Dharapuram</v>
      </c>
      <c r="S203" s="25" t="str">
        <f>IFERROR(VLOOKUP(tbl_clean_sales[[#This Row],[Branch_ID]],'04_Branch_Master'!$A$1:$C$7,3,FALSE),"Missing")</f>
        <v>South</v>
      </c>
      <c r="T203" s="25" t="str">
        <f>C203&amp;"|"&amp;TEXT(tbl_clean_sales[[#This Row],[Date]],"yyyymm")</f>
        <v>E006|202604</v>
      </c>
      <c r="U203" s="25">
        <f>IFERROR(INDEX('05_Target_Master'!$A$1:$F$32,MATCH(tbl_clean_sales[[#This Row],[target key]],'05_Target_Master'!$F$1:$F$32,0),3),"Missing")</f>
        <v>131000</v>
      </c>
    </row>
    <row r="204" spans="1:21" x14ac:dyDescent="0.3">
      <c r="A204" s="21">
        <v>46131</v>
      </c>
      <c r="B204" s="22" t="s">
        <v>235</v>
      </c>
      <c r="C204" s="22" t="s">
        <v>18</v>
      </c>
      <c r="D204" s="22" t="s">
        <v>13</v>
      </c>
      <c r="E204" s="22" t="s">
        <v>14</v>
      </c>
      <c r="F204" s="22">
        <v>3</v>
      </c>
      <c r="G204" s="23">
        <v>1154.57</v>
      </c>
      <c r="H204" s="25" t="str">
        <f>IF(COUNTIF(tbl_clean_sales[Invoice_ID],tbl_clean_sales[[#This Row],[Invoice_ID]])&gt;1,"Duplicate","Unique")</f>
        <v>Unique</v>
      </c>
      <c r="I204" s="25"/>
      <c r="J20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4" s="25" t="str">
        <f>IFERROR(VLOOKUP(tbl_clean_sales[[#This Row],[Employee_ID]],'02_Employee_Master'!$A$1:$C$12,2,FALSE),"Employee Name Missing")</f>
        <v>Rahul M</v>
      </c>
      <c r="L204" s="25" t="str">
        <f>IFERROR(VLOOKUP(tbl_clean_sales[[#This Row],[Employee_ID]],'02_Employee_Master'!$A$1:$C$12,3,FALSE),"Department Name Missing")</f>
        <v>Sales</v>
      </c>
      <c r="M204" s="25" t="str">
        <f>IF('03_Clean_data'!D204="","Missing",IFERROR(IF(VLOOKUP(D204,'03_Product_Master'!$A$1:$D$14,1,FALSE)='03_Clean_data'!D204,"Valid","Invalid"),"Invalid"))</f>
        <v>Valid</v>
      </c>
      <c r="N204" s="25" t="str">
        <f>IFERROR(VLOOKUP(tbl_clean_sales[[#This Row],[Product_ID]],'03_Product_Master'!$A$1:$D$14,2,FALSE),"Missing")</f>
        <v>Body Lotion</v>
      </c>
      <c r="O204" s="25" t="str">
        <f>IFERROR(VLOOKUP(tbl_clean_sales[[#This Row],[Product_ID]],'03_Product_Master'!$A$1:$D$14,3,FALSE),"Missing")</f>
        <v>Personal Care</v>
      </c>
      <c r="P204" s="25">
        <f>IFERROR(VLOOKUP(tbl_clean_sales[[#This Row],[Product_ID]],'03_Product_Master'!$A$1:$D$14,4,FALSE),"Missing")</f>
        <v>390</v>
      </c>
      <c r="Q204" s="25" t="str">
        <f>IF('03_Clean_data'!E204="","Missing",IFERROR(IF(VLOOKUP(E204,'04_Branch_Master'!$A$1:$C$7,1,FALSE)='03_Clean_data'!E204,"Valid","Invalid"),"Invalid"))</f>
        <v>Valid</v>
      </c>
      <c r="R204" s="25" t="str">
        <f>IFERROR(VLOOKUP(tbl_clean_sales[[#This Row],[Branch_ID]],'04_Branch_Master'!$A$1:$C$7,2,FALSE),"Missing")</f>
        <v>Avinashi Road</v>
      </c>
      <c r="S204" s="25" t="str">
        <f>IFERROR(VLOOKUP(tbl_clean_sales[[#This Row],[Branch_ID]],'04_Branch_Master'!$A$1:$C$7,3,FALSE),"Missing")</f>
        <v>North</v>
      </c>
      <c r="T204" s="25" t="str">
        <f>C204&amp;"|"&amp;TEXT(tbl_clean_sales[[#This Row],[Date]],"yyyymm")</f>
        <v>E003|202604</v>
      </c>
      <c r="U204" s="25">
        <f>IFERROR(INDEX('05_Target_Master'!$A$1:$F$32,MATCH(tbl_clean_sales[[#This Row],[target key]],'05_Target_Master'!$F$1:$F$32,0),3),"Missing")</f>
        <v>116600</v>
      </c>
    </row>
    <row r="205" spans="1:21" x14ac:dyDescent="0.3">
      <c r="A205" s="21">
        <v>46116</v>
      </c>
      <c r="B205" s="22" t="s">
        <v>236</v>
      </c>
      <c r="C205" s="22" t="s">
        <v>18</v>
      </c>
      <c r="D205" s="22" t="s">
        <v>25</v>
      </c>
      <c r="E205" s="22" t="s">
        <v>14</v>
      </c>
      <c r="F205" s="22">
        <v>4</v>
      </c>
      <c r="G205" s="23">
        <v>1561.29</v>
      </c>
      <c r="H205" s="25" t="str">
        <f>IF(COUNTIF(tbl_clean_sales[Invoice_ID],tbl_clean_sales[[#This Row],[Invoice_ID]])&gt;1,"Duplicate","Unique")</f>
        <v>Unique</v>
      </c>
      <c r="I205" s="25"/>
      <c r="J20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5" s="25" t="str">
        <f>IFERROR(VLOOKUP(tbl_clean_sales[[#This Row],[Employee_ID]],'02_Employee_Master'!$A$1:$C$12,2,FALSE),"Employee Name Missing")</f>
        <v>Rahul M</v>
      </c>
      <c r="L205" s="25" t="str">
        <f>IFERROR(VLOOKUP(tbl_clean_sales[[#This Row],[Employee_ID]],'02_Employee_Master'!$A$1:$C$12,3,FALSE),"Department Name Missing")</f>
        <v>Sales</v>
      </c>
      <c r="M205" s="25" t="str">
        <f>IF('03_Clean_data'!D205="","Missing",IFERROR(IF(VLOOKUP(D205,'03_Product_Master'!$A$1:$D$14,1,FALSE)='03_Clean_data'!D205,"Valid","Invalid"),"Invalid"))</f>
        <v>Valid</v>
      </c>
      <c r="N205" s="25" t="str">
        <f>IFERROR(VLOOKUP(tbl_clean_sales[[#This Row],[Product_ID]],'03_Product_Master'!$A$1:$D$14,2,FALSE),"Missing")</f>
        <v>Premium Coffee</v>
      </c>
      <c r="O205" s="25" t="str">
        <f>IFERROR(VLOOKUP(tbl_clean_sales[[#This Row],[Product_ID]],'03_Product_Master'!$A$1:$D$14,3,FALSE),"Missing")</f>
        <v>Beverages</v>
      </c>
      <c r="P205" s="25">
        <f>IFERROR(VLOOKUP(tbl_clean_sales[[#This Row],[Product_ID]],'03_Product_Master'!$A$1:$D$14,4,FALSE),"Missing")</f>
        <v>420</v>
      </c>
      <c r="Q205" s="25" t="str">
        <f>IF('03_Clean_data'!E205="","Missing",IFERROR(IF(VLOOKUP(E205,'04_Branch_Master'!$A$1:$C$7,1,FALSE)='03_Clean_data'!E205,"Valid","Invalid"),"Invalid"))</f>
        <v>Valid</v>
      </c>
      <c r="R205" s="25" t="str">
        <f>IFERROR(VLOOKUP(tbl_clean_sales[[#This Row],[Branch_ID]],'04_Branch_Master'!$A$1:$C$7,2,FALSE),"Missing")</f>
        <v>Avinashi Road</v>
      </c>
      <c r="S205" s="25" t="str">
        <f>IFERROR(VLOOKUP(tbl_clean_sales[[#This Row],[Branch_ID]],'04_Branch_Master'!$A$1:$C$7,3,FALSE),"Missing")</f>
        <v>North</v>
      </c>
      <c r="T205" s="25" t="str">
        <f>C205&amp;"|"&amp;TEXT(tbl_clean_sales[[#This Row],[Date]],"yyyymm")</f>
        <v>E003|202604</v>
      </c>
      <c r="U205" s="25">
        <f>IFERROR(INDEX('05_Target_Master'!$A$1:$F$32,MATCH(tbl_clean_sales[[#This Row],[target key]],'05_Target_Master'!$F$1:$F$32,0),3),"Missing")</f>
        <v>116600</v>
      </c>
    </row>
    <row r="206" spans="1:21" x14ac:dyDescent="0.3">
      <c r="A206" s="21">
        <v>46115</v>
      </c>
      <c r="B206" s="22" t="s">
        <v>237</v>
      </c>
      <c r="C206" s="22" t="s">
        <v>18</v>
      </c>
      <c r="D206" s="22" t="s">
        <v>82</v>
      </c>
      <c r="E206" s="22" t="s">
        <v>14</v>
      </c>
      <c r="F206" s="22">
        <v>12</v>
      </c>
      <c r="G206" s="23">
        <v>1367.26</v>
      </c>
      <c r="H206" s="25" t="str">
        <f>IF(COUNTIF(tbl_clean_sales[Invoice_ID],tbl_clean_sales[[#This Row],[Invoice_ID]])&gt;1,"Duplicate","Unique")</f>
        <v>Unique</v>
      </c>
      <c r="I206" s="25"/>
      <c r="J20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6" s="25" t="str">
        <f>IFERROR(VLOOKUP(tbl_clean_sales[[#This Row],[Employee_ID]],'02_Employee_Master'!$A$1:$C$12,2,FALSE),"Employee Name Missing")</f>
        <v>Rahul M</v>
      </c>
      <c r="L206" s="25" t="str">
        <f>IFERROR(VLOOKUP(tbl_clean_sales[[#This Row],[Employee_ID]],'02_Employee_Master'!$A$1:$C$12,3,FALSE),"Department Name Missing")</f>
        <v>Sales</v>
      </c>
      <c r="M206" s="25" t="str">
        <f>IF('03_Clean_data'!D206="","Missing",IFERROR(IF(VLOOKUP(D206,'03_Product_Master'!$A$1:$D$14,1,FALSE)='03_Clean_data'!D206,"Valid","Invalid"),"Invalid"))</f>
        <v>Valid</v>
      </c>
      <c r="N206" s="25" t="str">
        <f>IFERROR(VLOOKUP(tbl_clean_sales[[#This Row],[Product_ID]],'03_Product_Master'!$A$1:$D$14,2,FALSE),"Missing")</f>
        <v>Chocolate Bar</v>
      </c>
      <c r="O206" s="25" t="str">
        <f>IFERROR(VLOOKUP(tbl_clean_sales[[#This Row],[Product_ID]],'03_Product_Master'!$A$1:$D$14,3,FALSE),"Missing")</f>
        <v>Snacks</v>
      </c>
      <c r="P206" s="25">
        <f>IFERROR(VLOOKUP(tbl_clean_sales[[#This Row],[Product_ID]],'03_Product_Master'!$A$1:$D$14,4,FALSE),"Missing")</f>
        <v>120</v>
      </c>
      <c r="Q206" s="25" t="str">
        <f>IF('03_Clean_data'!E206="","Missing",IFERROR(IF(VLOOKUP(E206,'04_Branch_Master'!$A$1:$C$7,1,FALSE)='03_Clean_data'!E206,"Valid","Invalid"),"Invalid"))</f>
        <v>Valid</v>
      </c>
      <c r="R206" s="25" t="str">
        <f>IFERROR(VLOOKUP(tbl_clean_sales[[#This Row],[Branch_ID]],'04_Branch_Master'!$A$1:$C$7,2,FALSE),"Missing")</f>
        <v>Avinashi Road</v>
      </c>
      <c r="S206" s="25" t="str">
        <f>IFERROR(VLOOKUP(tbl_clean_sales[[#This Row],[Branch_ID]],'04_Branch_Master'!$A$1:$C$7,3,FALSE),"Missing")</f>
        <v>North</v>
      </c>
      <c r="T206" s="25" t="str">
        <f>C206&amp;"|"&amp;TEXT(tbl_clean_sales[[#This Row],[Date]],"yyyymm")</f>
        <v>E003|202604</v>
      </c>
      <c r="U206" s="25">
        <f>IFERROR(INDEX('05_Target_Master'!$A$1:$F$32,MATCH(tbl_clean_sales[[#This Row],[target key]],'05_Target_Master'!$F$1:$F$32,0),3),"Missing")</f>
        <v>116600</v>
      </c>
    </row>
    <row r="207" spans="1:21" x14ac:dyDescent="0.3">
      <c r="A207" s="21">
        <v>46127</v>
      </c>
      <c r="B207" s="22" t="s">
        <v>238</v>
      </c>
      <c r="C207" s="22" t="s">
        <v>21</v>
      </c>
      <c r="D207" s="22" t="s">
        <v>48</v>
      </c>
      <c r="E207" s="22" t="s">
        <v>22</v>
      </c>
      <c r="F207" s="22">
        <v>6</v>
      </c>
      <c r="G207" s="23">
        <v>1463.92</v>
      </c>
      <c r="H207" s="25" t="str">
        <f>IF(COUNTIF(tbl_clean_sales[Invoice_ID],tbl_clean_sales[[#This Row],[Invoice_ID]])&gt;1,"Duplicate","Unique")</f>
        <v>Unique</v>
      </c>
      <c r="I207" s="25"/>
      <c r="J20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7" s="25" t="str">
        <f>IFERROR(VLOOKUP(tbl_clean_sales[[#This Row],[Employee_ID]],'02_Employee_Master'!$A$1:$C$12,2,FALSE),"Employee Name Missing")</f>
        <v>Priya S</v>
      </c>
      <c r="L207" s="25" t="str">
        <f>IFERROR(VLOOKUP(tbl_clean_sales[[#This Row],[Employee_ID]],'02_Employee_Master'!$A$1:$C$12,3,FALSE),"Department Name Missing")</f>
        <v>Sales</v>
      </c>
      <c r="M207" s="25" t="str">
        <f>IF('03_Clean_data'!D207="","Missing",IFERROR(IF(VLOOKUP(D207,'03_Product_Master'!$A$1:$D$14,1,FALSE)='03_Clean_data'!D207,"Valid","Invalid"),"Invalid"))</f>
        <v>Valid</v>
      </c>
      <c r="N207" s="25" t="str">
        <f>IFERROR(VLOOKUP(tbl_clean_sales[[#This Row],[Product_ID]],'03_Product_Master'!$A$1:$D$14,2,FALSE),"Missing")</f>
        <v>Face Wash</v>
      </c>
      <c r="O207" s="25" t="str">
        <f>IFERROR(VLOOKUP(tbl_clean_sales[[#This Row],[Product_ID]],'03_Product_Master'!$A$1:$D$14,3,FALSE),"Missing")</f>
        <v>Personal Care</v>
      </c>
      <c r="P207" s="25">
        <f>IFERROR(VLOOKUP(tbl_clean_sales[[#This Row],[Product_ID]],'03_Product_Master'!$A$1:$D$14,4,FALSE),"Missing")</f>
        <v>260</v>
      </c>
      <c r="Q207" s="25" t="str">
        <f>IF('03_Clean_data'!E207="","Missing",IFERROR(IF(VLOOKUP(E207,'04_Branch_Master'!$A$1:$C$7,1,FALSE)='03_Clean_data'!E207,"Valid","Invalid"),"Invalid"))</f>
        <v>Valid</v>
      </c>
      <c r="R207" s="25" t="str">
        <f>IFERROR(VLOOKUP(tbl_clean_sales[[#This Row],[Branch_ID]],'04_Branch_Master'!$A$1:$C$7,2,FALSE),"Missing")</f>
        <v>Tirupur Central</v>
      </c>
      <c r="S207" s="25" t="str">
        <f>IFERROR(VLOOKUP(tbl_clean_sales[[#This Row],[Branch_ID]],'04_Branch_Master'!$A$1:$C$7,3,FALSE),"Missing")</f>
        <v>North</v>
      </c>
      <c r="T207" s="25" t="str">
        <f>C207&amp;"|"&amp;TEXT(tbl_clean_sales[[#This Row],[Date]],"yyyymm")</f>
        <v>E002|202604</v>
      </c>
      <c r="U207" s="25">
        <f>IFERROR(INDEX('05_Target_Master'!$A$1:$F$32,MATCH(tbl_clean_sales[[#This Row],[target key]],'05_Target_Master'!$F$1:$F$32,0),3),"Missing")</f>
        <v>122300</v>
      </c>
    </row>
    <row r="208" spans="1:21" x14ac:dyDescent="0.3">
      <c r="A208" s="21">
        <v>46126</v>
      </c>
      <c r="B208" s="22" t="s">
        <v>239</v>
      </c>
      <c r="C208" s="22" t="s">
        <v>38</v>
      </c>
      <c r="D208" s="22" t="s">
        <v>13</v>
      </c>
      <c r="E208" s="22" t="s">
        <v>32</v>
      </c>
      <c r="F208" s="22">
        <v>10</v>
      </c>
      <c r="G208" s="23">
        <v>3879.71</v>
      </c>
      <c r="H208" s="25" t="str">
        <f>IF(COUNTIF(tbl_clean_sales[Invoice_ID],tbl_clean_sales[[#This Row],[Invoice_ID]])&gt;1,"Duplicate","Unique")</f>
        <v>Unique</v>
      </c>
      <c r="I208" s="25"/>
      <c r="J20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8" s="25" t="str">
        <f>IFERROR(VLOOKUP(tbl_clean_sales[[#This Row],[Employee_ID]],'02_Employee_Master'!$A$1:$C$12,2,FALSE),"Employee Name Missing")</f>
        <v>Nandhini K</v>
      </c>
      <c r="L208" s="25" t="str">
        <f>IFERROR(VLOOKUP(tbl_clean_sales[[#This Row],[Employee_ID]],'02_Employee_Master'!$A$1:$C$12,3,FALSE),"Department Name Missing")</f>
        <v>Sales</v>
      </c>
      <c r="M208" s="25" t="str">
        <f>IF('03_Clean_data'!D208="","Missing",IFERROR(IF(VLOOKUP(D208,'03_Product_Master'!$A$1:$D$14,1,FALSE)='03_Clean_data'!D208,"Valid","Invalid"),"Invalid"))</f>
        <v>Valid</v>
      </c>
      <c r="N208" s="25" t="str">
        <f>IFERROR(VLOOKUP(tbl_clean_sales[[#This Row],[Product_ID]],'03_Product_Master'!$A$1:$D$14,2,FALSE),"Missing")</f>
        <v>Body Lotion</v>
      </c>
      <c r="O208" s="25" t="str">
        <f>IFERROR(VLOOKUP(tbl_clean_sales[[#This Row],[Product_ID]],'03_Product_Master'!$A$1:$D$14,3,FALSE),"Missing")</f>
        <v>Personal Care</v>
      </c>
      <c r="P208" s="25">
        <f>IFERROR(VLOOKUP(tbl_clean_sales[[#This Row],[Product_ID]],'03_Product_Master'!$A$1:$D$14,4,FALSE),"Missing")</f>
        <v>390</v>
      </c>
      <c r="Q208" s="25" t="str">
        <f>IF('03_Clean_data'!E208="","Missing",IFERROR(IF(VLOOKUP(E208,'04_Branch_Master'!$A$1:$C$7,1,FALSE)='03_Clean_data'!E208,"Valid","Invalid"),"Invalid"))</f>
        <v>Valid</v>
      </c>
      <c r="R208" s="25" t="str">
        <f>IFERROR(VLOOKUP(tbl_clean_sales[[#This Row],[Branch_ID]],'04_Branch_Master'!$A$1:$C$7,2,FALSE),"Missing")</f>
        <v>Kangeyam</v>
      </c>
      <c r="S208" s="25" t="str">
        <f>IFERROR(VLOOKUP(tbl_clean_sales[[#This Row],[Branch_ID]],'04_Branch_Master'!$A$1:$C$7,3,FALSE),"Missing")</f>
        <v>East</v>
      </c>
      <c r="T208" s="25" t="str">
        <f>C208&amp;"|"&amp;TEXT(tbl_clean_sales[[#This Row],[Date]],"yyyymm")</f>
        <v>E008|202604</v>
      </c>
      <c r="U208" s="25">
        <f>IFERROR(INDEX('05_Target_Master'!$A$1:$F$32,MATCH(tbl_clean_sales[[#This Row],[target key]],'05_Target_Master'!$F$1:$F$32,0),3),"Missing")</f>
        <v>124100</v>
      </c>
    </row>
    <row r="209" spans="1:21" x14ac:dyDescent="0.3">
      <c r="A209" s="21">
        <v>46197</v>
      </c>
      <c r="B209" s="22" t="s">
        <v>240</v>
      </c>
      <c r="C209" s="22" t="s">
        <v>8</v>
      </c>
      <c r="D209" s="22" t="s">
        <v>82</v>
      </c>
      <c r="E209" s="22" t="s">
        <v>10</v>
      </c>
      <c r="F209" s="22">
        <v>1</v>
      </c>
      <c r="G209" s="23">
        <v>119.12</v>
      </c>
      <c r="H209" s="25" t="str">
        <f>IF(COUNTIF(tbl_clean_sales[Invoice_ID],tbl_clean_sales[[#This Row],[Invoice_ID]])&gt;1,"Duplicate","Unique")</f>
        <v>Unique</v>
      </c>
      <c r="I209" s="25"/>
      <c r="J20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09" s="25" t="str">
        <f>IFERROR(VLOOKUP(tbl_clean_sales[[#This Row],[Employee_ID]],'02_Employee_Master'!$A$1:$C$12,2,FALSE),"Employee Name Missing")</f>
        <v>Vignesh R</v>
      </c>
      <c r="L209" s="25" t="str">
        <f>IFERROR(VLOOKUP(tbl_clean_sales[[#This Row],[Employee_ID]],'02_Employee_Master'!$A$1:$C$12,3,FALSE),"Department Name Missing")</f>
        <v>Sales</v>
      </c>
      <c r="M209" s="25" t="str">
        <f>IF('03_Clean_data'!D209="","Missing",IFERROR(IF(VLOOKUP(D209,'03_Product_Master'!$A$1:$D$14,1,FALSE)='03_Clean_data'!D209,"Valid","Invalid"),"Invalid"))</f>
        <v>Valid</v>
      </c>
      <c r="N209" s="25" t="str">
        <f>IFERROR(VLOOKUP(tbl_clean_sales[[#This Row],[Product_ID]],'03_Product_Master'!$A$1:$D$14,2,FALSE),"Missing")</f>
        <v>Chocolate Bar</v>
      </c>
      <c r="O209" s="25" t="str">
        <f>IFERROR(VLOOKUP(tbl_clean_sales[[#This Row],[Product_ID]],'03_Product_Master'!$A$1:$D$14,3,FALSE),"Missing")</f>
        <v>Snacks</v>
      </c>
      <c r="P209" s="25">
        <f>IFERROR(VLOOKUP(tbl_clean_sales[[#This Row],[Product_ID]],'03_Product_Master'!$A$1:$D$14,4,FALSE),"Missing")</f>
        <v>120</v>
      </c>
      <c r="Q209" s="25" t="str">
        <f>IF('03_Clean_data'!E209="","Missing",IFERROR(IF(VLOOKUP(E209,'04_Branch_Master'!$A$1:$C$7,1,FALSE)='03_Clean_data'!E209,"Valid","Invalid"),"Invalid"))</f>
        <v>Valid</v>
      </c>
      <c r="R209" s="25" t="str">
        <f>IFERROR(VLOOKUP(tbl_clean_sales[[#This Row],[Branch_ID]],'04_Branch_Master'!$A$1:$C$7,2,FALSE),"Missing")</f>
        <v>Dharapuram</v>
      </c>
      <c r="S209" s="25" t="str">
        <f>IFERROR(VLOOKUP(tbl_clean_sales[[#This Row],[Branch_ID]],'04_Branch_Master'!$A$1:$C$7,3,FALSE),"Missing")</f>
        <v>South</v>
      </c>
      <c r="T209" s="25" t="str">
        <f>C209&amp;"|"&amp;TEXT(tbl_clean_sales[[#This Row],[Date]],"yyyymm")</f>
        <v>E009|202606</v>
      </c>
      <c r="U209" s="25">
        <f>IFERROR(INDEX('05_Target_Master'!$A$1:$F$32,MATCH(tbl_clean_sales[[#This Row],[target key]],'05_Target_Master'!$F$1:$F$32,0),3),"Missing")</f>
        <v>156700</v>
      </c>
    </row>
    <row r="210" spans="1:21" x14ac:dyDescent="0.3">
      <c r="A210" s="21">
        <v>46174</v>
      </c>
      <c r="B210" s="22" t="s">
        <v>241</v>
      </c>
      <c r="C210" s="22" t="s">
        <v>46</v>
      </c>
      <c r="D210" s="22" t="s">
        <v>16</v>
      </c>
      <c r="E210" s="22" t="s">
        <v>32</v>
      </c>
      <c r="F210" s="22">
        <v>8</v>
      </c>
      <c r="G210" s="23">
        <v>2267.9899999999998</v>
      </c>
      <c r="H210" s="25" t="str">
        <f>IF(COUNTIF(tbl_clean_sales[Invoice_ID],tbl_clean_sales[[#This Row],[Invoice_ID]])&gt;1,"Duplicate","Unique")</f>
        <v>Unique</v>
      </c>
      <c r="I210" s="25"/>
      <c r="J2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0" s="25" t="str">
        <f>IFERROR(VLOOKUP(tbl_clean_sales[[#This Row],[Employee_ID]],'02_Employee_Master'!$A$1:$C$12,2,FALSE),"Employee Name Missing")</f>
        <v>Suresh B</v>
      </c>
      <c r="L210" s="25" t="str">
        <f>IFERROR(VLOOKUP(tbl_clean_sales[[#This Row],[Employee_ID]],'02_Employee_Master'!$A$1:$C$12,3,FALSE),"Department Name Missing")</f>
        <v>Sales</v>
      </c>
      <c r="M210" s="25" t="str">
        <f>IF('03_Clean_data'!D210="","Missing",IFERROR(IF(VLOOKUP(D210,'03_Product_Master'!$A$1:$D$14,1,FALSE)='03_Clean_data'!D210,"Valid","Invalid"),"Invalid"))</f>
        <v>Valid</v>
      </c>
      <c r="N210" s="25" t="str">
        <f>IFERROR(VLOOKUP(tbl_clean_sales[[#This Row],[Product_ID]],'03_Product_Master'!$A$1:$D$14,2,FALSE),"Missing")</f>
        <v>Shampoo</v>
      </c>
      <c r="O210" s="25" t="str">
        <f>IFERROR(VLOOKUP(tbl_clean_sales[[#This Row],[Product_ID]],'03_Product_Master'!$A$1:$D$14,3,FALSE),"Missing")</f>
        <v>Personal Care</v>
      </c>
      <c r="P210" s="25">
        <f>IFERROR(VLOOKUP(tbl_clean_sales[[#This Row],[Product_ID]],'03_Product_Master'!$A$1:$D$14,4,FALSE),"Missing")</f>
        <v>310</v>
      </c>
      <c r="Q210" s="25" t="str">
        <f>IF('03_Clean_data'!E210="","Missing",IFERROR(IF(VLOOKUP(E210,'04_Branch_Master'!$A$1:$C$7,1,FALSE)='03_Clean_data'!E210,"Valid","Invalid"),"Invalid"))</f>
        <v>Valid</v>
      </c>
      <c r="R210" s="25" t="str">
        <f>IFERROR(VLOOKUP(tbl_clean_sales[[#This Row],[Branch_ID]],'04_Branch_Master'!$A$1:$C$7,2,FALSE),"Missing")</f>
        <v>Kangeyam</v>
      </c>
      <c r="S210" s="25" t="str">
        <f>IFERROR(VLOOKUP(tbl_clean_sales[[#This Row],[Branch_ID]],'04_Branch_Master'!$A$1:$C$7,3,FALSE),"Missing")</f>
        <v>East</v>
      </c>
      <c r="T210" s="25" t="str">
        <f>C210&amp;"|"&amp;TEXT(tbl_clean_sales[[#This Row],[Date]],"yyyymm")</f>
        <v>E007|202606</v>
      </c>
      <c r="U210" s="25">
        <f>IFERROR(INDEX('05_Target_Master'!$A$1:$F$32,MATCH(tbl_clean_sales[[#This Row],[target key]],'05_Target_Master'!$F$1:$F$32,0),3),"Missing")</f>
        <v>124400</v>
      </c>
    </row>
    <row r="211" spans="1:21" x14ac:dyDescent="0.3">
      <c r="A211" s="21">
        <v>46169</v>
      </c>
      <c r="B211" s="22" t="s">
        <v>242</v>
      </c>
      <c r="C211" s="22" t="s">
        <v>21</v>
      </c>
      <c r="D211" s="22" t="s">
        <v>9</v>
      </c>
      <c r="E211" s="22" t="s">
        <v>22</v>
      </c>
      <c r="F211" s="22">
        <v>3</v>
      </c>
      <c r="G211" s="23">
        <v>833.38</v>
      </c>
      <c r="H211" s="25" t="str">
        <f>IF(COUNTIF(tbl_clean_sales[Invoice_ID],tbl_clean_sales[[#This Row],[Invoice_ID]])&gt;1,"Duplicate","Unique")</f>
        <v>Unique</v>
      </c>
      <c r="I211" s="25"/>
      <c r="J2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1" s="25" t="str">
        <f>IFERROR(VLOOKUP(tbl_clean_sales[[#This Row],[Employee_ID]],'02_Employee_Master'!$A$1:$C$12,2,FALSE),"Employee Name Missing")</f>
        <v>Priya S</v>
      </c>
      <c r="L211" s="25" t="str">
        <f>IFERROR(VLOOKUP(tbl_clean_sales[[#This Row],[Employee_ID]],'02_Employee_Master'!$A$1:$C$12,3,FALSE),"Department Name Missing")</f>
        <v>Sales</v>
      </c>
      <c r="M211" s="25" t="str">
        <f>IF('03_Clean_data'!D211="","Missing",IFERROR(IF(VLOOKUP(D211,'03_Product_Master'!$A$1:$D$14,1,FALSE)='03_Clean_data'!D211,"Valid","Invalid"),"Invalid"))</f>
        <v>Valid</v>
      </c>
      <c r="N211" s="25" t="str">
        <f>IFERROR(VLOOKUP(tbl_clean_sales[[#This Row],[Product_ID]],'03_Product_Master'!$A$1:$D$14,2,FALSE),"Missing")</f>
        <v>Green Tea</v>
      </c>
      <c r="O211" s="25" t="str">
        <f>IFERROR(VLOOKUP(tbl_clean_sales[[#This Row],[Product_ID]],'03_Product_Master'!$A$1:$D$14,3,FALSE),"Missing")</f>
        <v>Beverages</v>
      </c>
      <c r="P211" s="25">
        <f>IFERROR(VLOOKUP(tbl_clean_sales[[#This Row],[Product_ID]],'03_Product_Master'!$A$1:$D$14,4,FALSE),"Missing")</f>
        <v>280</v>
      </c>
      <c r="Q211" s="25" t="str">
        <f>IF('03_Clean_data'!E211="","Missing",IFERROR(IF(VLOOKUP(E211,'04_Branch_Master'!$A$1:$C$7,1,FALSE)='03_Clean_data'!E211,"Valid","Invalid"),"Invalid"))</f>
        <v>Valid</v>
      </c>
      <c r="R211" s="25" t="str">
        <f>IFERROR(VLOOKUP(tbl_clean_sales[[#This Row],[Branch_ID]],'04_Branch_Master'!$A$1:$C$7,2,FALSE),"Missing")</f>
        <v>Tirupur Central</v>
      </c>
      <c r="S211" s="25" t="str">
        <f>IFERROR(VLOOKUP(tbl_clean_sales[[#This Row],[Branch_ID]],'04_Branch_Master'!$A$1:$C$7,3,FALSE),"Missing")</f>
        <v>North</v>
      </c>
      <c r="T211" s="25" t="str">
        <f>C211&amp;"|"&amp;TEXT(tbl_clean_sales[[#This Row],[Date]],"yyyymm")</f>
        <v>E002|202605</v>
      </c>
      <c r="U211" s="25">
        <f>IFERROR(INDEX('05_Target_Master'!$A$1:$F$32,MATCH(tbl_clean_sales[[#This Row],[target key]],'05_Target_Master'!$F$1:$F$32,0),3),"Missing")</f>
        <v>132100</v>
      </c>
    </row>
    <row r="212" spans="1:21" x14ac:dyDescent="0.3">
      <c r="A212" s="21">
        <v>46148</v>
      </c>
      <c r="B212" s="22" t="s">
        <v>243</v>
      </c>
      <c r="C212" s="22" t="s">
        <v>29</v>
      </c>
      <c r="D212" s="22" t="s">
        <v>43</v>
      </c>
      <c r="E212" s="22" t="s">
        <v>10</v>
      </c>
      <c r="F212" s="22">
        <v>12</v>
      </c>
      <c r="G212" s="23">
        <v>3920.79</v>
      </c>
      <c r="H212" s="25" t="str">
        <f>IF(COUNTIF(tbl_clean_sales[Invoice_ID],tbl_clean_sales[[#This Row],[Invoice_ID]])&gt;1,"Duplicate","Unique")</f>
        <v>Unique</v>
      </c>
      <c r="I212" s="25"/>
      <c r="J2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2" s="25" t="str">
        <f>IFERROR(VLOOKUP(tbl_clean_sales[[#This Row],[Employee_ID]],'02_Employee_Master'!$A$1:$C$12,2,FALSE),"Employee Name Missing")</f>
        <v>Swetha L</v>
      </c>
      <c r="L212" s="25" t="str">
        <f>IFERROR(VLOOKUP(tbl_clean_sales[[#This Row],[Employee_ID]],'02_Employee_Master'!$A$1:$C$12,3,FALSE),"Department Name Missing")</f>
        <v>Sales</v>
      </c>
      <c r="M212" s="25" t="str">
        <f>IF('03_Clean_data'!D212="","Missing",IFERROR(IF(VLOOKUP(D212,'03_Product_Master'!$A$1:$D$14,1,FALSE)='03_Clean_data'!D212,"Valid","Invalid"),"Invalid"))</f>
        <v>Valid</v>
      </c>
      <c r="N212" s="25" t="str">
        <f>IFERROR(VLOOKUP(tbl_clean_sales[[#This Row],[Product_ID]],'03_Product_Master'!$A$1:$D$14,2,FALSE),"Missing")</f>
        <v>Laundry Liquid</v>
      </c>
      <c r="O212" s="25" t="str">
        <f>IFERROR(VLOOKUP(tbl_clean_sales[[#This Row],[Product_ID]],'03_Product_Master'!$A$1:$D$14,3,FALSE),"Missing")</f>
        <v>Home Care</v>
      </c>
      <c r="P212" s="25">
        <f>IFERROR(VLOOKUP(tbl_clean_sales[[#This Row],[Product_ID]],'03_Product_Master'!$A$1:$D$14,4,FALSE),"Missing")</f>
        <v>340</v>
      </c>
      <c r="Q212" s="25" t="str">
        <f>IF('03_Clean_data'!E212="","Missing",IFERROR(IF(VLOOKUP(E212,'04_Branch_Master'!$A$1:$C$7,1,FALSE)='03_Clean_data'!E212,"Valid","Invalid"),"Invalid"))</f>
        <v>Valid</v>
      </c>
      <c r="R212" s="25" t="str">
        <f>IFERROR(VLOOKUP(tbl_clean_sales[[#This Row],[Branch_ID]],'04_Branch_Master'!$A$1:$C$7,2,FALSE),"Missing")</f>
        <v>Dharapuram</v>
      </c>
      <c r="S212" s="25" t="str">
        <f>IFERROR(VLOOKUP(tbl_clean_sales[[#This Row],[Branch_ID]],'04_Branch_Master'!$A$1:$C$7,3,FALSE),"Missing")</f>
        <v>South</v>
      </c>
      <c r="T212" s="25" t="str">
        <f>C212&amp;"|"&amp;TEXT(tbl_clean_sales[[#This Row],[Date]],"yyyymm")</f>
        <v>E010|202605</v>
      </c>
      <c r="U212" s="25">
        <f>IFERROR(INDEX('05_Target_Master'!$A$1:$F$32,MATCH(tbl_clean_sales[[#This Row],[target key]],'05_Target_Master'!$F$1:$F$32,0),3),"Missing")</f>
        <v>131500</v>
      </c>
    </row>
    <row r="213" spans="1:21" x14ac:dyDescent="0.3">
      <c r="A213" s="21">
        <v>46189</v>
      </c>
      <c r="B213" s="22" t="s">
        <v>244</v>
      </c>
      <c r="C213" s="22" t="s">
        <v>8</v>
      </c>
      <c r="D213" s="22" t="s">
        <v>82</v>
      </c>
      <c r="E213" s="22" t="s">
        <v>10</v>
      </c>
      <c r="F213" s="22">
        <v>10</v>
      </c>
      <c r="G213" s="23">
        <v>1138.05</v>
      </c>
      <c r="H213" s="25" t="str">
        <f>IF(COUNTIF(tbl_clean_sales[Invoice_ID],tbl_clean_sales[[#This Row],[Invoice_ID]])&gt;1,"Duplicate","Unique")</f>
        <v>Unique</v>
      </c>
      <c r="I213" s="25"/>
      <c r="J2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3" s="25" t="str">
        <f>IFERROR(VLOOKUP(tbl_clean_sales[[#This Row],[Employee_ID]],'02_Employee_Master'!$A$1:$C$12,2,FALSE),"Employee Name Missing")</f>
        <v>Vignesh R</v>
      </c>
      <c r="L213" s="25" t="str">
        <f>IFERROR(VLOOKUP(tbl_clean_sales[[#This Row],[Employee_ID]],'02_Employee_Master'!$A$1:$C$12,3,FALSE),"Department Name Missing")</f>
        <v>Sales</v>
      </c>
      <c r="M213" s="25" t="str">
        <f>IF('03_Clean_data'!D213="","Missing",IFERROR(IF(VLOOKUP(D213,'03_Product_Master'!$A$1:$D$14,1,FALSE)='03_Clean_data'!D213,"Valid","Invalid"),"Invalid"))</f>
        <v>Valid</v>
      </c>
      <c r="N213" s="25" t="str">
        <f>IFERROR(VLOOKUP(tbl_clean_sales[[#This Row],[Product_ID]],'03_Product_Master'!$A$1:$D$14,2,FALSE),"Missing")</f>
        <v>Chocolate Bar</v>
      </c>
      <c r="O213" s="25" t="str">
        <f>IFERROR(VLOOKUP(tbl_clean_sales[[#This Row],[Product_ID]],'03_Product_Master'!$A$1:$D$14,3,FALSE),"Missing")</f>
        <v>Snacks</v>
      </c>
      <c r="P213" s="25">
        <f>IFERROR(VLOOKUP(tbl_clean_sales[[#This Row],[Product_ID]],'03_Product_Master'!$A$1:$D$14,4,FALSE),"Missing")</f>
        <v>120</v>
      </c>
      <c r="Q213" s="25" t="str">
        <f>IF('03_Clean_data'!E213="","Missing",IFERROR(IF(VLOOKUP(E213,'04_Branch_Master'!$A$1:$C$7,1,FALSE)='03_Clean_data'!E213,"Valid","Invalid"),"Invalid"))</f>
        <v>Valid</v>
      </c>
      <c r="R213" s="25" t="str">
        <f>IFERROR(VLOOKUP(tbl_clean_sales[[#This Row],[Branch_ID]],'04_Branch_Master'!$A$1:$C$7,2,FALSE),"Missing")</f>
        <v>Dharapuram</v>
      </c>
      <c r="S213" s="25" t="str">
        <f>IFERROR(VLOOKUP(tbl_clean_sales[[#This Row],[Branch_ID]],'04_Branch_Master'!$A$1:$C$7,3,FALSE),"Missing")</f>
        <v>South</v>
      </c>
      <c r="T213" s="25" t="str">
        <f>C213&amp;"|"&amp;TEXT(tbl_clean_sales[[#This Row],[Date]],"yyyymm")</f>
        <v>E009|202606</v>
      </c>
      <c r="U213" s="25">
        <f>IFERROR(INDEX('05_Target_Master'!$A$1:$F$32,MATCH(tbl_clean_sales[[#This Row],[target key]],'05_Target_Master'!$F$1:$F$32,0),3),"Missing")</f>
        <v>156700</v>
      </c>
    </row>
    <row r="214" spans="1:21" x14ac:dyDescent="0.3">
      <c r="A214" s="21">
        <v>46202</v>
      </c>
      <c r="B214" s="22" t="s">
        <v>245</v>
      </c>
      <c r="C214" s="22" t="s">
        <v>21</v>
      </c>
      <c r="D214" s="22" t="s">
        <v>43</v>
      </c>
      <c r="E214" s="22" t="s">
        <v>22</v>
      </c>
      <c r="F214" s="22">
        <v>9</v>
      </c>
      <c r="G214" s="23">
        <v>2795.31</v>
      </c>
      <c r="H214" s="25" t="str">
        <f>IF(COUNTIF(tbl_clean_sales[Invoice_ID],tbl_clean_sales[[#This Row],[Invoice_ID]])&gt;1,"Duplicate","Unique")</f>
        <v>Unique</v>
      </c>
      <c r="I214" s="25"/>
      <c r="J2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4" s="25" t="str">
        <f>IFERROR(VLOOKUP(tbl_clean_sales[[#This Row],[Employee_ID]],'02_Employee_Master'!$A$1:$C$12,2,FALSE),"Employee Name Missing")</f>
        <v>Priya S</v>
      </c>
      <c r="L214" s="25" t="str">
        <f>IFERROR(VLOOKUP(tbl_clean_sales[[#This Row],[Employee_ID]],'02_Employee_Master'!$A$1:$C$12,3,FALSE),"Department Name Missing")</f>
        <v>Sales</v>
      </c>
      <c r="M214" s="25" t="str">
        <f>IF('03_Clean_data'!D214="","Missing",IFERROR(IF(VLOOKUP(D214,'03_Product_Master'!$A$1:$D$14,1,FALSE)='03_Clean_data'!D214,"Valid","Invalid"),"Invalid"))</f>
        <v>Valid</v>
      </c>
      <c r="N214" s="25" t="str">
        <f>IFERROR(VLOOKUP(tbl_clean_sales[[#This Row],[Product_ID]],'03_Product_Master'!$A$1:$D$14,2,FALSE),"Missing")</f>
        <v>Laundry Liquid</v>
      </c>
      <c r="O214" s="25" t="str">
        <f>IFERROR(VLOOKUP(tbl_clean_sales[[#This Row],[Product_ID]],'03_Product_Master'!$A$1:$D$14,3,FALSE),"Missing")</f>
        <v>Home Care</v>
      </c>
      <c r="P214" s="25">
        <f>IFERROR(VLOOKUP(tbl_clean_sales[[#This Row],[Product_ID]],'03_Product_Master'!$A$1:$D$14,4,FALSE),"Missing")</f>
        <v>340</v>
      </c>
      <c r="Q214" s="25" t="str">
        <f>IF('03_Clean_data'!E214="","Missing",IFERROR(IF(VLOOKUP(E214,'04_Branch_Master'!$A$1:$C$7,1,FALSE)='03_Clean_data'!E214,"Valid","Invalid"),"Invalid"))</f>
        <v>Valid</v>
      </c>
      <c r="R214" s="25" t="str">
        <f>IFERROR(VLOOKUP(tbl_clean_sales[[#This Row],[Branch_ID]],'04_Branch_Master'!$A$1:$C$7,2,FALSE),"Missing")</f>
        <v>Tirupur Central</v>
      </c>
      <c r="S214" s="25" t="str">
        <f>IFERROR(VLOOKUP(tbl_clean_sales[[#This Row],[Branch_ID]],'04_Branch_Master'!$A$1:$C$7,3,FALSE),"Missing")</f>
        <v>North</v>
      </c>
      <c r="T214" s="25" t="str">
        <f>C214&amp;"|"&amp;TEXT(tbl_clean_sales[[#This Row],[Date]],"yyyymm")</f>
        <v>E002|202606</v>
      </c>
      <c r="U214" s="25">
        <f>IFERROR(INDEX('05_Target_Master'!$A$1:$F$32,MATCH(tbl_clean_sales[[#This Row],[target key]],'05_Target_Master'!$F$1:$F$32,0),3),"Missing")</f>
        <v>117400</v>
      </c>
    </row>
    <row r="215" spans="1:21" x14ac:dyDescent="0.3">
      <c r="A215" s="21">
        <v>46140</v>
      </c>
      <c r="B215" s="22" t="s">
        <v>246</v>
      </c>
      <c r="C215" s="22" t="s">
        <v>46</v>
      </c>
      <c r="D215" s="22" t="s">
        <v>48</v>
      </c>
      <c r="E215" s="22" t="s">
        <v>32</v>
      </c>
      <c r="F215" s="22">
        <v>6</v>
      </c>
      <c r="G215" s="23">
        <v>1405.11</v>
      </c>
      <c r="H215" s="25" t="str">
        <f>IF(COUNTIF(tbl_clean_sales[Invoice_ID],tbl_clean_sales[[#This Row],[Invoice_ID]])&gt;1,"Duplicate","Unique")</f>
        <v>Unique</v>
      </c>
      <c r="I215" s="25"/>
      <c r="J2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5" s="25" t="str">
        <f>IFERROR(VLOOKUP(tbl_clean_sales[[#This Row],[Employee_ID]],'02_Employee_Master'!$A$1:$C$12,2,FALSE),"Employee Name Missing")</f>
        <v>Suresh B</v>
      </c>
      <c r="L215" s="25" t="str">
        <f>IFERROR(VLOOKUP(tbl_clean_sales[[#This Row],[Employee_ID]],'02_Employee_Master'!$A$1:$C$12,3,FALSE),"Department Name Missing")</f>
        <v>Sales</v>
      </c>
      <c r="M215" s="25" t="str">
        <f>IF('03_Clean_data'!D215="","Missing",IFERROR(IF(VLOOKUP(D215,'03_Product_Master'!$A$1:$D$14,1,FALSE)='03_Clean_data'!D215,"Valid","Invalid"),"Invalid"))</f>
        <v>Valid</v>
      </c>
      <c r="N215" s="25" t="str">
        <f>IFERROR(VLOOKUP(tbl_clean_sales[[#This Row],[Product_ID]],'03_Product_Master'!$A$1:$D$14,2,FALSE),"Missing")</f>
        <v>Face Wash</v>
      </c>
      <c r="O215" s="25" t="str">
        <f>IFERROR(VLOOKUP(tbl_clean_sales[[#This Row],[Product_ID]],'03_Product_Master'!$A$1:$D$14,3,FALSE),"Missing")</f>
        <v>Personal Care</v>
      </c>
      <c r="P215" s="25">
        <f>IFERROR(VLOOKUP(tbl_clean_sales[[#This Row],[Product_ID]],'03_Product_Master'!$A$1:$D$14,4,FALSE),"Missing")</f>
        <v>260</v>
      </c>
      <c r="Q215" s="25" t="str">
        <f>IF('03_Clean_data'!E215="","Missing",IFERROR(IF(VLOOKUP(E215,'04_Branch_Master'!$A$1:$C$7,1,FALSE)='03_Clean_data'!E215,"Valid","Invalid"),"Invalid"))</f>
        <v>Valid</v>
      </c>
      <c r="R215" s="25" t="str">
        <f>IFERROR(VLOOKUP(tbl_clean_sales[[#This Row],[Branch_ID]],'04_Branch_Master'!$A$1:$C$7,2,FALSE),"Missing")</f>
        <v>Kangeyam</v>
      </c>
      <c r="S215" s="25" t="str">
        <f>IFERROR(VLOOKUP(tbl_clean_sales[[#This Row],[Branch_ID]],'04_Branch_Master'!$A$1:$C$7,3,FALSE),"Missing")</f>
        <v>East</v>
      </c>
      <c r="T215" s="25" t="str">
        <f>C215&amp;"|"&amp;TEXT(tbl_clean_sales[[#This Row],[Date]],"yyyymm")</f>
        <v>E007|202604</v>
      </c>
      <c r="U215" s="25">
        <f>IFERROR(INDEX('05_Target_Master'!$A$1:$F$32,MATCH(tbl_clean_sales[[#This Row],[target key]],'05_Target_Master'!$F$1:$F$32,0),3),"Missing")</f>
        <v>129600</v>
      </c>
    </row>
    <row r="216" spans="1:21" x14ac:dyDescent="0.3">
      <c r="A216" s="21">
        <v>46164</v>
      </c>
      <c r="B216" s="22" t="s">
        <v>247</v>
      </c>
      <c r="C216" s="22" t="s">
        <v>46</v>
      </c>
      <c r="D216" s="22" t="s">
        <v>19</v>
      </c>
      <c r="E216" s="22" t="s">
        <v>32</v>
      </c>
      <c r="F216" s="22">
        <v>7</v>
      </c>
      <c r="G216" s="23">
        <v>1549.62</v>
      </c>
      <c r="H216" s="25" t="str">
        <f>IF(COUNTIF(tbl_clean_sales[Invoice_ID],tbl_clean_sales[[#This Row],[Invoice_ID]])&gt;1,"Duplicate","Unique")</f>
        <v>Unique</v>
      </c>
      <c r="I216" s="25"/>
      <c r="J2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6" s="25" t="str">
        <f>IFERROR(VLOOKUP(tbl_clean_sales[[#This Row],[Employee_ID]],'02_Employee_Master'!$A$1:$C$12,2,FALSE),"Employee Name Missing")</f>
        <v>Suresh B</v>
      </c>
      <c r="L216" s="25" t="str">
        <f>IFERROR(VLOOKUP(tbl_clean_sales[[#This Row],[Employee_ID]],'02_Employee_Master'!$A$1:$C$12,3,FALSE),"Department Name Missing")</f>
        <v>Sales</v>
      </c>
      <c r="M216" s="25" t="str">
        <f>IF('03_Clean_data'!D216="","Missing",IFERROR(IF(VLOOKUP(D216,'03_Product_Master'!$A$1:$D$14,1,FALSE)='03_Clean_data'!D216,"Valid","Invalid"),"Invalid"))</f>
        <v>Valid</v>
      </c>
      <c r="N216" s="25" t="str">
        <f>IFERROR(VLOOKUP(tbl_clean_sales[[#This Row],[Product_ID]],'03_Product_Master'!$A$1:$D$14,2,FALSE),"Missing")</f>
        <v>Floor Cleaner</v>
      </c>
      <c r="O216" s="25" t="str">
        <f>IFERROR(VLOOKUP(tbl_clean_sales[[#This Row],[Product_ID]],'03_Product_Master'!$A$1:$D$14,3,FALSE),"Missing")</f>
        <v>Home Care</v>
      </c>
      <c r="P216" s="25">
        <f>IFERROR(VLOOKUP(tbl_clean_sales[[#This Row],[Product_ID]],'03_Product_Master'!$A$1:$D$14,4,FALSE),"Missing")</f>
        <v>230</v>
      </c>
      <c r="Q216" s="25" t="str">
        <f>IF('03_Clean_data'!E216="","Missing",IFERROR(IF(VLOOKUP(E216,'04_Branch_Master'!$A$1:$C$7,1,FALSE)='03_Clean_data'!E216,"Valid","Invalid"),"Invalid"))</f>
        <v>Valid</v>
      </c>
      <c r="R216" s="25" t="str">
        <f>IFERROR(VLOOKUP(tbl_clean_sales[[#This Row],[Branch_ID]],'04_Branch_Master'!$A$1:$C$7,2,FALSE),"Missing")</f>
        <v>Kangeyam</v>
      </c>
      <c r="S216" s="25" t="str">
        <f>IFERROR(VLOOKUP(tbl_clean_sales[[#This Row],[Branch_ID]],'04_Branch_Master'!$A$1:$C$7,3,FALSE),"Missing")</f>
        <v>East</v>
      </c>
      <c r="T216" s="25" t="str">
        <f>C216&amp;"|"&amp;TEXT(tbl_clean_sales[[#This Row],[Date]],"yyyymm")</f>
        <v>E007|202605</v>
      </c>
      <c r="U216" s="25">
        <f>IFERROR(INDEX('05_Target_Master'!$A$1:$F$32,MATCH(tbl_clean_sales[[#This Row],[target key]],'05_Target_Master'!$F$1:$F$32,0),3),"Missing")</f>
        <v>140000</v>
      </c>
    </row>
    <row r="217" spans="1:21" x14ac:dyDescent="0.3">
      <c r="A217" s="21">
        <v>46145</v>
      </c>
      <c r="B217" s="22" t="s">
        <v>248</v>
      </c>
      <c r="C217" s="22" t="s">
        <v>40</v>
      </c>
      <c r="D217" s="22" t="s">
        <v>53</v>
      </c>
      <c r="E217" s="22" t="s">
        <v>26</v>
      </c>
      <c r="F217" s="22">
        <v>8</v>
      </c>
      <c r="G217" s="23">
        <v>2777.44</v>
      </c>
      <c r="H217" s="25" t="str">
        <f>IF(COUNTIF(tbl_clean_sales[Invoice_ID],tbl_clean_sales[[#This Row],[Invoice_ID]])&gt;1,"Duplicate","Unique")</f>
        <v>Unique</v>
      </c>
      <c r="I217" s="25"/>
      <c r="J2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7" s="25" t="str">
        <f>IFERROR(VLOOKUP(tbl_clean_sales[[#This Row],[Employee_ID]],'02_Employee_Master'!$A$1:$C$12,2,FALSE),"Employee Name Missing")</f>
        <v>Meena V</v>
      </c>
      <c r="L217" s="25" t="str">
        <f>IFERROR(VLOOKUP(tbl_clean_sales[[#This Row],[Employee_ID]],'02_Employee_Master'!$A$1:$C$12,3,FALSE),"Department Name Missing")</f>
        <v>Sales</v>
      </c>
      <c r="M217" s="25" t="str">
        <f>IF('03_Clean_data'!D217="","Missing",IFERROR(IF(VLOOKUP(D217,'03_Product_Master'!$A$1:$D$14,1,FALSE)='03_Clean_data'!D217,"Valid","Invalid"),"Invalid"))</f>
        <v>Valid</v>
      </c>
      <c r="N217" s="25" t="str">
        <f>IFERROR(VLOOKUP(tbl_clean_sales[[#This Row],[Product_ID]],'03_Product_Master'!$A$1:$D$14,2,FALSE),"Missing")</f>
        <v>Instant Coffee</v>
      </c>
      <c r="O217" s="25" t="str">
        <f>IFERROR(VLOOKUP(tbl_clean_sales[[#This Row],[Product_ID]],'03_Product_Master'!$A$1:$D$14,3,FALSE),"Missing")</f>
        <v>Beverages</v>
      </c>
      <c r="P217" s="25">
        <f>IFERROR(VLOOKUP(tbl_clean_sales[[#This Row],[Product_ID]],'03_Product_Master'!$A$1:$D$14,4,FALSE),"Missing")</f>
        <v>350</v>
      </c>
      <c r="Q217" s="25" t="str">
        <f>IF('03_Clean_data'!E217="","Missing",IFERROR(IF(VLOOKUP(E217,'04_Branch_Master'!$A$1:$C$7,1,FALSE)='03_Clean_data'!E217,"Valid","Invalid"),"Invalid"))</f>
        <v>Valid</v>
      </c>
      <c r="R217" s="25" t="str">
        <f>IFERROR(VLOOKUP(tbl_clean_sales[[#This Row],[Branch_ID]],'04_Branch_Master'!$A$1:$C$7,2,FALSE),"Missing")</f>
        <v>Palladam</v>
      </c>
      <c r="S217" s="25" t="str">
        <f>IFERROR(VLOOKUP(tbl_clean_sales[[#This Row],[Branch_ID]],'04_Branch_Master'!$A$1:$C$7,3,FALSE),"Missing")</f>
        <v>South</v>
      </c>
      <c r="T217" s="25" t="str">
        <f>C217&amp;"|"&amp;TEXT(tbl_clean_sales[[#This Row],[Date]],"yyyymm")</f>
        <v>E006|202605</v>
      </c>
      <c r="U217" s="25">
        <f>IFERROR(INDEX('05_Target_Master'!$A$1:$F$32,MATCH(tbl_clean_sales[[#This Row],[target key]],'05_Target_Master'!$F$1:$F$32,0),3),"Missing")</f>
        <v>141500</v>
      </c>
    </row>
    <row r="218" spans="1:21" x14ac:dyDescent="0.3">
      <c r="A218" s="21">
        <v>46123</v>
      </c>
      <c r="B218" s="22" t="s">
        <v>249</v>
      </c>
      <c r="C218" s="22"/>
      <c r="D218" s="22" t="s">
        <v>16</v>
      </c>
      <c r="E218" s="22" t="s">
        <v>22</v>
      </c>
      <c r="F218" s="22">
        <v>12</v>
      </c>
      <c r="G218" s="23">
        <v>3553.65</v>
      </c>
      <c r="H218" s="25" t="str">
        <f>IF(COUNTIF(tbl_clean_sales[Invoice_ID],tbl_clean_sales[[#This Row],[Invoice_ID]])&gt;1,"Duplicate","Unique")</f>
        <v>Unique</v>
      </c>
      <c r="I218" s="25"/>
      <c r="J2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Missing</v>
      </c>
      <c r="K218" s="25" t="str">
        <f>IFERROR(VLOOKUP(tbl_clean_sales[[#This Row],[Employee_ID]],'02_Employee_Master'!$A$1:$C$12,2,FALSE),"Employee Name Missing")</f>
        <v>Employee Name Missing</v>
      </c>
      <c r="L218" s="25" t="str">
        <f>IFERROR(VLOOKUP(tbl_clean_sales[[#This Row],[Employee_ID]],'02_Employee_Master'!$A$1:$C$12,3,FALSE),"Department Name Missing")</f>
        <v>Department Name Missing</v>
      </c>
      <c r="M218" s="25" t="str">
        <f>IF('03_Clean_data'!D218="","Missing",IFERROR(IF(VLOOKUP(D218,'03_Product_Master'!$A$1:$D$14,1,FALSE)='03_Clean_data'!D218,"Valid","Invalid"),"Invalid"))</f>
        <v>Valid</v>
      </c>
      <c r="N218" s="25" t="str">
        <f>IFERROR(VLOOKUP(tbl_clean_sales[[#This Row],[Product_ID]],'03_Product_Master'!$A$1:$D$14,2,FALSE),"Missing")</f>
        <v>Shampoo</v>
      </c>
      <c r="O218" s="25" t="str">
        <f>IFERROR(VLOOKUP(tbl_clean_sales[[#This Row],[Product_ID]],'03_Product_Master'!$A$1:$D$14,3,FALSE),"Missing")</f>
        <v>Personal Care</v>
      </c>
      <c r="P218" s="25">
        <f>IFERROR(VLOOKUP(tbl_clean_sales[[#This Row],[Product_ID]],'03_Product_Master'!$A$1:$D$14,4,FALSE),"Missing")</f>
        <v>310</v>
      </c>
      <c r="Q218" s="25" t="str">
        <f>IF('03_Clean_data'!E218="","Missing",IFERROR(IF(VLOOKUP(E218,'04_Branch_Master'!$A$1:$C$7,1,FALSE)='03_Clean_data'!E218,"Valid","Invalid"),"Invalid"))</f>
        <v>Valid</v>
      </c>
      <c r="R218" s="25" t="str">
        <f>IFERROR(VLOOKUP(tbl_clean_sales[[#This Row],[Branch_ID]],'04_Branch_Master'!$A$1:$C$7,2,FALSE),"Missing")</f>
        <v>Tirupur Central</v>
      </c>
      <c r="S218" s="25" t="str">
        <f>IFERROR(VLOOKUP(tbl_clean_sales[[#This Row],[Branch_ID]],'04_Branch_Master'!$A$1:$C$7,3,FALSE),"Missing")</f>
        <v>North</v>
      </c>
      <c r="T218" s="25" t="str">
        <f>C218&amp;"|"&amp;TEXT(tbl_clean_sales[[#This Row],[Date]],"yyyymm")</f>
        <v>|202604</v>
      </c>
      <c r="U218" s="25" t="str">
        <f>IFERROR(INDEX('05_Target_Master'!$A$1:$F$32,MATCH(tbl_clean_sales[[#This Row],[target key]],'05_Target_Master'!$F$1:$F$32,0),3),"Missing")</f>
        <v>Missing</v>
      </c>
    </row>
    <row r="219" spans="1:21" x14ac:dyDescent="0.3">
      <c r="A219" s="21">
        <v>46129</v>
      </c>
      <c r="B219" s="22" t="s">
        <v>250</v>
      </c>
      <c r="C219" s="22" t="s">
        <v>8</v>
      </c>
      <c r="D219" s="22" t="s">
        <v>25</v>
      </c>
      <c r="E219" s="22" t="s">
        <v>10</v>
      </c>
      <c r="F219" s="22">
        <v>9</v>
      </c>
      <c r="G219" s="23">
        <v>3525.22</v>
      </c>
      <c r="H219" s="25" t="str">
        <f>IF(COUNTIF(tbl_clean_sales[Invoice_ID],tbl_clean_sales[[#This Row],[Invoice_ID]])&gt;1,"Duplicate","Unique")</f>
        <v>Unique</v>
      </c>
      <c r="I219" s="25"/>
      <c r="J2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19" s="25" t="str">
        <f>IFERROR(VLOOKUP(tbl_clean_sales[[#This Row],[Employee_ID]],'02_Employee_Master'!$A$1:$C$12,2,FALSE),"Employee Name Missing")</f>
        <v>Vignesh R</v>
      </c>
      <c r="L219" s="25" t="str">
        <f>IFERROR(VLOOKUP(tbl_clean_sales[[#This Row],[Employee_ID]],'02_Employee_Master'!$A$1:$C$12,3,FALSE),"Department Name Missing")</f>
        <v>Sales</v>
      </c>
      <c r="M219" s="25" t="str">
        <f>IF('03_Clean_data'!D219="","Missing",IFERROR(IF(VLOOKUP(D219,'03_Product_Master'!$A$1:$D$14,1,FALSE)='03_Clean_data'!D219,"Valid","Invalid"),"Invalid"))</f>
        <v>Valid</v>
      </c>
      <c r="N219" s="25" t="str">
        <f>IFERROR(VLOOKUP(tbl_clean_sales[[#This Row],[Product_ID]],'03_Product_Master'!$A$1:$D$14,2,FALSE),"Missing")</f>
        <v>Premium Coffee</v>
      </c>
      <c r="O219" s="25" t="str">
        <f>IFERROR(VLOOKUP(tbl_clean_sales[[#This Row],[Product_ID]],'03_Product_Master'!$A$1:$D$14,3,FALSE),"Missing")</f>
        <v>Beverages</v>
      </c>
      <c r="P219" s="25">
        <f>IFERROR(VLOOKUP(tbl_clean_sales[[#This Row],[Product_ID]],'03_Product_Master'!$A$1:$D$14,4,FALSE),"Missing")</f>
        <v>420</v>
      </c>
      <c r="Q219" s="25" t="str">
        <f>IF('03_Clean_data'!E219="","Missing",IFERROR(IF(VLOOKUP(E219,'04_Branch_Master'!$A$1:$C$7,1,FALSE)='03_Clean_data'!E219,"Valid","Invalid"),"Invalid"))</f>
        <v>Valid</v>
      </c>
      <c r="R219" s="25" t="str">
        <f>IFERROR(VLOOKUP(tbl_clean_sales[[#This Row],[Branch_ID]],'04_Branch_Master'!$A$1:$C$7,2,FALSE),"Missing")</f>
        <v>Dharapuram</v>
      </c>
      <c r="S219" s="25" t="str">
        <f>IFERROR(VLOOKUP(tbl_clean_sales[[#This Row],[Branch_ID]],'04_Branch_Master'!$A$1:$C$7,3,FALSE),"Missing")</f>
        <v>South</v>
      </c>
      <c r="T219" s="25" t="str">
        <f>C219&amp;"|"&amp;TEXT(tbl_clean_sales[[#This Row],[Date]],"yyyymm")</f>
        <v>E009|202604</v>
      </c>
      <c r="U219" s="25">
        <f>IFERROR(INDEX('05_Target_Master'!$A$1:$F$32,MATCH(tbl_clean_sales[[#This Row],[target key]],'05_Target_Master'!$F$1:$F$32,0),3),"Missing")</f>
        <v>163300</v>
      </c>
    </row>
    <row r="220" spans="1:21" x14ac:dyDescent="0.3">
      <c r="A220" s="21">
        <v>46198</v>
      </c>
      <c r="B220" s="22" t="s">
        <v>251</v>
      </c>
      <c r="C220" s="22" t="s">
        <v>21</v>
      </c>
      <c r="D220" s="22" t="s">
        <v>16</v>
      </c>
      <c r="E220" s="22" t="s">
        <v>22</v>
      </c>
      <c r="F220" s="22">
        <v>11</v>
      </c>
      <c r="G220" s="23">
        <v>3024.89</v>
      </c>
      <c r="H220" s="25" t="str">
        <f>IF(COUNTIF(tbl_clean_sales[Invoice_ID],tbl_clean_sales[[#This Row],[Invoice_ID]])&gt;1,"Duplicate","Unique")</f>
        <v>Unique</v>
      </c>
      <c r="I220" s="25"/>
      <c r="J2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0" s="25" t="str">
        <f>IFERROR(VLOOKUP(tbl_clean_sales[[#This Row],[Employee_ID]],'02_Employee_Master'!$A$1:$C$12,2,FALSE),"Employee Name Missing")</f>
        <v>Priya S</v>
      </c>
      <c r="L220" s="25" t="str">
        <f>IFERROR(VLOOKUP(tbl_clean_sales[[#This Row],[Employee_ID]],'02_Employee_Master'!$A$1:$C$12,3,FALSE),"Department Name Missing")</f>
        <v>Sales</v>
      </c>
      <c r="M220" s="25" t="str">
        <f>IF('03_Clean_data'!D220="","Missing",IFERROR(IF(VLOOKUP(D220,'03_Product_Master'!$A$1:$D$14,1,FALSE)='03_Clean_data'!D220,"Valid","Invalid"),"Invalid"))</f>
        <v>Valid</v>
      </c>
      <c r="N220" s="25" t="str">
        <f>IFERROR(VLOOKUP(tbl_clean_sales[[#This Row],[Product_ID]],'03_Product_Master'!$A$1:$D$14,2,FALSE),"Missing")</f>
        <v>Shampoo</v>
      </c>
      <c r="O220" s="25" t="str">
        <f>IFERROR(VLOOKUP(tbl_clean_sales[[#This Row],[Product_ID]],'03_Product_Master'!$A$1:$D$14,3,FALSE),"Missing")</f>
        <v>Personal Care</v>
      </c>
      <c r="P220" s="25">
        <f>IFERROR(VLOOKUP(tbl_clean_sales[[#This Row],[Product_ID]],'03_Product_Master'!$A$1:$D$14,4,FALSE),"Missing")</f>
        <v>310</v>
      </c>
      <c r="Q220" s="25" t="str">
        <f>IF('03_Clean_data'!E220="","Missing",IFERROR(IF(VLOOKUP(E220,'04_Branch_Master'!$A$1:$C$7,1,FALSE)='03_Clean_data'!E220,"Valid","Invalid"),"Invalid"))</f>
        <v>Valid</v>
      </c>
      <c r="R220" s="25" t="str">
        <f>IFERROR(VLOOKUP(tbl_clean_sales[[#This Row],[Branch_ID]],'04_Branch_Master'!$A$1:$C$7,2,FALSE),"Missing")</f>
        <v>Tirupur Central</v>
      </c>
      <c r="S220" s="25" t="str">
        <f>IFERROR(VLOOKUP(tbl_clean_sales[[#This Row],[Branch_ID]],'04_Branch_Master'!$A$1:$C$7,3,FALSE),"Missing")</f>
        <v>North</v>
      </c>
      <c r="T220" s="25" t="str">
        <f>C220&amp;"|"&amp;TEXT(tbl_clean_sales[[#This Row],[Date]],"yyyymm")</f>
        <v>E002|202606</v>
      </c>
      <c r="U220" s="25">
        <f>IFERROR(INDEX('05_Target_Master'!$A$1:$F$32,MATCH(tbl_clean_sales[[#This Row],[target key]],'05_Target_Master'!$F$1:$F$32,0),3),"Missing")</f>
        <v>117400</v>
      </c>
    </row>
    <row r="221" spans="1:21" x14ac:dyDescent="0.3">
      <c r="A221" s="21">
        <v>46167</v>
      </c>
      <c r="B221" s="22" t="s">
        <v>252</v>
      </c>
      <c r="C221" s="22" t="s">
        <v>74</v>
      </c>
      <c r="D221" s="22" t="s">
        <v>82</v>
      </c>
      <c r="E221" s="22" t="s">
        <v>22</v>
      </c>
      <c r="F221" s="22">
        <v>6</v>
      </c>
      <c r="G221" s="23">
        <v>711.05</v>
      </c>
      <c r="H221" s="25" t="str">
        <f>IF(COUNTIF(tbl_clean_sales[Invoice_ID],tbl_clean_sales[[#This Row],[Invoice_ID]])&gt;1,"Duplicate","Unique")</f>
        <v>Unique</v>
      </c>
      <c r="I221" s="25"/>
      <c r="J2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1" s="25" t="str">
        <f>IFERROR(VLOOKUP(tbl_clean_sales[[#This Row],[Employee_ID]],'02_Employee_Master'!$A$1:$C$12,2,FALSE),"Employee Name Missing")</f>
        <v>Arun Kumar</v>
      </c>
      <c r="L221" s="25" t="str">
        <f>IFERROR(VLOOKUP(tbl_clean_sales[[#This Row],[Employee_ID]],'02_Employee_Master'!$A$1:$C$12,3,FALSE),"Department Name Missing")</f>
        <v>Sales</v>
      </c>
      <c r="M221" s="25" t="str">
        <f>IF('03_Clean_data'!D221="","Missing",IFERROR(IF(VLOOKUP(D221,'03_Product_Master'!$A$1:$D$14,1,FALSE)='03_Clean_data'!D221,"Valid","Invalid"),"Invalid"))</f>
        <v>Valid</v>
      </c>
      <c r="N221" s="25" t="str">
        <f>IFERROR(VLOOKUP(tbl_clean_sales[[#This Row],[Product_ID]],'03_Product_Master'!$A$1:$D$14,2,FALSE),"Missing")</f>
        <v>Chocolate Bar</v>
      </c>
      <c r="O221" s="25" t="str">
        <f>IFERROR(VLOOKUP(tbl_clean_sales[[#This Row],[Product_ID]],'03_Product_Master'!$A$1:$D$14,3,FALSE),"Missing")</f>
        <v>Snacks</v>
      </c>
      <c r="P221" s="25">
        <f>IFERROR(VLOOKUP(tbl_clean_sales[[#This Row],[Product_ID]],'03_Product_Master'!$A$1:$D$14,4,FALSE),"Missing")</f>
        <v>120</v>
      </c>
      <c r="Q221" s="25" t="str">
        <f>IF('03_Clean_data'!E221="","Missing",IFERROR(IF(VLOOKUP(E221,'04_Branch_Master'!$A$1:$C$7,1,FALSE)='03_Clean_data'!E221,"Valid","Invalid"),"Invalid"))</f>
        <v>Valid</v>
      </c>
      <c r="R221" s="25" t="str">
        <f>IFERROR(VLOOKUP(tbl_clean_sales[[#This Row],[Branch_ID]],'04_Branch_Master'!$A$1:$C$7,2,FALSE),"Missing")</f>
        <v>Tirupur Central</v>
      </c>
      <c r="S221" s="25" t="str">
        <f>IFERROR(VLOOKUP(tbl_clean_sales[[#This Row],[Branch_ID]],'04_Branch_Master'!$A$1:$C$7,3,FALSE),"Missing")</f>
        <v>North</v>
      </c>
      <c r="T221" s="25" t="str">
        <f>C221&amp;"|"&amp;TEXT(tbl_clean_sales[[#This Row],[Date]],"yyyymm")</f>
        <v>E001|202605</v>
      </c>
      <c r="U221" s="25">
        <f>IFERROR(INDEX('05_Target_Master'!$A$1:$F$32,MATCH(tbl_clean_sales[[#This Row],[target key]],'05_Target_Master'!$F$1:$F$32,0),3),"Missing")</f>
        <v>169500</v>
      </c>
    </row>
    <row r="222" spans="1:21" x14ac:dyDescent="0.3">
      <c r="A222" s="21">
        <v>46177</v>
      </c>
      <c r="B222" s="22" t="s">
        <v>253</v>
      </c>
      <c r="C222" s="22" t="s">
        <v>12</v>
      </c>
      <c r="D222" s="22" t="s">
        <v>53</v>
      </c>
      <c r="E222" s="22" t="s">
        <v>14</v>
      </c>
      <c r="F222" s="22">
        <v>4</v>
      </c>
      <c r="G222" s="23">
        <v>1257.6600000000001</v>
      </c>
      <c r="H222" s="25" t="str">
        <f>IF(COUNTIF(tbl_clean_sales[Invoice_ID],tbl_clean_sales[[#This Row],[Invoice_ID]])&gt;1,"Duplicate","Unique")</f>
        <v>Unique</v>
      </c>
      <c r="I222" s="25"/>
      <c r="J2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2" s="25" t="str">
        <f>IFERROR(VLOOKUP(tbl_clean_sales[[#This Row],[Employee_ID]],'02_Employee_Master'!$A$1:$C$12,2,FALSE),"Employee Name Missing")</f>
        <v>Divya R</v>
      </c>
      <c r="L222" s="25" t="str">
        <f>IFERROR(VLOOKUP(tbl_clean_sales[[#This Row],[Employee_ID]],'02_Employee_Master'!$A$1:$C$12,3,FALSE),"Department Name Missing")</f>
        <v>Sales</v>
      </c>
      <c r="M222" s="25" t="str">
        <f>IF('03_Clean_data'!D222="","Missing",IFERROR(IF(VLOOKUP(D222,'03_Product_Master'!$A$1:$D$14,1,FALSE)='03_Clean_data'!D222,"Valid","Invalid"),"Invalid"))</f>
        <v>Valid</v>
      </c>
      <c r="N222" s="25" t="str">
        <f>IFERROR(VLOOKUP(tbl_clean_sales[[#This Row],[Product_ID]],'03_Product_Master'!$A$1:$D$14,2,FALSE),"Missing")</f>
        <v>Instant Coffee</v>
      </c>
      <c r="O222" s="25" t="str">
        <f>IFERROR(VLOOKUP(tbl_clean_sales[[#This Row],[Product_ID]],'03_Product_Master'!$A$1:$D$14,3,FALSE),"Missing")</f>
        <v>Beverages</v>
      </c>
      <c r="P222" s="25">
        <f>IFERROR(VLOOKUP(tbl_clean_sales[[#This Row],[Product_ID]],'03_Product_Master'!$A$1:$D$14,4,FALSE),"Missing")</f>
        <v>350</v>
      </c>
      <c r="Q222" s="25" t="str">
        <f>IF('03_Clean_data'!E222="","Missing",IFERROR(IF(VLOOKUP(E222,'04_Branch_Master'!$A$1:$C$7,1,FALSE)='03_Clean_data'!E222,"Valid","Invalid"),"Invalid"))</f>
        <v>Valid</v>
      </c>
      <c r="R222" s="25" t="str">
        <f>IFERROR(VLOOKUP(tbl_clean_sales[[#This Row],[Branch_ID]],'04_Branch_Master'!$A$1:$C$7,2,FALSE),"Missing")</f>
        <v>Avinashi Road</v>
      </c>
      <c r="S222" s="25" t="str">
        <f>IFERROR(VLOOKUP(tbl_clean_sales[[#This Row],[Branch_ID]],'04_Branch_Master'!$A$1:$C$7,3,FALSE),"Missing")</f>
        <v>North</v>
      </c>
      <c r="T222" s="25" t="str">
        <f>C222&amp;"|"&amp;TEXT(tbl_clean_sales[[#This Row],[Date]],"yyyymm")</f>
        <v>E004|202606</v>
      </c>
      <c r="U222" s="25">
        <f>IFERROR(INDEX('05_Target_Master'!$A$1:$F$32,MATCH(tbl_clean_sales[[#This Row],[target key]],'05_Target_Master'!$F$1:$F$32,0),3),"Missing")</f>
        <v>157100</v>
      </c>
    </row>
    <row r="223" spans="1:21" x14ac:dyDescent="0.3">
      <c r="A223" s="21">
        <v>46157</v>
      </c>
      <c r="B223" s="22" t="s">
        <v>254</v>
      </c>
      <c r="C223" s="22" t="s">
        <v>8</v>
      </c>
      <c r="D223" s="22" t="s">
        <v>34</v>
      </c>
      <c r="E223" s="22" t="s">
        <v>10</v>
      </c>
      <c r="F223" s="22">
        <v>5</v>
      </c>
      <c r="G223" s="23">
        <v>512.11</v>
      </c>
      <c r="H223" s="25" t="str">
        <f>IF(COUNTIF(tbl_clean_sales[Invoice_ID],tbl_clean_sales[[#This Row],[Invoice_ID]])&gt;1,"Duplicate","Unique")</f>
        <v>Unique</v>
      </c>
      <c r="I223" s="25"/>
      <c r="J2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3" s="25" t="str">
        <f>IFERROR(VLOOKUP(tbl_clean_sales[[#This Row],[Employee_ID]],'02_Employee_Master'!$A$1:$C$12,2,FALSE),"Employee Name Missing")</f>
        <v>Vignesh R</v>
      </c>
      <c r="L223" s="25" t="str">
        <f>IFERROR(VLOOKUP(tbl_clean_sales[[#This Row],[Employee_ID]],'02_Employee_Master'!$A$1:$C$12,3,FALSE),"Department Name Missing")</f>
        <v>Sales</v>
      </c>
      <c r="M223" s="25" t="str">
        <f>IF('03_Clean_data'!D223="","Missing",IFERROR(IF(VLOOKUP(D223,'03_Product_Master'!$A$1:$D$14,1,FALSE)='03_Clean_data'!D223,"Valid","Invalid"),"Invalid"))</f>
        <v>Valid</v>
      </c>
      <c r="N223" s="25" t="str">
        <f>IFERROR(VLOOKUP(tbl_clean_sales[[#This Row],[Product_ID]],'03_Product_Master'!$A$1:$D$14,2,FALSE),"Missing")</f>
        <v>Potato Chips</v>
      </c>
      <c r="O223" s="25" t="str">
        <f>IFERROR(VLOOKUP(tbl_clean_sales[[#This Row],[Product_ID]],'03_Product_Master'!$A$1:$D$14,3,FALSE),"Missing")</f>
        <v>Snacks</v>
      </c>
      <c r="P223" s="25">
        <f>IFERROR(VLOOKUP(tbl_clean_sales[[#This Row],[Product_ID]],'03_Product_Master'!$A$1:$D$14,4,FALSE),"Missing")</f>
        <v>110</v>
      </c>
      <c r="Q223" s="25" t="str">
        <f>IF('03_Clean_data'!E223="","Missing",IFERROR(IF(VLOOKUP(E223,'04_Branch_Master'!$A$1:$C$7,1,FALSE)='03_Clean_data'!E223,"Valid","Invalid"),"Invalid"))</f>
        <v>Valid</v>
      </c>
      <c r="R223" s="25" t="str">
        <f>IFERROR(VLOOKUP(tbl_clean_sales[[#This Row],[Branch_ID]],'04_Branch_Master'!$A$1:$C$7,2,FALSE),"Missing")</f>
        <v>Dharapuram</v>
      </c>
      <c r="S223" s="25" t="str">
        <f>IFERROR(VLOOKUP(tbl_clean_sales[[#This Row],[Branch_ID]],'04_Branch_Master'!$A$1:$C$7,3,FALSE),"Missing")</f>
        <v>South</v>
      </c>
      <c r="T223" s="25" t="str">
        <f>C223&amp;"|"&amp;TEXT(tbl_clean_sales[[#This Row],[Date]],"yyyymm")</f>
        <v>E009|202605</v>
      </c>
      <c r="U223" s="25">
        <f>IFERROR(INDEX('05_Target_Master'!$A$1:$F$32,MATCH(tbl_clean_sales[[#This Row],[target key]],'05_Target_Master'!$F$1:$F$32,0),3),"Missing")</f>
        <v>176300</v>
      </c>
    </row>
    <row r="224" spans="1:21" x14ac:dyDescent="0.3">
      <c r="A224" s="21">
        <v>46167</v>
      </c>
      <c r="B224" s="22" t="s">
        <v>255</v>
      </c>
      <c r="C224" s="22" t="s">
        <v>8</v>
      </c>
      <c r="D224" s="22" t="s">
        <v>36</v>
      </c>
      <c r="E224" s="22" t="s">
        <v>10</v>
      </c>
      <c r="F224" s="22">
        <v>11</v>
      </c>
      <c r="G224" s="23">
        <v>1950.37</v>
      </c>
      <c r="H224" s="25" t="str">
        <f>IF(COUNTIF(tbl_clean_sales[Invoice_ID],tbl_clean_sales[[#This Row],[Invoice_ID]])&gt;1,"Duplicate","Unique")</f>
        <v>Unique</v>
      </c>
      <c r="I224" s="25"/>
      <c r="J2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4" s="25" t="str">
        <f>IFERROR(VLOOKUP(tbl_clean_sales[[#This Row],[Employee_ID]],'02_Employee_Master'!$A$1:$C$12,2,FALSE),"Employee Name Missing")</f>
        <v>Vignesh R</v>
      </c>
      <c r="L224" s="25" t="str">
        <f>IFERROR(VLOOKUP(tbl_clean_sales[[#This Row],[Employee_ID]],'02_Employee_Master'!$A$1:$C$12,3,FALSE),"Department Name Missing")</f>
        <v>Sales</v>
      </c>
      <c r="M224" s="25" t="str">
        <f>IF('03_Clean_data'!D224="","Missing",IFERROR(IF(VLOOKUP(D224,'03_Product_Master'!$A$1:$D$14,1,FALSE)='03_Clean_data'!D224,"Valid","Invalid"),"Invalid"))</f>
        <v>Valid</v>
      </c>
      <c r="N224" s="25" t="str">
        <f>IFERROR(VLOOKUP(tbl_clean_sales[[#This Row],[Product_ID]],'03_Product_Master'!$A$1:$D$14,2,FALSE),"Missing")</f>
        <v>Dish Wash</v>
      </c>
      <c r="O224" s="25" t="str">
        <f>IFERROR(VLOOKUP(tbl_clean_sales[[#This Row],[Product_ID]],'03_Product_Master'!$A$1:$D$14,3,FALSE),"Missing")</f>
        <v>Home Care</v>
      </c>
      <c r="P224" s="25">
        <f>IFERROR(VLOOKUP(tbl_clean_sales[[#This Row],[Product_ID]],'03_Product_Master'!$A$1:$D$14,4,FALSE),"Missing")</f>
        <v>190</v>
      </c>
      <c r="Q224" s="25" t="str">
        <f>IF('03_Clean_data'!E224="","Missing",IFERROR(IF(VLOOKUP(E224,'04_Branch_Master'!$A$1:$C$7,1,FALSE)='03_Clean_data'!E224,"Valid","Invalid"),"Invalid"))</f>
        <v>Valid</v>
      </c>
      <c r="R224" s="25" t="str">
        <f>IFERROR(VLOOKUP(tbl_clean_sales[[#This Row],[Branch_ID]],'04_Branch_Master'!$A$1:$C$7,2,FALSE),"Missing")</f>
        <v>Dharapuram</v>
      </c>
      <c r="S224" s="25" t="str">
        <f>IFERROR(VLOOKUP(tbl_clean_sales[[#This Row],[Branch_ID]],'04_Branch_Master'!$A$1:$C$7,3,FALSE),"Missing")</f>
        <v>South</v>
      </c>
      <c r="T224" s="25" t="str">
        <f>C224&amp;"|"&amp;TEXT(tbl_clean_sales[[#This Row],[Date]],"yyyymm")</f>
        <v>E009|202605</v>
      </c>
      <c r="U224" s="25">
        <f>IFERROR(INDEX('05_Target_Master'!$A$1:$F$32,MATCH(tbl_clean_sales[[#This Row],[target key]],'05_Target_Master'!$F$1:$F$32,0),3),"Missing")</f>
        <v>176300</v>
      </c>
    </row>
    <row r="225" spans="1:21" x14ac:dyDescent="0.3">
      <c r="A225" s="21">
        <v>46190</v>
      </c>
      <c r="B225" s="22" t="s">
        <v>256</v>
      </c>
      <c r="C225" s="22" t="s">
        <v>24</v>
      </c>
      <c r="D225" s="22" t="s">
        <v>25</v>
      </c>
      <c r="E225" s="22" t="s">
        <v>26</v>
      </c>
      <c r="F225" s="22">
        <v>12</v>
      </c>
      <c r="G225" s="23">
        <v>4578.8900000000003</v>
      </c>
      <c r="H225" s="25" t="str">
        <f>IF(COUNTIF(tbl_clean_sales[Invoice_ID],tbl_clean_sales[[#This Row],[Invoice_ID]])&gt;1,"Duplicate","Unique")</f>
        <v>Unique</v>
      </c>
      <c r="I225" s="25"/>
      <c r="J2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5" s="25" t="str">
        <f>IFERROR(VLOOKUP(tbl_clean_sales[[#This Row],[Employee_ID]],'02_Employee_Master'!$A$1:$C$12,2,FALSE),"Employee Name Missing")</f>
        <v>Karthik P</v>
      </c>
      <c r="L225" s="25" t="str">
        <f>IFERROR(VLOOKUP(tbl_clean_sales[[#This Row],[Employee_ID]],'02_Employee_Master'!$A$1:$C$12,3,FALSE),"Department Name Missing")</f>
        <v>Sales</v>
      </c>
      <c r="M225" s="25" t="str">
        <f>IF('03_Clean_data'!D225="","Missing",IFERROR(IF(VLOOKUP(D225,'03_Product_Master'!$A$1:$D$14,1,FALSE)='03_Clean_data'!D225,"Valid","Invalid"),"Invalid"))</f>
        <v>Valid</v>
      </c>
      <c r="N225" s="25" t="str">
        <f>IFERROR(VLOOKUP(tbl_clean_sales[[#This Row],[Product_ID]],'03_Product_Master'!$A$1:$D$14,2,FALSE),"Missing")</f>
        <v>Premium Coffee</v>
      </c>
      <c r="O225" s="25" t="str">
        <f>IFERROR(VLOOKUP(tbl_clean_sales[[#This Row],[Product_ID]],'03_Product_Master'!$A$1:$D$14,3,FALSE),"Missing")</f>
        <v>Beverages</v>
      </c>
      <c r="P225" s="25">
        <f>IFERROR(VLOOKUP(tbl_clean_sales[[#This Row],[Product_ID]],'03_Product_Master'!$A$1:$D$14,4,FALSE),"Missing")</f>
        <v>420</v>
      </c>
      <c r="Q225" s="25" t="str">
        <f>IF('03_Clean_data'!E225="","Missing",IFERROR(IF(VLOOKUP(E225,'04_Branch_Master'!$A$1:$C$7,1,FALSE)='03_Clean_data'!E225,"Valid","Invalid"),"Invalid"))</f>
        <v>Valid</v>
      </c>
      <c r="R225" s="25" t="str">
        <f>IFERROR(VLOOKUP(tbl_clean_sales[[#This Row],[Branch_ID]],'04_Branch_Master'!$A$1:$C$7,2,FALSE),"Missing")</f>
        <v>Palladam</v>
      </c>
      <c r="S225" s="25" t="str">
        <f>IFERROR(VLOOKUP(tbl_clean_sales[[#This Row],[Branch_ID]],'04_Branch_Master'!$A$1:$C$7,3,FALSE),"Missing")</f>
        <v>South</v>
      </c>
      <c r="T225" s="25" t="str">
        <f>C225&amp;"|"&amp;TEXT(tbl_clean_sales[[#This Row],[Date]],"yyyymm")</f>
        <v>E005|202606</v>
      </c>
      <c r="U225" s="25">
        <f>IFERROR(INDEX('05_Target_Master'!$A$1:$F$32,MATCH(tbl_clean_sales[[#This Row],[target key]],'05_Target_Master'!$F$1:$F$32,0),3),"Missing")</f>
        <v>127700</v>
      </c>
    </row>
    <row r="226" spans="1:21" x14ac:dyDescent="0.3">
      <c r="A226" s="21">
        <v>46156</v>
      </c>
      <c r="B226" s="22" t="s">
        <v>257</v>
      </c>
      <c r="C226" s="22" t="s">
        <v>40</v>
      </c>
      <c r="D226" s="22" t="s">
        <v>25</v>
      </c>
      <c r="E226" s="22" t="s">
        <v>26</v>
      </c>
      <c r="F226" s="22">
        <v>3</v>
      </c>
      <c r="G226" s="23">
        <v>1174.3699999999999</v>
      </c>
      <c r="H226" s="25" t="str">
        <f>IF(COUNTIF(tbl_clean_sales[Invoice_ID],tbl_clean_sales[[#This Row],[Invoice_ID]])&gt;1,"Duplicate","Unique")</f>
        <v>Unique</v>
      </c>
      <c r="I226" s="25"/>
      <c r="J2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6" s="25" t="str">
        <f>IFERROR(VLOOKUP(tbl_clean_sales[[#This Row],[Employee_ID]],'02_Employee_Master'!$A$1:$C$12,2,FALSE),"Employee Name Missing")</f>
        <v>Meena V</v>
      </c>
      <c r="L226" s="25" t="str">
        <f>IFERROR(VLOOKUP(tbl_clean_sales[[#This Row],[Employee_ID]],'02_Employee_Master'!$A$1:$C$12,3,FALSE),"Department Name Missing")</f>
        <v>Sales</v>
      </c>
      <c r="M226" s="25" t="str">
        <f>IF('03_Clean_data'!D226="","Missing",IFERROR(IF(VLOOKUP(D226,'03_Product_Master'!$A$1:$D$14,1,FALSE)='03_Clean_data'!D226,"Valid","Invalid"),"Invalid"))</f>
        <v>Valid</v>
      </c>
      <c r="N226" s="25" t="str">
        <f>IFERROR(VLOOKUP(tbl_clean_sales[[#This Row],[Product_ID]],'03_Product_Master'!$A$1:$D$14,2,FALSE),"Missing")</f>
        <v>Premium Coffee</v>
      </c>
      <c r="O226" s="25" t="str">
        <f>IFERROR(VLOOKUP(tbl_clean_sales[[#This Row],[Product_ID]],'03_Product_Master'!$A$1:$D$14,3,FALSE),"Missing")</f>
        <v>Beverages</v>
      </c>
      <c r="P226" s="25">
        <f>IFERROR(VLOOKUP(tbl_clean_sales[[#This Row],[Product_ID]],'03_Product_Master'!$A$1:$D$14,4,FALSE),"Missing")</f>
        <v>420</v>
      </c>
      <c r="Q226" s="25" t="str">
        <f>IF('03_Clean_data'!E226="","Missing",IFERROR(IF(VLOOKUP(E226,'04_Branch_Master'!$A$1:$C$7,1,FALSE)='03_Clean_data'!E226,"Valid","Invalid"),"Invalid"))</f>
        <v>Valid</v>
      </c>
      <c r="R226" s="25" t="str">
        <f>IFERROR(VLOOKUP(tbl_clean_sales[[#This Row],[Branch_ID]],'04_Branch_Master'!$A$1:$C$7,2,FALSE),"Missing")</f>
        <v>Palladam</v>
      </c>
      <c r="S226" s="25" t="str">
        <f>IFERROR(VLOOKUP(tbl_clean_sales[[#This Row],[Branch_ID]],'04_Branch_Master'!$A$1:$C$7,3,FALSE),"Missing")</f>
        <v>South</v>
      </c>
      <c r="T226" s="25" t="str">
        <f>C226&amp;"|"&amp;TEXT(tbl_clean_sales[[#This Row],[Date]],"yyyymm")</f>
        <v>E006|202605</v>
      </c>
      <c r="U226" s="25">
        <f>IFERROR(INDEX('05_Target_Master'!$A$1:$F$32,MATCH(tbl_clean_sales[[#This Row],[target key]],'05_Target_Master'!$F$1:$F$32,0),3),"Missing")</f>
        <v>141500</v>
      </c>
    </row>
    <row r="227" spans="1:21" x14ac:dyDescent="0.3">
      <c r="A227" s="21">
        <v>46164</v>
      </c>
      <c r="B227" s="22" t="s">
        <v>258</v>
      </c>
      <c r="C227" s="22" t="s">
        <v>21</v>
      </c>
      <c r="D227" s="22" t="s">
        <v>53</v>
      </c>
      <c r="E227" s="22" t="s">
        <v>22</v>
      </c>
      <c r="F227" s="22">
        <v>1</v>
      </c>
      <c r="G227" s="23">
        <v>346.15</v>
      </c>
      <c r="H227" s="25" t="str">
        <f>IF(COUNTIF(tbl_clean_sales[Invoice_ID],tbl_clean_sales[[#This Row],[Invoice_ID]])&gt;1,"Duplicate","Unique")</f>
        <v>Unique</v>
      </c>
      <c r="I227" s="25"/>
      <c r="J2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7" s="25" t="str">
        <f>IFERROR(VLOOKUP(tbl_clean_sales[[#This Row],[Employee_ID]],'02_Employee_Master'!$A$1:$C$12,2,FALSE),"Employee Name Missing")</f>
        <v>Priya S</v>
      </c>
      <c r="L227" s="25" t="str">
        <f>IFERROR(VLOOKUP(tbl_clean_sales[[#This Row],[Employee_ID]],'02_Employee_Master'!$A$1:$C$12,3,FALSE),"Department Name Missing")</f>
        <v>Sales</v>
      </c>
      <c r="M227" s="25" t="str">
        <f>IF('03_Clean_data'!D227="","Missing",IFERROR(IF(VLOOKUP(D227,'03_Product_Master'!$A$1:$D$14,1,FALSE)='03_Clean_data'!D227,"Valid","Invalid"),"Invalid"))</f>
        <v>Valid</v>
      </c>
      <c r="N227" s="25" t="str">
        <f>IFERROR(VLOOKUP(tbl_clean_sales[[#This Row],[Product_ID]],'03_Product_Master'!$A$1:$D$14,2,FALSE),"Missing")</f>
        <v>Instant Coffee</v>
      </c>
      <c r="O227" s="25" t="str">
        <f>IFERROR(VLOOKUP(tbl_clean_sales[[#This Row],[Product_ID]],'03_Product_Master'!$A$1:$D$14,3,FALSE),"Missing")</f>
        <v>Beverages</v>
      </c>
      <c r="P227" s="25">
        <f>IFERROR(VLOOKUP(tbl_clean_sales[[#This Row],[Product_ID]],'03_Product_Master'!$A$1:$D$14,4,FALSE),"Missing")</f>
        <v>350</v>
      </c>
      <c r="Q227" s="25" t="str">
        <f>IF('03_Clean_data'!E227="","Missing",IFERROR(IF(VLOOKUP(E227,'04_Branch_Master'!$A$1:$C$7,1,FALSE)='03_Clean_data'!E227,"Valid","Invalid"),"Invalid"))</f>
        <v>Valid</v>
      </c>
      <c r="R227" s="25" t="str">
        <f>IFERROR(VLOOKUP(tbl_clean_sales[[#This Row],[Branch_ID]],'04_Branch_Master'!$A$1:$C$7,2,FALSE),"Missing")</f>
        <v>Tirupur Central</v>
      </c>
      <c r="S227" s="25" t="str">
        <f>IFERROR(VLOOKUP(tbl_clean_sales[[#This Row],[Branch_ID]],'04_Branch_Master'!$A$1:$C$7,3,FALSE),"Missing")</f>
        <v>North</v>
      </c>
      <c r="T227" s="25" t="str">
        <f>C227&amp;"|"&amp;TEXT(tbl_clean_sales[[#This Row],[Date]],"yyyymm")</f>
        <v>E002|202605</v>
      </c>
      <c r="U227" s="25">
        <f>IFERROR(INDEX('05_Target_Master'!$A$1:$F$32,MATCH(tbl_clean_sales[[#This Row],[target key]],'05_Target_Master'!$F$1:$F$32,0),3),"Missing")</f>
        <v>132100</v>
      </c>
    </row>
    <row r="228" spans="1:21" x14ac:dyDescent="0.3">
      <c r="A228" s="21">
        <v>46180</v>
      </c>
      <c r="B228" s="22" t="s">
        <v>259</v>
      </c>
      <c r="C228" s="22" t="s">
        <v>12</v>
      </c>
      <c r="D228" s="22" t="s">
        <v>16</v>
      </c>
      <c r="E228" s="22" t="s">
        <v>14</v>
      </c>
      <c r="F228" s="22">
        <v>6</v>
      </c>
      <c r="G228" s="23">
        <v>1824.87</v>
      </c>
      <c r="H228" s="25" t="str">
        <f>IF(COUNTIF(tbl_clean_sales[Invoice_ID],tbl_clean_sales[[#This Row],[Invoice_ID]])&gt;1,"Duplicate","Unique")</f>
        <v>Unique</v>
      </c>
      <c r="I228" s="25"/>
      <c r="J2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8" s="25" t="str">
        <f>IFERROR(VLOOKUP(tbl_clean_sales[[#This Row],[Employee_ID]],'02_Employee_Master'!$A$1:$C$12,2,FALSE),"Employee Name Missing")</f>
        <v>Divya R</v>
      </c>
      <c r="L228" s="25" t="str">
        <f>IFERROR(VLOOKUP(tbl_clean_sales[[#This Row],[Employee_ID]],'02_Employee_Master'!$A$1:$C$12,3,FALSE),"Department Name Missing")</f>
        <v>Sales</v>
      </c>
      <c r="M228" s="25" t="str">
        <f>IF('03_Clean_data'!D228="","Missing",IFERROR(IF(VLOOKUP(D228,'03_Product_Master'!$A$1:$D$14,1,FALSE)='03_Clean_data'!D228,"Valid","Invalid"),"Invalid"))</f>
        <v>Valid</v>
      </c>
      <c r="N228" s="25" t="str">
        <f>IFERROR(VLOOKUP(tbl_clean_sales[[#This Row],[Product_ID]],'03_Product_Master'!$A$1:$D$14,2,FALSE),"Missing")</f>
        <v>Shampoo</v>
      </c>
      <c r="O228" s="25" t="str">
        <f>IFERROR(VLOOKUP(tbl_clean_sales[[#This Row],[Product_ID]],'03_Product_Master'!$A$1:$D$14,3,FALSE),"Missing")</f>
        <v>Personal Care</v>
      </c>
      <c r="P228" s="25">
        <f>IFERROR(VLOOKUP(tbl_clean_sales[[#This Row],[Product_ID]],'03_Product_Master'!$A$1:$D$14,4,FALSE),"Missing")</f>
        <v>310</v>
      </c>
      <c r="Q228" s="25" t="str">
        <f>IF('03_Clean_data'!E228="","Missing",IFERROR(IF(VLOOKUP(E228,'04_Branch_Master'!$A$1:$C$7,1,FALSE)='03_Clean_data'!E228,"Valid","Invalid"),"Invalid"))</f>
        <v>Valid</v>
      </c>
      <c r="R228" s="25" t="str">
        <f>IFERROR(VLOOKUP(tbl_clean_sales[[#This Row],[Branch_ID]],'04_Branch_Master'!$A$1:$C$7,2,FALSE),"Missing")</f>
        <v>Avinashi Road</v>
      </c>
      <c r="S228" s="25" t="str">
        <f>IFERROR(VLOOKUP(tbl_clean_sales[[#This Row],[Branch_ID]],'04_Branch_Master'!$A$1:$C$7,3,FALSE),"Missing")</f>
        <v>North</v>
      </c>
      <c r="T228" s="25" t="str">
        <f>C228&amp;"|"&amp;TEXT(tbl_clean_sales[[#This Row],[Date]],"yyyymm")</f>
        <v>E004|202606</v>
      </c>
      <c r="U228" s="25">
        <f>IFERROR(INDEX('05_Target_Master'!$A$1:$F$32,MATCH(tbl_clean_sales[[#This Row],[target key]],'05_Target_Master'!$F$1:$F$32,0),3),"Missing")</f>
        <v>157100</v>
      </c>
    </row>
    <row r="229" spans="1:21" x14ac:dyDescent="0.3">
      <c r="A229" s="21">
        <v>46152</v>
      </c>
      <c r="B229" s="22" t="s">
        <v>260</v>
      </c>
      <c r="C229" s="22" t="s">
        <v>40</v>
      </c>
      <c r="D229" s="22" t="s">
        <v>36</v>
      </c>
      <c r="E229" s="22" t="s">
        <v>26</v>
      </c>
      <c r="F229" s="22">
        <v>1</v>
      </c>
      <c r="G229" s="23">
        <v>186.45</v>
      </c>
      <c r="H229" s="25" t="str">
        <f>IF(COUNTIF(tbl_clean_sales[Invoice_ID],tbl_clean_sales[[#This Row],[Invoice_ID]])&gt;1,"Duplicate","Unique")</f>
        <v>Unique</v>
      </c>
      <c r="I229" s="25"/>
      <c r="J2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29" s="25" t="str">
        <f>IFERROR(VLOOKUP(tbl_clean_sales[[#This Row],[Employee_ID]],'02_Employee_Master'!$A$1:$C$12,2,FALSE),"Employee Name Missing")</f>
        <v>Meena V</v>
      </c>
      <c r="L229" s="25" t="str">
        <f>IFERROR(VLOOKUP(tbl_clean_sales[[#This Row],[Employee_ID]],'02_Employee_Master'!$A$1:$C$12,3,FALSE),"Department Name Missing")</f>
        <v>Sales</v>
      </c>
      <c r="M229" s="25" t="str">
        <f>IF('03_Clean_data'!D229="","Missing",IFERROR(IF(VLOOKUP(D229,'03_Product_Master'!$A$1:$D$14,1,FALSE)='03_Clean_data'!D229,"Valid","Invalid"),"Invalid"))</f>
        <v>Valid</v>
      </c>
      <c r="N229" s="25" t="str">
        <f>IFERROR(VLOOKUP(tbl_clean_sales[[#This Row],[Product_ID]],'03_Product_Master'!$A$1:$D$14,2,FALSE),"Missing")</f>
        <v>Dish Wash</v>
      </c>
      <c r="O229" s="25" t="str">
        <f>IFERROR(VLOOKUP(tbl_clean_sales[[#This Row],[Product_ID]],'03_Product_Master'!$A$1:$D$14,3,FALSE),"Missing")</f>
        <v>Home Care</v>
      </c>
      <c r="P229" s="25">
        <f>IFERROR(VLOOKUP(tbl_clean_sales[[#This Row],[Product_ID]],'03_Product_Master'!$A$1:$D$14,4,FALSE),"Missing")</f>
        <v>190</v>
      </c>
      <c r="Q229" s="25" t="str">
        <f>IF('03_Clean_data'!E229="","Missing",IFERROR(IF(VLOOKUP(E229,'04_Branch_Master'!$A$1:$C$7,1,FALSE)='03_Clean_data'!E229,"Valid","Invalid"),"Invalid"))</f>
        <v>Valid</v>
      </c>
      <c r="R229" s="25" t="str">
        <f>IFERROR(VLOOKUP(tbl_clean_sales[[#This Row],[Branch_ID]],'04_Branch_Master'!$A$1:$C$7,2,FALSE),"Missing")</f>
        <v>Palladam</v>
      </c>
      <c r="S229" s="25" t="str">
        <f>IFERROR(VLOOKUP(tbl_clean_sales[[#This Row],[Branch_ID]],'04_Branch_Master'!$A$1:$C$7,3,FALSE),"Missing")</f>
        <v>South</v>
      </c>
      <c r="T229" s="25" t="str">
        <f>C229&amp;"|"&amp;TEXT(tbl_clean_sales[[#This Row],[Date]],"yyyymm")</f>
        <v>E006|202605</v>
      </c>
      <c r="U229" s="25">
        <f>IFERROR(INDEX('05_Target_Master'!$A$1:$F$32,MATCH(tbl_clean_sales[[#This Row],[target key]],'05_Target_Master'!$F$1:$F$32,0),3),"Missing")</f>
        <v>141500</v>
      </c>
    </row>
    <row r="230" spans="1:21" x14ac:dyDescent="0.3">
      <c r="A230" s="21">
        <v>46192</v>
      </c>
      <c r="B230" s="22" t="s">
        <v>261</v>
      </c>
      <c r="C230" s="22" t="s">
        <v>74</v>
      </c>
      <c r="D230" s="22" t="s">
        <v>43</v>
      </c>
      <c r="E230" s="22" t="s">
        <v>22</v>
      </c>
      <c r="F230" s="22">
        <v>8</v>
      </c>
      <c r="G230" s="23">
        <v>2503.94</v>
      </c>
      <c r="H230" s="25" t="str">
        <f>IF(COUNTIF(tbl_clean_sales[Invoice_ID],tbl_clean_sales[[#This Row],[Invoice_ID]])&gt;1,"Duplicate","Unique")</f>
        <v>Unique</v>
      </c>
      <c r="I230" s="25"/>
      <c r="J2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0" s="25" t="str">
        <f>IFERROR(VLOOKUP(tbl_clean_sales[[#This Row],[Employee_ID]],'02_Employee_Master'!$A$1:$C$12,2,FALSE),"Employee Name Missing")</f>
        <v>Arun Kumar</v>
      </c>
      <c r="L230" s="25" t="str">
        <f>IFERROR(VLOOKUP(tbl_clean_sales[[#This Row],[Employee_ID]],'02_Employee_Master'!$A$1:$C$12,3,FALSE),"Department Name Missing")</f>
        <v>Sales</v>
      </c>
      <c r="M230" s="25" t="str">
        <f>IF('03_Clean_data'!D230="","Missing",IFERROR(IF(VLOOKUP(D230,'03_Product_Master'!$A$1:$D$14,1,FALSE)='03_Clean_data'!D230,"Valid","Invalid"),"Invalid"))</f>
        <v>Valid</v>
      </c>
      <c r="N230" s="25" t="str">
        <f>IFERROR(VLOOKUP(tbl_clean_sales[[#This Row],[Product_ID]],'03_Product_Master'!$A$1:$D$14,2,FALSE),"Missing")</f>
        <v>Laundry Liquid</v>
      </c>
      <c r="O230" s="25" t="str">
        <f>IFERROR(VLOOKUP(tbl_clean_sales[[#This Row],[Product_ID]],'03_Product_Master'!$A$1:$D$14,3,FALSE),"Missing")</f>
        <v>Home Care</v>
      </c>
      <c r="P230" s="25">
        <f>IFERROR(VLOOKUP(tbl_clean_sales[[#This Row],[Product_ID]],'03_Product_Master'!$A$1:$D$14,4,FALSE),"Missing")</f>
        <v>340</v>
      </c>
      <c r="Q230" s="25" t="str">
        <f>IF('03_Clean_data'!E230="","Missing",IFERROR(IF(VLOOKUP(E230,'04_Branch_Master'!$A$1:$C$7,1,FALSE)='03_Clean_data'!E230,"Valid","Invalid"),"Invalid"))</f>
        <v>Valid</v>
      </c>
      <c r="R230" s="25" t="str">
        <f>IFERROR(VLOOKUP(tbl_clean_sales[[#This Row],[Branch_ID]],'04_Branch_Master'!$A$1:$C$7,2,FALSE),"Missing")</f>
        <v>Tirupur Central</v>
      </c>
      <c r="S230" s="25" t="str">
        <f>IFERROR(VLOOKUP(tbl_clean_sales[[#This Row],[Branch_ID]],'04_Branch_Master'!$A$1:$C$7,3,FALSE),"Missing")</f>
        <v>North</v>
      </c>
      <c r="T230" s="25" t="str">
        <f>C230&amp;"|"&amp;TEXT(tbl_clean_sales[[#This Row],[Date]],"yyyymm")</f>
        <v>E001|202606</v>
      </c>
      <c r="U230" s="25">
        <f>IFERROR(INDEX('05_Target_Master'!$A$1:$F$32,MATCH(tbl_clean_sales[[#This Row],[target key]],'05_Target_Master'!$F$1:$F$32,0),3),"Missing")</f>
        <v>150600</v>
      </c>
    </row>
    <row r="231" spans="1:21" x14ac:dyDescent="0.3">
      <c r="A231" s="21">
        <v>46175</v>
      </c>
      <c r="B231" s="22" t="s">
        <v>262</v>
      </c>
      <c r="C231" s="22" t="s">
        <v>29</v>
      </c>
      <c r="D231" s="22" t="s">
        <v>48</v>
      </c>
      <c r="E231" s="22" t="s">
        <v>10</v>
      </c>
      <c r="F231" s="22">
        <v>4</v>
      </c>
      <c r="G231" s="23">
        <v>945.78</v>
      </c>
      <c r="H231" s="25" t="str">
        <f>IF(COUNTIF(tbl_clean_sales[Invoice_ID],tbl_clean_sales[[#This Row],[Invoice_ID]])&gt;1,"Duplicate","Unique")</f>
        <v>Unique</v>
      </c>
      <c r="I231" s="25"/>
      <c r="J2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1" s="25" t="str">
        <f>IFERROR(VLOOKUP(tbl_clean_sales[[#This Row],[Employee_ID]],'02_Employee_Master'!$A$1:$C$12,2,FALSE),"Employee Name Missing")</f>
        <v>Swetha L</v>
      </c>
      <c r="L231" s="25" t="str">
        <f>IFERROR(VLOOKUP(tbl_clean_sales[[#This Row],[Employee_ID]],'02_Employee_Master'!$A$1:$C$12,3,FALSE),"Department Name Missing")</f>
        <v>Sales</v>
      </c>
      <c r="M231" s="25" t="str">
        <f>IF('03_Clean_data'!D231="","Missing",IFERROR(IF(VLOOKUP(D231,'03_Product_Master'!$A$1:$D$14,1,FALSE)='03_Clean_data'!D231,"Valid","Invalid"),"Invalid"))</f>
        <v>Valid</v>
      </c>
      <c r="N231" s="25" t="str">
        <f>IFERROR(VLOOKUP(tbl_clean_sales[[#This Row],[Product_ID]],'03_Product_Master'!$A$1:$D$14,2,FALSE),"Missing")</f>
        <v>Face Wash</v>
      </c>
      <c r="O231" s="25" t="str">
        <f>IFERROR(VLOOKUP(tbl_clean_sales[[#This Row],[Product_ID]],'03_Product_Master'!$A$1:$D$14,3,FALSE),"Missing")</f>
        <v>Personal Care</v>
      </c>
      <c r="P231" s="25">
        <f>IFERROR(VLOOKUP(tbl_clean_sales[[#This Row],[Product_ID]],'03_Product_Master'!$A$1:$D$14,4,FALSE),"Missing")</f>
        <v>260</v>
      </c>
      <c r="Q231" s="25" t="str">
        <f>IF('03_Clean_data'!E231="","Missing",IFERROR(IF(VLOOKUP(E231,'04_Branch_Master'!$A$1:$C$7,1,FALSE)='03_Clean_data'!E231,"Valid","Invalid"),"Invalid"))</f>
        <v>Valid</v>
      </c>
      <c r="R231" s="25" t="str">
        <f>IFERROR(VLOOKUP(tbl_clean_sales[[#This Row],[Branch_ID]],'04_Branch_Master'!$A$1:$C$7,2,FALSE),"Missing")</f>
        <v>Dharapuram</v>
      </c>
      <c r="S231" s="25" t="str">
        <f>IFERROR(VLOOKUP(tbl_clean_sales[[#This Row],[Branch_ID]],'04_Branch_Master'!$A$1:$C$7,3,FALSE),"Missing")</f>
        <v>South</v>
      </c>
      <c r="T231" s="25" t="str">
        <f>C231&amp;"|"&amp;TEXT(tbl_clean_sales[[#This Row],[Date]],"yyyymm")</f>
        <v>E010|202606</v>
      </c>
      <c r="U231" s="25">
        <f>IFERROR(INDEX('05_Target_Master'!$A$1:$F$32,MATCH(tbl_clean_sales[[#This Row],[target key]],'05_Target_Master'!$F$1:$F$32,0),3),"Missing")</f>
        <v>116800</v>
      </c>
    </row>
    <row r="232" spans="1:21" x14ac:dyDescent="0.3">
      <c r="A232" s="21">
        <v>46127</v>
      </c>
      <c r="B232" s="22" t="s">
        <v>263</v>
      </c>
      <c r="C232" s="22" t="s">
        <v>40</v>
      </c>
      <c r="D232" s="22" t="s">
        <v>16</v>
      </c>
      <c r="E232" s="22" t="s">
        <v>26</v>
      </c>
      <c r="F232" s="22">
        <v>11</v>
      </c>
      <c r="G232" s="23">
        <v>3132.36</v>
      </c>
      <c r="H232" s="25" t="str">
        <f>IF(COUNTIF(tbl_clean_sales[Invoice_ID],tbl_clean_sales[[#This Row],[Invoice_ID]])&gt;1,"Duplicate","Unique")</f>
        <v>Unique</v>
      </c>
      <c r="I232" s="25"/>
      <c r="J2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2" s="25" t="str">
        <f>IFERROR(VLOOKUP(tbl_clean_sales[[#This Row],[Employee_ID]],'02_Employee_Master'!$A$1:$C$12,2,FALSE),"Employee Name Missing")</f>
        <v>Meena V</v>
      </c>
      <c r="L232" s="25" t="str">
        <f>IFERROR(VLOOKUP(tbl_clean_sales[[#This Row],[Employee_ID]],'02_Employee_Master'!$A$1:$C$12,3,FALSE),"Department Name Missing")</f>
        <v>Sales</v>
      </c>
      <c r="M232" s="25" t="str">
        <f>IF('03_Clean_data'!D232="","Missing",IFERROR(IF(VLOOKUP(D232,'03_Product_Master'!$A$1:$D$14,1,FALSE)='03_Clean_data'!D232,"Valid","Invalid"),"Invalid"))</f>
        <v>Valid</v>
      </c>
      <c r="N232" s="25" t="str">
        <f>IFERROR(VLOOKUP(tbl_clean_sales[[#This Row],[Product_ID]],'03_Product_Master'!$A$1:$D$14,2,FALSE),"Missing")</f>
        <v>Shampoo</v>
      </c>
      <c r="O232" s="25" t="str">
        <f>IFERROR(VLOOKUP(tbl_clean_sales[[#This Row],[Product_ID]],'03_Product_Master'!$A$1:$D$14,3,FALSE),"Missing")</f>
        <v>Personal Care</v>
      </c>
      <c r="P232" s="25">
        <f>IFERROR(VLOOKUP(tbl_clean_sales[[#This Row],[Product_ID]],'03_Product_Master'!$A$1:$D$14,4,FALSE),"Missing")</f>
        <v>310</v>
      </c>
      <c r="Q232" s="25" t="str">
        <f>IF('03_Clean_data'!E232="","Missing",IFERROR(IF(VLOOKUP(E232,'04_Branch_Master'!$A$1:$C$7,1,FALSE)='03_Clean_data'!E232,"Valid","Invalid"),"Invalid"))</f>
        <v>Valid</v>
      </c>
      <c r="R232" s="25" t="str">
        <f>IFERROR(VLOOKUP(tbl_clean_sales[[#This Row],[Branch_ID]],'04_Branch_Master'!$A$1:$C$7,2,FALSE),"Missing")</f>
        <v>Palladam</v>
      </c>
      <c r="S232" s="25" t="str">
        <f>IFERROR(VLOOKUP(tbl_clean_sales[[#This Row],[Branch_ID]],'04_Branch_Master'!$A$1:$C$7,3,FALSE),"Missing")</f>
        <v>South</v>
      </c>
      <c r="T232" s="25" t="str">
        <f>C232&amp;"|"&amp;TEXT(tbl_clean_sales[[#This Row],[Date]],"yyyymm")</f>
        <v>E006|202604</v>
      </c>
      <c r="U232" s="25">
        <f>IFERROR(INDEX('05_Target_Master'!$A$1:$F$32,MATCH(tbl_clean_sales[[#This Row],[target key]],'05_Target_Master'!$F$1:$F$32,0),3),"Missing")</f>
        <v>131000</v>
      </c>
    </row>
    <row r="233" spans="1:21" x14ac:dyDescent="0.3">
      <c r="A233" s="21">
        <v>46175</v>
      </c>
      <c r="B233" s="22" t="s">
        <v>264</v>
      </c>
      <c r="C233" s="22" t="s">
        <v>8</v>
      </c>
      <c r="D233" s="22" t="s">
        <v>43</v>
      </c>
      <c r="E233" s="22" t="s">
        <v>10</v>
      </c>
      <c r="F233" s="22">
        <v>4</v>
      </c>
      <c r="G233" s="23">
        <v>1295.49</v>
      </c>
      <c r="H233" s="25" t="str">
        <f>IF(COUNTIF(tbl_clean_sales[Invoice_ID],tbl_clean_sales[[#This Row],[Invoice_ID]])&gt;1,"Duplicate","Unique")</f>
        <v>Unique</v>
      </c>
      <c r="I233" s="25"/>
      <c r="J2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3" s="25" t="str">
        <f>IFERROR(VLOOKUP(tbl_clean_sales[[#This Row],[Employee_ID]],'02_Employee_Master'!$A$1:$C$12,2,FALSE),"Employee Name Missing")</f>
        <v>Vignesh R</v>
      </c>
      <c r="L233" s="25" t="str">
        <f>IFERROR(VLOOKUP(tbl_clean_sales[[#This Row],[Employee_ID]],'02_Employee_Master'!$A$1:$C$12,3,FALSE),"Department Name Missing")</f>
        <v>Sales</v>
      </c>
      <c r="M233" s="25" t="str">
        <f>IF('03_Clean_data'!D233="","Missing",IFERROR(IF(VLOOKUP(D233,'03_Product_Master'!$A$1:$D$14,1,FALSE)='03_Clean_data'!D233,"Valid","Invalid"),"Invalid"))</f>
        <v>Valid</v>
      </c>
      <c r="N233" s="25" t="str">
        <f>IFERROR(VLOOKUP(tbl_clean_sales[[#This Row],[Product_ID]],'03_Product_Master'!$A$1:$D$14,2,FALSE),"Missing")</f>
        <v>Laundry Liquid</v>
      </c>
      <c r="O233" s="25" t="str">
        <f>IFERROR(VLOOKUP(tbl_clean_sales[[#This Row],[Product_ID]],'03_Product_Master'!$A$1:$D$14,3,FALSE),"Missing")</f>
        <v>Home Care</v>
      </c>
      <c r="P233" s="25">
        <f>IFERROR(VLOOKUP(tbl_clean_sales[[#This Row],[Product_ID]],'03_Product_Master'!$A$1:$D$14,4,FALSE),"Missing")</f>
        <v>340</v>
      </c>
      <c r="Q233" s="25" t="str">
        <f>IF('03_Clean_data'!E233="","Missing",IFERROR(IF(VLOOKUP(E233,'04_Branch_Master'!$A$1:$C$7,1,FALSE)='03_Clean_data'!E233,"Valid","Invalid"),"Invalid"))</f>
        <v>Valid</v>
      </c>
      <c r="R233" s="25" t="str">
        <f>IFERROR(VLOOKUP(tbl_clean_sales[[#This Row],[Branch_ID]],'04_Branch_Master'!$A$1:$C$7,2,FALSE),"Missing")</f>
        <v>Dharapuram</v>
      </c>
      <c r="S233" s="25" t="str">
        <f>IFERROR(VLOOKUP(tbl_clean_sales[[#This Row],[Branch_ID]],'04_Branch_Master'!$A$1:$C$7,3,FALSE),"Missing")</f>
        <v>South</v>
      </c>
      <c r="T233" s="25" t="str">
        <f>C233&amp;"|"&amp;TEXT(tbl_clean_sales[[#This Row],[Date]],"yyyymm")</f>
        <v>E009|202606</v>
      </c>
      <c r="U233" s="25">
        <f>IFERROR(INDEX('05_Target_Master'!$A$1:$F$32,MATCH(tbl_clean_sales[[#This Row],[target key]],'05_Target_Master'!$F$1:$F$32,0),3),"Missing")</f>
        <v>156700</v>
      </c>
    </row>
    <row r="234" spans="1:21" x14ac:dyDescent="0.3">
      <c r="A234" s="21">
        <v>46189</v>
      </c>
      <c r="B234" s="22" t="s">
        <v>265</v>
      </c>
      <c r="C234" s="22" t="s">
        <v>74</v>
      </c>
      <c r="D234" s="22" t="s">
        <v>25</v>
      </c>
      <c r="E234" s="22" t="s">
        <v>22</v>
      </c>
      <c r="F234" s="22">
        <v>4</v>
      </c>
      <c r="G234" s="23">
        <v>1525.3</v>
      </c>
      <c r="H234" s="25" t="str">
        <f>IF(COUNTIF(tbl_clean_sales[Invoice_ID],tbl_clean_sales[[#This Row],[Invoice_ID]])&gt;1,"Duplicate","Unique")</f>
        <v>Unique</v>
      </c>
      <c r="I234" s="25"/>
      <c r="J2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4" s="25" t="str">
        <f>IFERROR(VLOOKUP(tbl_clean_sales[[#This Row],[Employee_ID]],'02_Employee_Master'!$A$1:$C$12,2,FALSE),"Employee Name Missing")</f>
        <v>Arun Kumar</v>
      </c>
      <c r="L234" s="25" t="str">
        <f>IFERROR(VLOOKUP(tbl_clean_sales[[#This Row],[Employee_ID]],'02_Employee_Master'!$A$1:$C$12,3,FALSE),"Department Name Missing")</f>
        <v>Sales</v>
      </c>
      <c r="M234" s="25" t="str">
        <f>IF('03_Clean_data'!D234="","Missing",IFERROR(IF(VLOOKUP(D234,'03_Product_Master'!$A$1:$D$14,1,FALSE)='03_Clean_data'!D234,"Valid","Invalid"),"Invalid"))</f>
        <v>Valid</v>
      </c>
      <c r="N234" s="25" t="str">
        <f>IFERROR(VLOOKUP(tbl_clean_sales[[#This Row],[Product_ID]],'03_Product_Master'!$A$1:$D$14,2,FALSE),"Missing")</f>
        <v>Premium Coffee</v>
      </c>
      <c r="O234" s="25" t="str">
        <f>IFERROR(VLOOKUP(tbl_clean_sales[[#This Row],[Product_ID]],'03_Product_Master'!$A$1:$D$14,3,FALSE),"Missing")</f>
        <v>Beverages</v>
      </c>
      <c r="P234" s="25">
        <f>IFERROR(VLOOKUP(tbl_clean_sales[[#This Row],[Product_ID]],'03_Product_Master'!$A$1:$D$14,4,FALSE),"Missing")</f>
        <v>420</v>
      </c>
      <c r="Q234" s="25" t="str">
        <f>IF('03_Clean_data'!E234="","Missing",IFERROR(IF(VLOOKUP(E234,'04_Branch_Master'!$A$1:$C$7,1,FALSE)='03_Clean_data'!E234,"Valid","Invalid"),"Invalid"))</f>
        <v>Valid</v>
      </c>
      <c r="R234" s="25" t="str">
        <f>IFERROR(VLOOKUP(tbl_clean_sales[[#This Row],[Branch_ID]],'04_Branch_Master'!$A$1:$C$7,2,FALSE),"Missing")</f>
        <v>Tirupur Central</v>
      </c>
      <c r="S234" s="25" t="str">
        <f>IFERROR(VLOOKUP(tbl_clean_sales[[#This Row],[Branch_ID]],'04_Branch_Master'!$A$1:$C$7,3,FALSE),"Missing")</f>
        <v>North</v>
      </c>
      <c r="T234" s="25" t="str">
        <f>C234&amp;"|"&amp;TEXT(tbl_clean_sales[[#This Row],[Date]],"yyyymm")</f>
        <v>E001|202606</v>
      </c>
      <c r="U234" s="25">
        <f>IFERROR(INDEX('05_Target_Master'!$A$1:$F$32,MATCH(tbl_clean_sales[[#This Row],[target key]],'05_Target_Master'!$F$1:$F$32,0),3),"Missing")</f>
        <v>150600</v>
      </c>
    </row>
    <row r="235" spans="1:21" x14ac:dyDescent="0.3">
      <c r="A235" s="21">
        <v>46145</v>
      </c>
      <c r="B235" s="22" t="s">
        <v>266</v>
      </c>
      <c r="C235" s="22" t="s">
        <v>24</v>
      </c>
      <c r="D235" s="22" t="s">
        <v>34</v>
      </c>
      <c r="E235" s="22" t="s">
        <v>26</v>
      </c>
      <c r="F235" s="22">
        <v>8</v>
      </c>
      <c r="G235" s="23">
        <v>801.12</v>
      </c>
      <c r="H235" s="25" t="str">
        <f>IF(COUNTIF(tbl_clean_sales[Invoice_ID],tbl_clean_sales[[#This Row],[Invoice_ID]])&gt;1,"Duplicate","Unique")</f>
        <v>Unique</v>
      </c>
      <c r="I235" s="25"/>
      <c r="J2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5" s="25" t="str">
        <f>IFERROR(VLOOKUP(tbl_clean_sales[[#This Row],[Employee_ID]],'02_Employee_Master'!$A$1:$C$12,2,FALSE),"Employee Name Missing")</f>
        <v>Karthik P</v>
      </c>
      <c r="L235" s="25" t="str">
        <f>IFERROR(VLOOKUP(tbl_clean_sales[[#This Row],[Employee_ID]],'02_Employee_Master'!$A$1:$C$12,3,FALSE),"Department Name Missing")</f>
        <v>Sales</v>
      </c>
      <c r="M235" s="25" t="str">
        <f>IF('03_Clean_data'!D235="","Missing",IFERROR(IF(VLOOKUP(D235,'03_Product_Master'!$A$1:$D$14,1,FALSE)='03_Clean_data'!D235,"Valid","Invalid"),"Invalid"))</f>
        <v>Valid</v>
      </c>
      <c r="N235" s="25" t="str">
        <f>IFERROR(VLOOKUP(tbl_clean_sales[[#This Row],[Product_ID]],'03_Product_Master'!$A$1:$D$14,2,FALSE),"Missing")</f>
        <v>Potato Chips</v>
      </c>
      <c r="O235" s="25" t="str">
        <f>IFERROR(VLOOKUP(tbl_clean_sales[[#This Row],[Product_ID]],'03_Product_Master'!$A$1:$D$14,3,FALSE),"Missing")</f>
        <v>Snacks</v>
      </c>
      <c r="P235" s="25">
        <f>IFERROR(VLOOKUP(tbl_clean_sales[[#This Row],[Product_ID]],'03_Product_Master'!$A$1:$D$14,4,FALSE),"Missing")</f>
        <v>110</v>
      </c>
      <c r="Q235" s="25" t="str">
        <f>IF('03_Clean_data'!E235="","Missing",IFERROR(IF(VLOOKUP(E235,'04_Branch_Master'!$A$1:$C$7,1,FALSE)='03_Clean_data'!E235,"Valid","Invalid"),"Invalid"))</f>
        <v>Valid</v>
      </c>
      <c r="R235" s="25" t="str">
        <f>IFERROR(VLOOKUP(tbl_clean_sales[[#This Row],[Branch_ID]],'04_Branch_Master'!$A$1:$C$7,2,FALSE),"Missing")</f>
        <v>Palladam</v>
      </c>
      <c r="S235" s="25" t="str">
        <f>IFERROR(VLOOKUP(tbl_clean_sales[[#This Row],[Branch_ID]],'04_Branch_Master'!$A$1:$C$7,3,FALSE),"Missing")</f>
        <v>South</v>
      </c>
      <c r="T235" s="25" t="str">
        <f>C235&amp;"|"&amp;TEXT(tbl_clean_sales[[#This Row],[Date]],"yyyymm")</f>
        <v>E005|202605</v>
      </c>
      <c r="U235" s="25">
        <f>IFERROR(INDEX('05_Target_Master'!$A$1:$F$32,MATCH(tbl_clean_sales[[#This Row],[target key]],'05_Target_Master'!$F$1:$F$32,0),3),"Missing")</f>
        <v>143700</v>
      </c>
    </row>
    <row r="236" spans="1:21" x14ac:dyDescent="0.3">
      <c r="A236" s="21">
        <v>46135</v>
      </c>
      <c r="B236" s="22" t="s">
        <v>267</v>
      </c>
      <c r="C236" s="22" t="s">
        <v>18</v>
      </c>
      <c r="D236" s="22" t="s">
        <v>16</v>
      </c>
      <c r="E236" s="22" t="s">
        <v>14</v>
      </c>
      <c r="F236" s="22">
        <v>4</v>
      </c>
      <c r="G236" s="23">
        <v>1165.56</v>
      </c>
      <c r="H236" s="25" t="str">
        <f>IF(COUNTIF(tbl_clean_sales[Invoice_ID],tbl_clean_sales[[#This Row],[Invoice_ID]])&gt;1,"Duplicate","Unique")</f>
        <v>Unique</v>
      </c>
      <c r="I236" s="25"/>
      <c r="J2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6" s="25" t="str">
        <f>IFERROR(VLOOKUP(tbl_clean_sales[[#This Row],[Employee_ID]],'02_Employee_Master'!$A$1:$C$12,2,FALSE),"Employee Name Missing")</f>
        <v>Rahul M</v>
      </c>
      <c r="L236" s="25" t="str">
        <f>IFERROR(VLOOKUP(tbl_clean_sales[[#This Row],[Employee_ID]],'02_Employee_Master'!$A$1:$C$12,3,FALSE),"Department Name Missing")</f>
        <v>Sales</v>
      </c>
      <c r="M236" s="25" t="str">
        <f>IF('03_Clean_data'!D236="","Missing",IFERROR(IF(VLOOKUP(D236,'03_Product_Master'!$A$1:$D$14,1,FALSE)='03_Clean_data'!D236,"Valid","Invalid"),"Invalid"))</f>
        <v>Valid</v>
      </c>
      <c r="N236" s="25" t="str">
        <f>IFERROR(VLOOKUP(tbl_clean_sales[[#This Row],[Product_ID]],'03_Product_Master'!$A$1:$D$14,2,FALSE),"Missing")</f>
        <v>Shampoo</v>
      </c>
      <c r="O236" s="25" t="str">
        <f>IFERROR(VLOOKUP(tbl_clean_sales[[#This Row],[Product_ID]],'03_Product_Master'!$A$1:$D$14,3,FALSE),"Missing")</f>
        <v>Personal Care</v>
      </c>
      <c r="P236" s="25">
        <f>IFERROR(VLOOKUP(tbl_clean_sales[[#This Row],[Product_ID]],'03_Product_Master'!$A$1:$D$14,4,FALSE),"Missing")</f>
        <v>310</v>
      </c>
      <c r="Q236" s="25" t="str">
        <f>IF('03_Clean_data'!E236="","Missing",IFERROR(IF(VLOOKUP(E236,'04_Branch_Master'!$A$1:$C$7,1,FALSE)='03_Clean_data'!E236,"Valid","Invalid"),"Invalid"))</f>
        <v>Valid</v>
      </c>
      <c r="R236" s="25" t="str">
        <f>IFERROR(VLOOKUP(tbl_clean_sales[[#This Row],[Branch_ID]],'04_Branch_Master'!$A$1:$C$7,2,FALSE),"Missing")</f>
        <v>Avinashi Road</v>
      </c>
      <c r="S236" s="25" t="str">
        <f>IFERROR(VLOOKUP(tbl_clean_sales[[#This Row],[Branch_ID]],'04_Branch_Master'!$A$1:$C$7,3,FALSE),"Missing")</f>
        <v>North</v>
      </c>
      <c r="T236" s="25" t="str">
        <f>C236&amp;"|"&amp;TEXT(tbl_clean_sales[[#This Row],[Date]],"yyyymm")</f>
        <v>E003|202604</v>
      </c>
      <c r="U236" s="25">
        <f>IFERROR(INDEX('05_Target_Master'!$A$1:$F$32,MATCH(tbl_clean_sales[[#This Row],[target key]],'05_Target_Master'!$F$1:$F$32,0),3),"Missing")</f>
        <v>116600</v>
      </c>
    </row>
    <row r="237" spans="1:21" x14ac:dyDescent="0.3">
      <c r="A237" s="21">
        <v>46198</v>
      </c>
      <c r="B237" s="22" t="s">
        <v>268</v>
      </c>
      <c r="C237" s="22" t="s">
        <v>40</v>
      </c>
      <c r="D237" s="22" t="s">
        <v>9</v>
      </c>
      <c r="E237" s="22" t="s">
        <v>26</v>
      </c>
      <c r="F237" s="22">
        <v>12</v>
      </c>
      <c r="G237" s="23">
        <v>3342.94</v>
      </c>
      <c r="H237" s="25" t="str">
        <f>IF(COUNTIF(tbl_clean_sales[Invoice_ID],tbl_clean_sales[[#This Row],[Invoice_ID]])&gt;1,"Duplicate","Unique")</f>
        <v>Unique</v>
      </c>
      <c r="I237" s="25"/>
      <c r="J2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7" s="25" t="str">
        <f>IFERROR(VLOOKUP(tbl_clean_sales[[#This Row],[Employee_ID]],'02_Employee_Master'!$A$1:$C$12,2,FALSE),"Employee Name Missing")</f>
        <v>Meena V</v>
      </c>
      <c r="L237" s="25" t="str">
        <f>IFERROR(VLOOKUP(tbl_clean_sales[[#This Row],[Employee_ID]],'02_Employee_Master'!$A$1:$C$12,3,FALSE),"Department Name Missing")</f>
        <v>Sales</v>
      </c>
      <c r="M237" s="25" t="str">
        <f>IF('03_Clean_data'!D237="","Missing",IFERROR(IF(VLOOKUP(D237,'03_Product_Master'!$A$1:$D$14,1,FALSE)='03_Clean_data'!D237,"Valid","Invalid"),"Invalid"))</f>
        <v>Valid</v>
      </c>
      <c r="N237" s="25" t="str">
        <f>IFERROR(VLOOKUP(tbl_clean_sales[[#This Row],[Product_ID]],'03_Product_Master'!$A$1:$D$14,2,FALSE),"Missing")</f>
        <v>Green Tea</v>
      </c>
      <c r="O237" s="25" t="str">
        <f>IFERROR(VLOOKUP(tbl_clean_sales[[#This Row],[Product_ID]],'03_Product_Master'!$A$1:$D$14,3,FALSE),"Missing")</f>
        <v>Beverages</v>
      </c>
      <c r="P237" s="25">
        <f>IFERROR(VLOOKUP(tbl_clean_sales[[#This Row],[Product_ID]],'03_Product_Master'!$A$1:$D$14,4,FALSE),"Missing")</f>
        <v>280</v>
      </c>
      <c r="Q237" s="25" t="str">
        <f>IF('03_Clean_data'!E237="","Missing",IFERROR(IF(VLOOKUP(E237,'04_Branch_Master'!$A$1:$C$7,1,FALSE)='03_Clean_data'!E237,"Valid","Invalid"),"Invalid"))</f>
        <v>Valid</v>
      </c>
      <c r="R237" s="25" t="str">
        <f>IFERROR(VLOOKUP(tbl_clean_sales[[#This Row],[Branch_ID]],'04_Branch_Master'!$A$1:$C$7,2,FALSE),"Missing")</f>
        <v>Palladam</v>
      </c>
      <c r="S237" s="25" t="str">
        <f>IFERROR(VLOOKUP(tbl_clean_sales[[#This Row],[Branch_ID]],'04_Branch_Master'!$A$1:$C$7,3,FALSE),"Missing")</f>
        <v>South</v>
      </c>
      <c r="T237" s="25" t="str">
        <f>C237&amp;"|"&amp;TEXT(tbl_clean_sales[[#This Row],[Date]],"yyyymm")</f>
        <v>E006|202606</v>
      </c>
      <c r="U237" s="25">
        <f>IFERROR(INDEX('05_Target_Master'!$A$1:$F$32,MATCH(tbl_clean_sales[[#This Row],[target key]],'05_Target_Master'!$F$1:$F$32,0),3),"Missing")</f>
        <v>125800</v>
      </c>
    </row>
    <row r="238" spans="1:21" x14ac:dyDescent="0.3">
      <c r="A238" s="21">
        <v>46115</v>
      </c>
      <c r="B238" s="22" t="s">
        <v>269</v>
      </c>
      <c r="C238" s="22" t="s">
        <v>38</v>
      </c>
      <c r="D238" s="22" t="s">
        <v>9</v>
      </c>
      <c r="E238" s="22" t="s">
        <v>10</v>
      </c>
      <c r="F238" s="22">
        <v>7</v>
      </c>
      <c r="G238" s="23">
        <v>1825.14</v>
      </c>
      <c r="H238" s="25" t="str">
        <f>IF(COUNTIF(tbl_clean_sales[Invoice_ID],tbl_clean_sales[[#This Row],[Invoice_ID]])&gt;1,"Duplicate","Unique")</f>
        <v>Unique</v>
      </c>
      <c r="I238" s="25"/>
      <c r="J2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8" s="25" t="str">
        <f>IFERROR(VLOOKUP(tbl_clean_sales[[#This Row],[Employee_ID]],'02_Employee_Master'!$A$1:$C$12,2,FALSE),"Employee Name Missing")</f>
        <v>Nandhini K</v>
      </c>
      <c r="L238" s="25" t="str">
        <f>IFERROR(VLOOKUP(tbl_clean_sales[[#This Row],[Employee_ID]],'02_Employee_Master'!$A$1:$C$12,3,FALSE),"Department Name Missing")</f>
        <v>Sales</v>
      </c>
      <c r="M238" s="25" t="str">
        <f>IF('03_Clean_data'!D238="","Missing",IFERROR(IF(VLOOKUP(D238,'03_Product_Master'!$A$1:$D$14,1,FALSE)='03_Clean_data'!D238,"Valid","Invalid"),"Invalid"))</f>
        <v>Valid</v>
      </c>
      <c r="N238" s="25" t="str">
        <f>IFERROR(VLOOKUP(tbl_clean_sales[[#This Row],[Product_ID]],'03_Product_Master'!$A$1:$D$14,2,FALSE),"Missing")</f>
        <v>Green Tea</v>
      </c>
      <c r="O238" s="25" t="str">
        <f>IFERROR(VLOOKUP(tbl_clean_sales[[#This Row],[Product_ID]],'03_Product_Master'!$A$1:$D$14,3,FALSE),"Missing")</f>
        <v>Beverages</v>
      </c>
      <c r="P238" s="25">
        <f>IFERROR(VLOOKUP(tbl_clean_sales[[#This Row],[Product_ID]],'03_Product_Master'!$A$1:$D$14,4,FALSE),"Missing")</f>
        <v>280</v>
      </c>
      <c r="Q238" s="25" t="str">
        <f>IF('03_Clean_data'!E238="","Missing",IFERROR(IF(VLOOKUP(E238,'04_Branch_Master'!$A$1:$C$7,1,FALSE)='03_Clean_data'!E238,"Valid","Invalid"),"Invalid"))</f>
        <v>Valid</v>
      </c>
      <c r="R238" s="25" t="str">
        <f>IFERROR(VLOOKUP(tbl_clean_sales[[#This Row],[Branch_ID]],'04_Branch_Master'!$A$1:$C$7,2,FALSE),"Missing")</f>
        <v>Dharapuram</v>
      </c>
      <c r="S238" s="25" t="str">
        <f>IFERROR(VLOOKUP(tbl_clean_sales[[#This Row],[Branch_ID]],'04_Branch_Master'!$A$1:$C$7,3,FALSE),"Missing")</f>
        <v>South</v>
      </c>
      <c r="T238" s="25" t="str">
        <f>C238&amp;"|"&amp;TEXT(tbl_clean_sales[[#This Row],[Date]],"yyyymm")</f>
        <v>E008|202604</v>
      </c>
      <c r="U238" s="25">
        <f>IFERROR(INDEX('05_Target_Master'!$A$1:$F$32,MATCH(tbl_clean_sales[[#This Row],[target key]],'05_Target_Master'!$F$1:$F$32,0),3),"Missing")</f>
        <v>124100</v>
      </c>
    </row>
    <row r="239" spans="1:21" x14ac:dyDescent="0.3">
      <c r="A239" s="21">
        <v>46203</v>
      </c>
      <c r="B239" s="22" t="s">
        <v>270</v>
      </c>
      <c r="C239" s="22" t="s">
        <v>46</v>
      </c>
      <c r="D239" s="22" t="s">
        <v>82</v>
      </c>
      <c r="E239" s="22" t="s">
        <v>32</v>
      </c>
      <c r="F239" s="22">
        <v>1</v>
      </c>
      <c r="G239" s="23">
        <v>106.09</v>
      </c>
      <c r="H239" s="25" t="str">
        <f>IF(COUNTIF(tbl_clean_sales[Invoice_ID],tbl_clean_sales[[#This Row],[Invoice_ID]])&gt;1,"Duplicate","Unique")</f>
        <v>Unique</v>
      </c>
      <c r="I239" s="25"/>
      <c r="J2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39" s="25" t="str">
        <f>IFERROR(VLOOKUP(tbl_clean_sales[[#This Row],[Employee_ID]],'02_Employee_Master'!$A$1:$C$12,2,FALSE),"Employee Name Missing")</f>
        <v>Suresh B</v>
      </c>
      <c r="L239" s="25" t="str">
        <f>IFERROR(VLOOKUP(tbl_clean_sales[[#This Row],[Employee_ID]],'02_Employee_Master'!$A$1:$C$12,3,FALSE),"Department Name Missing")</f>
        <v>Sales</v>
      </c>
      <c r="M239" s="25" t="str">
        <f>IF('03_Clean_data'!D239="","Missing",IFERROR(IF(VLOOKUP(D239,'03_Product_Master'!$A$1:$D$14,1,FALSE)='03_Clean_data'!D239,"Valid","Invalid"),"Invalid"))</f>
        <v>Valid</v>
      </c>
      <c r="N239" s="25" t="str">
        <f>IFERROR(VLOOKUP(tbl_clean_sales[[#This Row],[Product_ID]],'03_Product_Master'!$A$1:$D$14,2,FALSE),"Missing")</f>
        <v>Chocolate Bar</v>
      </c>
      <c r="O239" s="25" t="str">
        <f>IFERROR(VLOOKUP(tbl_clean_sales[[#This Row],[Product_ID]],'03_Product_Master'!$A$1:$D$14,3,FALSE),"Missing")</f>
        <v>Snacks</v>
      </c>
      <c r="P239" s="25">
        <f>IFERROR(VLOOKUP(tbl_clean_sales[[#This Row],[Product_ID]],'03_Product_Master'!$A$1:$D$14,4,FALSE),"Missing")</f>
        <v>120</v>
      </c>
      <c r="Q239" s="25" t="str">
        <f>IF('03_Clean_data'!E239="","Missing",IFERROR(IF(VLOOKUP(E239,'04_Branch_Master'!$A$1:$C$7,1,FALSE)='03_Clean_data'!E239,"Valid","Invalid"),"Invalid"))</f>
        <v>Valid</v>
      </c>
      <c r="R239" s="25" t="str">
        <f>IFERROR(VLOOKUP(tbl_clean_sales[[#This Row],[Branch_ID]],'04_Branch_Master'!$A$1:$C$7,2,FALSE),"Missing")</f>
        <v>Kangeyam</v>
      </c>
      <c r="S239" s="25" t="str">
        <f>IFERROR(VLOOKUP(tbl_clean_sales[[#This Row],[Branch_ID]],'04_Branch_Master'!$A$1:$C$7,3,FALSE),"Missing")</f>
        <v>East</v>
      </c>
      <c r="T239" s="25" t="str">
        <f>C239&amp;"|"&amp;TEXT(tbl_clean_sales[[#This Row],[Date]],"yyyymm")</f>
        <v>E007|202606</v>
      </c>
      <c r="U239" s="25">
        <f>IFERROR(INDEX('05_Target_Master'!$A$1:$F$32,MATCH(tbl_clean_sales[[#This Row],[target key]],'05_Target_Master'!$F$1:$F$32,0),3),"Missing")</f>
        <v>124400</v>
      </c>
    </row>
    <row r="240" spans="1:21" x14ac:dyDescent="0.3">
      <c r="A240" s="21">
        <v>46134</v>
      </c>
      <c r="B240" s="22" t="s">
        <v>271</v>
      </c>
      <c r="C240" s="22" t="s">
        <v>29</v>
      </c>
      <c r="D240" s="22" t="s">
        <v>48</v>
      </c>
      <c r="E240" s="22" t="s">
        <v>26</v>
      </c>
      <c r="F240" s="22">
        <v>2</v>
      </c>
      <c r="G240" s="23">
        <v>492.75</v>
      </c>
      <c r="H240" s="25" t="str">
        <f>IF(COUNTIF(tbl_clean_sales[Invoice_ID],tbl_clean_sales[[#This Row],[Invoice_ID]])&gt;1,"Duplicate","Unique")</f>
        <v>Unique</v>
      </c>
      <c r="I240" s="25"/>
      <c r="J2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0" s="25" t="str">
        <f>IFERROR(VLOOKUP(tbl_clean_sales[[#This Row],[Employee_ID]],'02_Employee_Master'!$A$1:$C$12,2,FALSE),"Employee Name Missing")</f>
        <v>Swetha L</v>
      </c>
      <c r="L240" s="25" t="str">
        <f>IFERROR(VLOOKUP(tbl_clean_sales[[#This Row],[Employee_ID]],'02_Employee_Master'!$A$1:$C$12,3,FALSE),"Department Name Missing")</f>
        <v>Sales</v>
      </c>
      <c r="M240" s="25" t="str">
        <f>IF('03_Clean_data'!D240="","Missing",IFERROR(IF(VLOOKUP(D240,'03_Product_Master'!$A$1:$D$14,1,FALSE)='03_Clean_data'!D240,"Valid","Invalid"),"Invalid"))</f>
        <v>Valid</v>
      </c>
      <c r="N240" s="25" t="str">
        <f>IFERROR(VLOOKUP(tbl_clean_sales[[#This Row],[Product_ID]],'03_Product_Master'!$A$1:$D$14,2,FALSE),"Missing")</f>
        <v>Face Wash</v>
      </c>
      <c r="O240" s="25" t="str">
        <f>IFERROR(VLOOKUP(tbl_clean_sales[[#This Row],[Product_ID]],'03_Product_Master'!$A$1:$D$14,3,FALSE),"Missing")</f>
        <v>Personal Care</v>
      </c>
      <c r="P240" s="25">
        <f>IFERROR(VLOOKUP(tbl_clean_sales[[#This Row],[Product_ID]],'03_Product_Master'!$A$1:$D$14,4,FALSE),"Missing")</f>
        <v>260</v>
      </c>
      <c r="Q240" s="25" t="str">
        <f>IF('03_Clean_data'!E240="","Missing",IFERROR(IF(VLOOKUP(E240,'04_Branch_Master'!$A$1:$C$7,1,FALSE)='03_Clean_data'!E240,"Valid","Invalid"),"Invalid"))</f>
        <v>Valid</v>
      </c>
      <c r="R240" s="25" t="str">
        <f>IFERROR(VLOOKUP(tbl_clean_sales[[#This Row],[Branch_ID]],'04_Branch_Master'!$A$1:$C$7,2,FALSE),"Missing")</f>
        <v>Palladam</v>
      </c>
      <c r="S240" s="25" t="str">
        <f>IFERROR(VLOOKUP(tbl_clean_sales[[#This Row],[Branch_ID]],'04_Branch_Master'!$A$1:$C$7,3,FALSE),"Missing")</f>
        <v>South</v>
      </c>
      <c r="T240" s="25" t="str">
        <f>C240&amp;"|"&amp;TEXT(tbl_clean_sales[[#This Row],[Date]],"yyyymm")</f>
        <v>E010|202604</v>
      </c>
      <c r="U240" s="25">
        <f>IFERROR(INDEX('05_Target_Master'!$A$1:$F$32,MATCH(tbl_clean_sales[[#This Row],[target key]],'05_Target_Master'!$F$1:$F$32,0),3),"Missing")</f>
        <v>121700</v>
      </c>
    </row>
    <row r="241" spans="1:21" x14ac:dyDescent="0.3">
      <c r="A241" s="21">
        <v>46126</v>
      </c>
      <c r="B241" s="22" t="s">
        <v>272</v>
      </c>
      <c r="C241" s="22" t="s">
        <v>12</v>
      </c>
      <c r="D241" s="22" t="s">
        <v>16</v>
      </c>
      <c r="E241" s="22" t="s">
        <v>14</v>
      </c>
      <c r="F241" s="22">
        <v>9</v>
      </c>
      <c r="G241" s="23">
        <v>2763.67</v>
      </c>
      <c r="H241" s="25" t="str">
        <f>IF(COUNTIF(tbl_clean_sales[Invoice_ID],tbl_clean_sales[[#This Row],[Invoice_ID]])&gt;1,"Duplicate","Unique")</f>
        <v>Unique</v>
      </c>
      <c r="I241" s="25"/>
      <c r="J2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1" s="25" t="str">
        <f>IFERROR(VLOOKUP(tbl_clean_sales[[#This Row],[Employee_ID]],'02_Employee_Master'!$A$1:$C$12,2,FALSE),"Employee Name Missing")</f>
        <v>Divya R</v>
      </c>
      <c r="L241" s="25" t="str">
        <f>IFERROR(VLOOKUP(tbl_clean_sales[[#This Row],[Employee_ID]],'02_Employee_Master'!$A$1:$C$12,3,FALSE),"Department Name Missing")</f>
        <v>Sales</v>
      </c>
      <c r="M241" s="25" t="str">
        <f>IF('03_Clean_data'!D241="","Missing",IFERROR(IF(VLOOKUP(D241,'03_Product_Master'!$A$1:$D$14,1,FALSE)='03_Clean_data'!D241,"Valid","Invalid"),"Invalid"))</f>
        <v>Valid</v>
      </c>
      <c r="N241" s="25" t="str">
        <f>IFERROR(VLOOKUP(tbl_clean_sales[[#This Row],[Product_ID]],'03_Product_Master'!$A$1:$D$14,2,FALSE),"Missing")</f>
        <v>Shampoo</v>
      </c>
      <c r="O241" s="25" t="str">
        <f>IFERROR(VLOOKUP(tbl_clean_sales[[#This Row],[Product_ID]],'03_Product_Master'!$A$1:$D$14,3,FALSE),"Missing")</f>
        <v>Personal Care</v>
      </c>
      <c r="P241" s="25">
        <f>IFERROR(VLOOKUP(tbl_clean_sales[[#This Row],[Product_ID]],'03_Product_Master'!$A$1:$D$14,4,FALSE),"Missing")</f>
        <v>310</v>
      </c>
      <c r="Q241" s="25" t="str">
        <f>IF('03_Clean_data'!E241="","Missing",IFERROR(IF(VLOOKUP(E241,'04_Branch_Master'!$A$1:$C$7,1,FALSE)='03_Clean_data'!E241,"Valid","Invalid"),"Invalid"))</f>
        <v>Valid</v>
      </c>
      <c r="R241" s="25" t="str">
        <f>IFERROR(VLOOKUP(tbl_clean_sales[[#This Row],[Branch_ID]],'04_Branch_Master'!$A$1:$C$7,2,FALSE),"Missing")</f>
        <v>Avinashi Road</v>
      </c>
      <c r="S241" s="25" t="str">
        <f>IFERROR(VLOOKUP(tbl_clean_sales[[#This Row],[Branch_ID]],'04_Branch_Master'!$A$1:$C$7,3,FALSE),"Missing")</f>
        <v>North</v>
      </c>
      <c r="T241" s="25" t="str">
        <f>C241&amp;"|"&amp;TEXT(tbl_clean_sales[[#This Row],[Date]],"yyyymm")</f>
        <v>E004|202604</v>
      </c>
      <c r="U241" s="25">
        <f>IFERROR(INDEX('05_Target_Master'!$A$1:$F$32,MATCH(tbl_clean_sales[[#This Row],[target key]],'05_Target_Master'!$F$1:$F$32,0),3),"Missing")</f>
        <v>163600</v>
      </c>
    </row>
    <row r="242" spans="1:21" x14ac:dyDescent="0.3">
      <c r="A242" s="21">
        <v>46152</v>
      </c>
      <c r="B242" s="22" t="s">
        <v>273</v>
      </c>
      <c r="C242" s="22" t="s">
        <v>40</v>
      </c>
      <c r="D242" s="22" t="s">
        <v>30</v>
      </c>
      <c r="E242" s="22" t="s">
        <v>26</v>
      </c>
      <c r="F242" s="22">
        <v>3</v>
      </c>
      <c r="G242" s="23">
        <v>475.6</v>
      </c>
      <c r="H242" s="25" t="str">
        <f>IF(COUNTIF(tbl_clean_sales[Invoice_ID],tbl_clean_sales[[#This Row],[Invoice_ID]])&gt;1,"Duplicate","Unique")</f>
        <v>Unique</v>
      </c>
      <c r="I242" s="25"/>
      <c r="J2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2" s="25" t="str">
        <f>IFERROR(VLOOKUP(tbl_clean_sales[[#This Row],[Employee_ID]],'02_Employee_Master'!$A$1:$C$12,2,FALSE),"Employee Name Missing")</f>
        <v>Meena V</v>
      </c>
      <c r="L242" s="25" t="str">
        <f>IFERROR(VLOOKUP(tbl_clean_sales[[#This Row],[Employee_ID]],'02_Employee_Master'!$A$1:$C$12,3,FALSE),"Department Name Missing")</f>
        <v>Sales</v>
      </c>
      <c r="M242" s="25" t="str">
        <f>IF('03_Clean_data'!D242="","Missing",IFERROR(IF(VLOOKUP(D242,'03_Product_Master'!$A$1:$D$14,1,FALSE)='03_Clean_data'!D242,"Valid","Invalid"),"Invalid"))</f>
        <v>Valid</v>
      </c>
      <c r="N242" s="25" t="str">
        <f>IFERROR(VLOOKUP(tbl_clean_sales[[#This Row],[Product_ID]],'03_Product_Master'!$A$1:$D$14,2,FALSE),"Missing")</f>
        <v>Cookies Pack</v>
      </c>
      <c r="O242" s="25" t="str">
        <f>IFERROR(VLOOKUP(tbl_clean_sales[[#This Row],[Product_ID]],'03_Product_Master'!$A$1:$D$14,3,FALSE),"Missing")</f>
        <v>Snacks</v>
      </c>
      <c r="P242" s="25">
        <f>IFERROR(VLOOKUP(tbl_clean_sales[[#This Row],[Product_ID]],'03_Product_Master'!$A$1:$D$14,4,FALSE),"Missing")</f>
        <v>160</v>
      </c>
      <c r="Q242" s="25" t="str">
        <f>IF('03_Clean_data'!E242="","Missing",IFERROR(IF(VLOOKUP(E242,'04_Branch_Master'!$A$1:$C$7,1,FALSE)='03_Clean_data'!E242,"Valid","Invalid"),"Invalid"))</f>
        <v>Valid</v>
      </c>
      <c r="R242" s="25" t="str">
        <f>IFERROR(VLOOKUP(tbl_clean_sales[[#This Row],[Branch_ID]],'04_Branch_Master'!$A$1:$C$7,2,FALSE),"Missing")</f>
        <v>Palladam</v>
      </c>
      <c r="S242" s="25" t="str">
        <f>IFERROR(VLOOKUP(tbl_clean_sales[[#This Row],[Branch_ID]],'04_Branch_Master'!$A$1:$C$7,3,FALSE),"Missing")</f>
        <v>South</v>
      </c>
      <c r="T242" s="25" t="str">
        <f>C242&amp;"|"&amp;TEXT(tbl_clean_sales[[#This Row],[Date]],"yyyymm")</f>
        <v>E006|202605</v>
      </c>
      <c r="U242" s="25">
        <f>IFERROR(INDEX('05_Target_Master'!$A$1:$F$32,MATCH(tbl_clean_sales[[#This Row],[target key]],'05_Target_Master'!$F$1:$F$32,0),3),"Missing")</f>
        <v>141500</v>
      </c>
    </row>
    <row r="243" spans="1:21" x14ac:dyDescent="0.3">
      <c r="A243" s="21">
        <v>46194</v>
      </c>
      <c r="B243" s="22" t="s">
        <v>274</v>
      </c>
      <c r="C243" s="22" t="s">
        <v>21</v>
      </c>
      <c r="D243" s="22" t="s">
        <v>13</v>
      </c>
      <c r="E243" s="22" t="s">
        <v>22</v>
      </c>
      <c r="F243" s="22">
        <v>6</v>
      </c>
      <c r="G243" s="23">
        <v>2241.41</v>
      </c>
      <c r="H243" s="25" t="str">
        <f>IF(COUNTIF(tbl_clean_sales[Invoice_ID],tbl_clean_sales[[#This Row],[Invoice_ID]])&gt;1,"Duplicate","Unique")</f>
        <v>Unique</v>
      </c>
      <c r="I243" s="25"/>
      <c r="J2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3" s="25" t="str">
        <f>IFERROR(VLOOKUP(tbl_clean_sales[[#This Row],[Employee_ID]],'02_Employee_Master'!$A$1:$C$12,2,FALSE),"Employee Name Missing")</f>
        <v>Priya S</v>
      </c>
      <c r="L243" s="25" t="str">
        <f>IFERROR(VLOOKUP(tbl_clean_sales[[#This Row],[Employee_ID]],'02_Employee_Master'!$A$1:$C$12,3,FALSE),"Department Name Missing")</f>
        <v>Sales</v>
      </c>
      <c r="M243" s="25" t="str">
        <f>IF('03_Clean_data'!D243="","Missing",IFERROR(IF(VLOOKUP(D243,'03_Product_Master'!$A$1:$D$14,1,FALSE)='03_Clean_data'!D243,"Valid","Invalid"),"Invalid"))</f>
        <v>Valid</v>
      </c>
      <c r="N243" s="25" t="str">
        <f>IFERROR(VLOOKUP(tbl_clean_sales[[#This Row],[Product_ID]],'03_Product_Master'!$A$1:$D$14,2,FALSE),"Missing")</f>
        <v>Body Lotion</v>
      </c>
      <c r="O243" s="25" t="str">
        <f>IFERROR(VLOOKUP(tbl_clean_sales[[#This Row],[Product_ID]],'03_Product_Master'!$A$1:$D$14,3,FALSE),"Missing")</f>
        <v>Personal Care</v>
      </c>
      <c r="P243" s="25">
        <f>IFERROR(VLOOKUP(tbl_clean_sales[[#This Row],[Product_ID]],'03_Product_Master'!$A$1:$D$14,4,FALSE),"Missing")</f>
        <v>390</v>
      </c>
      <c r="Q243" s="25" t="str">
        <f>IF('03_Clean_data'!E243="","Missing",IFERROR(IF(VLOOKUP(E243,'04_Branch_Master'!$A$1:$C$7,1,FALSE)='03_Clean_data'!E243,"Valid","Invalid"),"Invalid"))</f>
        <v>Valid</v>
      </c>
      <c r="R243" s="25" t="str">
        <f>IFERROR(VLOOKUP(tbl_clean_sales[[#This Row],[Branch_ID]],'04_Branch_Master'!$A$1:$C$7,2,FALSE),"Missing")</f>
        <v>Tirupur Central</v>
      </c>
      <c r="S243" s="25" t="str">
        <f>IFERROR(VLOOKUP(tbl_clean_sales[[#This Row],[Branch_ID]],'04_Branch_Master'!$A$1:$C$7,3,FALSE),"Missing")</f>
        <v>North</v>
      </c>
      <c r="T243" s="25" t="str">
        <f>C243&amp;"|"&amp;TEXT(tbl_clean_sales[[#This Row],[Date]],"yyyymm")</f>
        <v>E002|202606</v>
      </c>
      <c r="U243" s="25">
        <f>IFERROR(INDEX('05_Target_Master'!$A$1:$F$32,MATCH(tbl_clean_sales[[#This Row],[target key]],'05_Target_Master'!$F$1:$F$32,0),3),"Missing")</f>
        <v>117400</v>
      </c>
    </row>
    <row r="244" spans="1:21" x14ac:dyDescent="0.3">
      <c r="A244" s="21">
        <v>46195</v>
      </c>
      <c r="B244" s="22" t="s">
        <v>275</v>
      </c>
      <c r="C244" s="22" t="s">
        <v>18</v>
      </c>
      <c r="D244" s="22" t="s">
        <v>30</v>
      </c>
      <c r="E244" s="22" t="s">
        <v>14</v>
      </c>
      <c r="F244" s="22">
        <v>5</v>
      </c>
      <c r="G244" s="23">
        <v>781.06</v>
      </c>
      <c r="H244" s="25" t="str">
        <f>IF(COUNTIF(tbl_clean_sales[Invoice_ID],tbl_clean_sales[[#This Row],[Invoice_ID]])&gt;1,"Duplicate","Unique")</f>
        <v>Unique</v>
      </c>
      <c r="I244" s="25"/>
      <c r="J2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4" s="25" t="str">
        <f>IFERROR(VLOOKUP(tbl_clean_sales[[#This Row],[Employee_ID]],'02_Employee_Master'!$A$1:$C$12,2,FALSE),"Employee Name Missing")</f>
        <v>Rahul M</v>
      </c>
      <c r="L244" s="25" t="str">
        <f>IFERROR(VLOOKUP(tbl_clean_sales[[#This Row],[Employee_ID]],'02_Employee_Master'!$A$1:$C$12,3,FALSE),"Department Name Missing")</f>
        <v>Sales</v>
      </c>
      <c r="M244" s="25" t="str">
        <f>IF('03_Clean_data'!D244="","Missing",IFERROR(IF(VLOOKUP(D244,'03_Product_Master'!$A$1:$D$14,1,FALSE)='03_Clean_data'!D244,"Valid","Invalid"),"Invalid"))</f>
        <v>Valid</v>
      </c>
      <c r="N244" s="25" t="str">
        <f>IFERROR(VLOOKUP(tbl_clean_sales[[#This Row],[Product_ID]],'03_Product_Master'!$A$1:$D$14,2,FALSE),"Missing")</f>
        <v>Cookies Pack</v>
      </c>
      <c r="O244" s="25" t="str">
        <f>IFERROR(VLOOKUP(tbl_clean_sales[[#This Row],[Product_ID]],'03_Product_Master'!$A$1:$D$14,3,FALSE),"Missing")</f>
        <v>Snacks</v>
      </c>
      <c r="P244" s="25">
        <f>IFERROR(VLOOKUP(tbl_clean_sales[[#This Row],[Product_ID]],'03_Product_Master'!$A$1:$D$14,4,FALSE),"Missing")</f>
        <v>160</v>
      </c>
      <c r="Q244" s="25" t="str">
        <f>IF('03_Clean_data'!E244="","Missing",IFERROR(IF(VLOOKUP(E244,'04_Branch_Master'!$A$1:$C$7,1,FALSE)='03_Clean_data'!E244,"Valid","Invalid"),"Invalid"))</f>
        <v>Valid</v>
      </c>
      <c r="R244" s="25" t="str">
        <f>IFERROR(VLOOKUP(tbl_clean_sales[[#This Row],[Branch_ID]],'04_Branch_Master'!$A$1:$C$7,2,FALSE),"Missing")</f>
        <v>Avinashi Road</v>
      </c>
      <c r="S244" s="25" t="str">
        <f>IFERROR(VLOOKUP(tbl_clean_sales[[#This Row],[Branch_ID]],'04_Branch_Master'!$A$1:$C$7,3,FALSE),"Missing")</f>
        <v>North</v>
      </c>
      <c r="T244" s="25" t="str">
        <f>C244&amp;"|"&amp;TEXT(tbl_clean_sales[[#This Row],[Date]],"yyyymm")</f>
        <v>E003|202606</v>
      </c>
      <c r="U244" s="25">
        <f>IFERROR(INDEX('05_Target_Master'!$A$1:$F$32,MATCH(tbl_clean_sales[[#This Row],[target key]],'05_Target_Master'!$F$1:$F$32,0),3),"Missing")</f>
        <v>112000</v>
      </c>
    </row>
    <row r="245" spans="1:21" x14ac:dyDescent="0.3">
      <c r="A245" s="21">
        <v>46190</v>
      </c>
      <c r="B245" s="22" t="s">
        <v>276</v>
      </c>
      <c r="C245" s="22" t="s">
        <v>18</v>
      </c>
      <c r="D245" s="22" t="s">
        <v>43</v>
      </c>
      <c r="E245" s="22" t="s">
        <v>14</v>
      </c>
      <c r="F245" s="22">
        <v>11</v>
      </c>
      <c r="G245" s="23">
        <v>3518.24</v>
      </c>
      <c r="H245" s="25" t="str">
        <f>IF(COUNTIF(tbl_clean_sales[Invoice_ID],tbl_clean_sales[[#This Row],[Invoice_ID]])&gt;1,"Duplicate","Unique")</f>
        <v>Unique</v>
      </c>
      <c r="I245" s="25"/>
      <c r="J2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5" s="25" t="str">
        <f>IFERROR(VLOOKUP(tbl_clean_sales[[#This Row],[Employee_ID]],'02_Employee_Master'!$A$1:$C$12,2,FALSE),"Employee Name Missing")</f>
        <v>Rahul M</v>
      </c>
      <c r="L245" s="25" t="str">
        <f>IFERROR(VLOOKUP(tbl_clean_sales[[#This Row],[Employee_ID]],'02_Employee_Master'!$A$1:$C$12,3,FALSE),"Department Name Missing")</f>
        <v>Sales</v>
      </c>
      <c r="M245" s="25" t="str">
        <f>IF('03_Clean_data'!D245="","Missing",IFERROR(IF(VLOOKUP(D245,'03_Product_Master'!$A$1:$D$14,1,FALSE)='03_Clean_data'!D245,"Valid","Invalid"),"Invalid"))</f>
        <v>Valid</v>
      </c>
      <c r="N245" s="25" t="str">
        <f>IFERROR(VLOOKUP(tbl_clean_sales[[#This Row],[Product_ID]],'03_Product_Master'!$A$1:$D$14,2,FALSE),"Missing")</f>
        <v>Laundry Liquid</v>
      </c>
      <c r="O245" s="25" t="str">
        <f>IFERROR(VLOOKUP(tbl_clean_sales[[#This Row],[Product_ID]],'03_Product_Master'!$A$1:$D$14,3,FALSE),"Missing")</f>
        <v>Home Care</v>
      </c>
      <c r="P245" s="25">
        <f>IFERROR(VLOOKUP(tbl_clean_sales[[#This Row],[Product_ID]],'03_Product_Master'!$A$1:$D$14,4,FALSE),"Missing")</f>
        <v>340</v>
      </c>
      <c r="Q245" s="25" t="str">
        <f>IF('03_Clean_data'!E245="","Missing",IFERROR(IF(VLOOKUP(E245,'04_Branch_Master'!$A$1:$C$7,1,FALSE)='03_Clean_data'!E245,"Valid","Invalid"),"Invalid"))</f>
        <v>Valid</v>
      </c>
      <c r="R245" s="25" t="str">
        <f>IFERROR(VLOOKUP(tbl_clean_sales[[#This Row],[Branch_ID]],'04_Branch_Master'!$A$1:$C$7,2,FALSE),"Missing")</f>
        <v>Avinashi Road</v>
      </c>
      <c r="S245" s="25" t="str">
        <f>IFERROR(VLOOKUP(tbl_clean_sales[[#This Row],[Branch_ID]],'04_Branch_Master'!$A$1:$C$7,3,FALSE),"Missing")</f>
        <v>North</v>
      </c>
      <c r="T245" s="25" t="str">
        <f>C245&amp;"|"&amp;TEXT(tbl_clean_sales[[#This Row],[Date]],"yyyymm")</f>
        <v>E003|202606</v>
      </c>
      <c r="U245" s="25">
        <f>IFERROR(INDEX('05_Target_Master'!$A$1:$F$32,MATCH(tbl_clean_sales[[#This Row],[target key]],'05_Target_Master'!$F$1:$F$32,0),3),"Missing")</f>
        <v>112000</v>
      </c>
    </row>
    <row r="246" spans="1:21" x14ac:dyDescent="0.3">
      <c r="A246" s="21">
        <v>46185</v>
      </c>
      <c r="B246" s="22" t="s">
        <v>277</v>
      </c>
      <c r="C246" s="22" t="s">
        <v>29</v>
      </c>
      <c r="D246" s="22" t="s">
        <v>48</v>
      </c>
      <c r="E246" s="22" t="s">
        <v>10</v>
      </c>
      <c r="F246" s="22">
        <v>10</v>
      </c>
      <c r="G246" s="23">
        <v>2399.39</v>
      </c>
      <c r="H246" s="25" t="str">
        <f>IF(COUNTIF(tbl_clean_sales[Invoice_ID],tbl_clean_sales[[#This Row],[Invoice_ID]])&gt;1,"Duplicate","Unique")</f>
        <v>Unique</v>
      </c>
      <c r="I246" s="25"/>
      <c r="J2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6" s="25" t="str">
        <f>IFERROR(VLOOKUP(tbl_clean_sales[[#This Row],[Employee_ID]],'02_Employee_Master'!$A$1:$C$12,2,FALSE),"Employee Name Missing")</f>
        <v>Swetha L</v>
      </c>
      <c r="L246" s="25" t="str">
        <f>IFERROR(VLOOKUP(tbl_clean_sales[[#This Row],[Employee_ID]],'02_Employee_Master'!$A$1:$C$12,3,FALSE),"Department Name Missing")</f>
        <v>Sales</v>
      </c>
      <c r="M246" s="25" t="str">
        <f>IF('03_Clean_data'!D246="","Missing",IFERROR(IF(VLOOKUP(D246,'03_Product_Master'!$A$1:$D$14,1,FALSE)='03_Clean_data'!D246,"Valid","Invalid"),"Invalid"))</f>
        <v>Valid</v>
      </c>
      <c r="N246" s="25" t="str">
        <f>IFERROR(VLOOKUP(tbl_clean_sales[[#This Row],[Product_ID]],'03_Product_Master'!$A$1:$D$14,2,FALSE),"Missing")</f>
        <v>Face Wash</v>
      </c>
      <c r="O246" s="25" t="str">
        <f>IFERROR(VLOOKUP(tbl_clean_sales[[#This Row],[Product_ID]],'03_Product_Master'!$A$1:$D$14,3,FALSE),"Missing")</f>
        <v>Personal Care</v>
      </c>
      <c r="P246" s="25">
        <f>IFERROR(VLOOKUP(tbl_clean_sales[[#This Row],[Product_ID]],'03_Product_Master'!$A$1:$D$14,4,FALSE),"Missing")</f>
        <v>260</v>
      </c>
      <c r="Q246" s="25" t="str">
        <f>IF('03_Clean_data'!E246="","Missing",IFERROR(IF(VLOOKUP(E246,'04_Branch_Master'!$A$1:$C$7,1,FALSE)='03_Clean_data'!E246,"Valid","Invalid"),"Invalid"))</f>
        <v>Valid</v>
      </c>
      <c r="R246" s="25" t="str">
        <f>IFERROR(VLOOKUP(tbl_clean_sales[[#This Row],[Branch_ID]],'04_Branch_Master'!$A$1:$C$7,2,FALSE),"Missing")</f>
        <v>Dharapuram</v>
      </c>
      <c r="S246" s="25" t="str">
        <f>IFERROR(VLOOKUP(tbl_clean_sales[[#This Row],[Branch_ID]],'04_Branch_Master'!$A$1:$C$7,3,FALSE),"Missing")</f>
        <v>South</v>
      </c>
      <c r="T246" s="25" t="str">
        <f>C246&amp;"|"&amp;TEXT(tbl_clean_sales[[#This Row],[Date]],"yyyymm")</f>
        <v>E010|202606</v>
      </c>
      <c r="U246" s="25">
        <f>IFERROR(INDEX('05_Target_Master'!$A$1:$F$32,MATCH(tbl_clean_sales[[#This Row],[target key]],'05_Target_Master'!$F$1:$F$32,0),3),"Missing")</f>
        <v>116800</v>
      </c>
    </row>
    <row r="247" spans="1:21" x14ac:dyDescent="0.3">
      <c r="A247" s="21">
        <v>46192</v>
      </c>
      <c r="B247" s="22" t="s">
        <v>278</v>
      </c>
      <c r="C247" s="22" t="s">
        <v>40</v>
      </c>
      <c r="D247" s="22" t="s">
        <v>43</v>
      </c>
      <c r="E247" s="22" t="s">
        <v>26</v>
      </c>
      <c r="F247" s="22">
        <v>8</v>
      </c>
      <c r="G247" s="23">
        <v>2697.71</v>
      </c>
      <c r="H247" s="25" t="str">
        <f>IF(COUNTIF(tbl_clean_sales[Invoice_ID],tbl_clean_sales[[#This Row],[Invoice_ID]])&gt;1,"Duplicate","Unique")</f>
        <v>Unique</v>
      </c>
      <c r="I247" s="25"/>
      <c r="J2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7" s="25" t="str">
        <f>IFERROR(VLOOKUP(tbl_clean_sales[[#This Row],[Employee_ID]],'02_Employee_Master'!$A$1:$C$12,2,FALSE),"Employee Name Missing")</f>
        <v>Meena V</v>
      </c>
      <c r="L247" s="25" t="str">
        <f>IFERROR(VLOOKUP(tbl_clean_sales[[#This Row],[Employee_ID]],'02_Employee_Master'!$A$1:$C$12,3,FALSE),"Department Name Missing")</f>
        <v>Sales</v>
      </c>
      <c r="M247" s="25" t="str">
        <f>IF('03_Clean_data'!D247="","Missing",IFERROR(IF(VLOOKUP(D247,'03_Product_Master'!$A$1:$D$14,1,FALSE)='03_Clean_data'!D247,"Valid","Invalid"),"Invalid"))</f>
        <v>Valid</v>
      </c>
      <c r="N247" s="25" t="str">
        <f>IFERROR(VLOOKUP(tbl_clean_sales[[#This Row],[Product_ID]],'03_Product_Master'!$A$1:$D$14,2,FALSE),"Missing")</f>
        <v>Laundry Liquid</v>
      </c>
      <c r="O247" s="25" t="str">
        <f>IFERROR(VLOOKUP(tbl_clean_sales[[#This Row],[Product_ID]],'03_Product_Master'!$A$1:$D$14,3,FALSE),"Missing")</f>
        <v>Home Care</v>
      </c>
      <c r="P247" s="25">
        <f>IFERROR(VLOOKUP(tbl_clean_sales[[#This Row],[Product_ID]],'03_Product_Master'!$A$1:$D$14,4,FALSE),"Missing")</f>
        <v>340</v>
      </c>
      <c r="Q247" s="25" t="str">
        <f>IF('03_Clean_data'!E247="","Missing",IFERROR(IF(VLOOKUP(E247,'04_Branch_Master'!$A$1:$C$7,1,FALSE)='03_Clean_data'!E247,"Valid","Invalid"),"Invalid"))</f>
        <v>Valid</v>
      </c>
      <c r="R247" s="25" t="str">
        <f>IFERROR(VLOOKUP(tbl_clean_sales[[#This Row],[Branch_ID]],'04_Branch_Master'!$A$1:$C$7,2,FALSE),"Missing")</f>
        <v>Palladam</v>
      </c>
      <c r="S247" s="25" t="str">
        <f>IFERROR(VLOOKUP(tbl_clean_sales[[#This Row],[Branch_ID]],'04_Branch_Master'!$A$1:$C$7,3,FALSE),"Missing")</f>
        <v>South</v>
      </c>
      <c r="T247" s="25" t="str">
        <f>C247&amp;"|"&amp;TEXT(tbl_clean_sales[[#This Row],[Date]],"yyyymm")</f>
        <v>E006|202606</v>
      </c>
      <c r="U247" s="25">
        <f>IFERROR(INDEX('05_Target_Master'!$A$1:$F$32,MATCH(tbl_clean_sales[[#This Row],[target key]],'05_Target_Master'!$F$1:$F$32,0),3),"Missing")</f>
        <v>125800</v>
      </c>
    </row>
    <row r="248" spans="1:21" x14ac:dyDescent="0.3">
      <c r="A248" s="21">
        <v>46169</v>
      </c>
      <c r="B248" s="22" t="s">
        <v>279</v>
      </c>
      <c r="C248" s="22" t="s">
        <v>24</v>
      </c>
      <c r="D248" s="22" t="s">
        <v>82</v>
      </c>
      <c r="E248" s="22" t="s">
        <v>26</v>
      </c>
      <c r="F248" s="22">
        <v>6</v>
      </c>
      <c r="G248" s="23">
        <v>676.17</v>
      </c>
      <c r="H248" s="25" t="str">
        <f>IF(COUNTIF(tbl_clean_sales[Invoice_ID],tbl_clean_sales[[#This Row],[Invoice_ID]])&gt;1,"Duplicate","Unique")</f>
        <v>Unique</v>
      </c>
      <c r="I248" s="25"/>
      <c r="J2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8" s="25" t="str">
        <f>IFERROR(VLOOKUP(tbl_clean_sales[[#This Row],[Employee_ID]],'02_Employee_Master'!$A$1:$C$12,2,FALSE),"Employee Name Missing")</f>
        <v>Karthik P</v>
      </c>
      <c r="L248" s="25" t="str">
        <f>IFERROR(VLOOKUP(tbl_clean_sales[[#This Row],[Employee_ID]],'02_Employee_Master'!$A$1:$C$12,3,FALSE),"Department Name Missing")</f>
        <v>Sales</v>
      </c>
      <c r="M248" s="25" t="str">
        <f>IF('03_Clean_data'!D248="","Missing",IFERROR(IF(VLOOKUP(D248,'03_Product_Master'!$A$1:$D$14,1,FALSE)='03_Clean_data'!D248,"Valid","Invalid"),"Invalid"))</f>
        <v>Valid</v>
      </c>
      <c r="N248" s="25" t="str">
        <f>IFERROR(VLOOKUP(tbl_clean_sales[[#This Row],[Product_ID]],'03_Product_Master'!$A$1:$D$14,2,FALSE),"Missing")</f>
        <v>Chocolate Bar</v>
      </c>
      <c r="O248" s="25" t="str">
        <f>IFERROR(VLOOKUP(tbl_clean_sales[[#This Row],[Product_ID]],'03_Product_Master'!$A$1:$D$14,3,FALSE),"Missing")</f>
        <v>Snacks</v>
      </c>
      <c r="P248" s="25">
        <f>IFERROR(VLOOKUP(tbl_clean_sales[[#This Row],[Product_ID]],'03_Product_Master'!$A$1:$D$14,4,FALSE),"Missing")</f>
        <v>120</v>
      </c>
      <c r="Q248" s="25" t="str">
        <f>IF('03_Clean_data'!E248="","Missing",IFERROR(IF(VLOOKUP(E248,'04_Branch_Master'!$A$1:$C$7,1,FALSE)='03_Clean_data'!E248,"Valid","Invalid"),"Invalid"))</f>
        <v>Valid</v>
      </c>
      <c r="R248" s="25" t="str">
        <f>IFERROR(VLOOKUP(tbl_clean_sales[[#This Row],[Branch_ID]],'04_Branch_Master'!$A$1:$C$7,2,FALSE),"Missing")</f>
        <v>Palladam</v>
      </c>
      <c r="S248" s="25" t="str">
        <f>IFERROR(VLOOKUP(tbl_clean_sales[[#This Row],[Branch_ID]],'04_Branch_Master'!$A$1:$C$7,3,FALSE),"Missing")</f>
        <v>South</v>
      </c>
      <c r="T248" s="25" t="str">
        <f>C248&amp;"|"&amp;TEXT(tbl_clean_sales[[#This Row],[Date]],"yyyymm")</f>
        <v>E005|202605</v>
      </c>
      <c r="U248" s="25">
        <f>IFERROR(INDEX('05_Target_Master'!$A$1:$F$32,MATCH(tbl_clean_sales[[#This Row],[target key]],'05_Target_Master'!$F$1:$F$32,0),3),"Missing")</f>
        <v>143700</v>
      </c>
    </row>
    <row r="249" spans="1:21" x14ac:dyDescent="0.3">
      <c r="A249" s="21">
        <v>46152</v>
      </c>
      <c r="B249" s="22" t="s">
        <v>280</v>
      </c>
      <c r="C249" s="22" t="s">
        <v>38</v>
      </c>
      <c r="D249" s="22" t="s">
        <v>48</v>
      </c>
      <c r="E249" s="22" t="s">
        <v>32</v>
      </c>
      <c r="F249" s="22">
        <v>6</v>
      </c>
      <c r="G249" s="23">
        <v>1404.31</v>
      </c>
      <c r="H249" s="25" t="str">
        <f>IF(COUNTIF(tbl_clean_sales[Invoice_ID],tbl_clean_sales[[#This Row],[Invoice_ID]])&gt;1,"Duplicate","Unique")</f>
        <v>Unique</v>
      </c>
      <c r="I249" s="25"/>
      <c r="J2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49" s="25" t="str">
        <f>IFERROR(VLOOKUP(tbl_clean_sales[[#This Row],[Employee_ID]],'02_Employee_Master'!$A$1:$C$12,2,FALSE),"Employee Name Missing")</f>
        <v>Nandhini K</v>
      </c>
      <c r="L249" s="25" t="str">
        <f>IFERROR(VLOOKUP(tbl_clean_sales[[#This Row],[Employee_ID]],'02_Employee_Master'!$A$1:$C$12,3,FALSE),"Department Name Missing")</f>
        <v>Sales</v>
      </c>
      <c r="M249" s="25" t="str">
        <f>IF('03_Clean_data'!D249="","Missing",IFERROR(IF(VLOOKUP(D249,'03_Product_Master'!$A$1:$D$14,1,FALSE)='03_Clean_data'!D249,"Valid","Invalid"),"Invalid"))</f>
        <v>Valid</v>
      </c>
      <c r="N249" s="25" t="str">
        <f>IFERROR(VLOOKUP(tbl_clean_sales[[#This Row],[Product_ID]],'03_Product_Master'!$A$1:$D$14,2,FALSE),"Missing")</f>
        <v>Face Wash</v>
      </c>
      <c r="O249" s="25" t="str">
        <f>IFERROR(VLOOKUP(tbl_clean_sales[[#This Row],[Product_ID]],'03_Product_Master'!$A$1:$D$14,3,FALSE),"Missing")</f>
        <v>Personal Care</v>
      </c>
      <c r="P249" s="25">
        <f>IFERROR(VLOOKUP(tbl_clean_sales[[#This Row],[Product_ID]],'03_Product_Master'!$A$1:$D$14,4,FALSE),"Missing")</f>
        <v>260</v>
      </c>
      <c r="Q249" s="25" t="str">
        <f>IF('03_Clean_data'!E249="","Missing",IFERROR(IF(VLOOKUP(E249,'04_Branch_Master'!$A$1:$C$7,1,FALSE)='03_Clean_data'!E249,"Valid","Invalid"),"Invalid"))</f>
        <v>Valid</v>
      </c>
      <c r="R249" s="25" t="str">
        <f>IFERROR(VLOOKUP(tbl_clean_sales[[#This Row],[Branch_ID]],'04_Branch_Master'!$A$1:$C$7,2,FALSE),"Missing")</f>
        <v>Kangeyam</v>
      </c>
      <c r="S249" s="25" t="str">
        <f>IFERROR(VLOOKUP(tbl_clean_sales[[#This Row],[Branch_ID]],'04_Branch_Master'!$A$1:$C$7,3,FALSE),"Missing")</f>
        <v>East</v>
      </c>
      <c r="T249" s="25" t="str">
        <f>C249&amp;"|"&amp;TEXT(tbl_clean_sales[[#This Row],[Date]],"yyyymm")</f>
        <v>E008|202605</v>
      </c>
      <c r="U249" s="25">
        <f>IFERROR(INDEX('05_Target_Master'!$A$1:$F$32,MATCH(tbl_clean_sales[[#This Row],[target key]],'05_Target_Master'!$F$1:$F$32,0),3),"Missing")</f>
        <v>134100</v>
      </c>
    </row>
    <row r="250" spans="1:21" x14ac:dyDescent="0.3">
      <c r="A250" s="21">
        <v>46122</v>
      </c>
      <c r="B250" s="22" t="s">
        <v>281</v>
      </c>
      <c r="C250" s="22" t="s">
        <v>21</v>
      </c>
      <c r="D250" s="22" t="s">
        <v>36</v>
      </c>
      <c r="E250" s="22" t="s">
        <v>22</v>
      </c>
      <c r="F250" s="22">
        <v>7</v>
      </c>
      <c r="G250" s="23">
        <v>1256.1500000000001</v>
      </c>
      <c r="H250" s="25" t="str">
        <f>IF(COUNTIF(tbl_clean_sales[Invoice_ID],tbl_clean_sales[[#This Row],[Invoice_ID]])&gt;1,"Duplicate","Unique")</f>
        <v>Unique</v>
      </c>
      <c r="I250" s="25"/>
      <c r="J2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0" s="25" t="str">
        <f>IFERROR(VLOOKUP(tbl_clean_sales[[#This Row],[Employee_ID]],'02_Employee_Master'!$A$1:$C$12,2,FALSE),"Employee Name Missing")</f>
        <v>Priya S</v>
      </c>
      <c r="L250" s="25" t="str">
        <f>IFERROR(VLOOKUP(tbl_clean_sales[[#This Row],[Employee_ID]],'02_Employee_Master'!$A$1:$C$12,3,FALSE),"Department Name Missing")</f>
        <v>Sales</v>
      </c>
      <c r="M250" s="25" t="str">
        <f>IF('03_Clean_data'!D250="","Missing",IFERROR(IF(VLOOKUP(D250,'03_Product_Master'!$A$1:$D$14,1,FALSE)='03_Clean_data'!D250,"Valid","Invalid"),"Invalid"))</f>
        <v>Valid</v>
      </c>
      <c r="N250" s="25" t="str">
        <f>IFERROR(VLOOKUP(tbl_clean_sales[[#This Row],[Product_ID]],'03_Product_Master'!$A$1:$D$14,2,FALSE),"Missing")</f>
        <v>Dish Wash</v>
      </c>
      <c r="O250" s="25" t="str">
        <f>IFERROR(VLOOKUP(tbl_clean_sales[[#This Row],[Product_ID]],'03_Product_Master'!$A$1:$D$14,3,FALSE),"Missing")</f>
        <v>Home Care</v>
      </c>
      <c r="P250" s="25">
        <f>IFERROR(VLOOKUP(tbl_clean_sales[[#This Row],[Product_ID]],'03_Product_Master'!$A$1:$D$14,4,FALSE),"Missing")</f>
        <v>190</v>
      </c>
      <c r="Q250" s="25" t="str">
        <f>IF('03_Clean_data'!E250="","Missing",IFERROR(IF(VLOOKUP(E250,'04_Branch_Master'!$A$1:$C$7,1,FALSE)='03_Clean_data'!E250,"Valid","Invalid"),"Invalid"))</f>
        <v>Valid</v>
      </c>
      <c r="R250" s="25" t="str">
        <f>IFERROR(VLOOKUP(tbl_clean_sales[[#This Row],[Branch_ID]],'04_Branch_Master'!$A$1:$C$7,2,FALSE),"Missing")</f>
        <v>Tirupur Central</v>
      </c>
      <c r="S250" s="25" t="str">
        <f>IFERROR(VLOOKUP(tbl_clean_sales[[#This Row],[Branch_ID]],'04_Branch_Master'!$A$1:$C$7,3,FALSE),"Missing")</f>
        <v>North</v>
      </c>
      <c r="T250" s="25" t="str">
        <f>C250&amp;"|"&amp;TEXT(tbl_clean_sales[[#This Row],[Date]],"yyyymm")</f>
        <v>E002|202604</v>
      </c>
      <c r="U250" s="25">
        <f>IFERROR(INDEX('05_Target_Master'!$A$1:$F$32,MATCH(tbl_clean_sales[[#This Row],[target key]],'05_Target_Master'!$F$1:$F$32,0),3),"Missing")</f>
        <v>122300</v>
      </c>
    </row>
    <row r="251" spans="1:21" x14ac:dyDescent="0.3">
      <c r="A251" s="21">
        <v>46183</v>
      </c>
      <c r="B251" s="22" t="s">
        <v>282</v>
      </c>
      <c r="C251" s="22" t="s">
        <v>74</v>
      </c>
      <c r="D251" s="22" t="s">
        <v>48</v>
      </c>
      <c r="E251" s="22" t="s">
        <v>10</v>
      </c>
      <c r="F251" s="22">
        <v>11</v>
      </c>
      <c r="G251" s="23">
        <v>2795.4</v>
      </c>
      <c r="H251" s="25" t="str">
        <f>IF(COUNTIF(tbl_clean_sales[Invoice_ID],tbl_clean_sales[[#This Row],[Invoice_ID]])&gt;1,"Duplicate","Unique")</f>
        <v>Unique</v>
      </c>
      <c r="I251" s="25"/>
      <c r="J2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1" s="25" t="str">
        <f>IFERROR(VLOOKUP(tbl_clean_sales[[#This Row],[Employee_ID]],'02_Employee_Master'!$A$1:$C$12,2,FALSE),"Employee Name Missing")</f>
        <v>Arun Kumar</v>
      </c>
      <c r="L251" s="25" t="str">
        <f>IFERROR(VLOOKUP(tbl_clean_sales[[#This Row],[Employee_ID]],'02_Employee_Master'!$A$1:$C$12,3,FALSE),"Department Name Missing")</f>
        <v>Sales</v>
      </c>
      <c r="M251" s="25" t="str">
        <f>IF('03_Clean_data'!D251="","Missing",IFERROR(IF(VLOOKUP(D251,'03_Product_Master'!$A$1:$D$14,1,FALSE)='03_Clean_data'!D251,"Valid","Invalid"),"Invalid"))</f>
        <v>Valid</v>
      </c>
      <c r="N251" s="25" t="str">
        <f>IFERROR(VLOOKUP(tbl_clean_sales[[#This Row],[Product_ID]],'03_Product_Master'!$A$1:$D$14,2,FALSE),"Missing")</f>
        <v>Face Wash</v>
      </c>
      <c r="O251" s="25" t="str">
        <f>IFERROR(VLOOKUP(tbl_clean_sales[[#This Row],[Product_ID]],'03_Product_Master'!$A$1:$D$14,3,FALSE),"Missing")</f>
        <v>Personal Care</v>
      </c>
      <c r="P251" s="25">
        <f>IFERROR(VLOOKUP(tbl_clean_sales[[#This Row],[Product_ID]],'03_Product_Master'!$A$1:$D$14,4,FALSE),"Missing")</f>
        <v>260</v>
      </c>
      <c r="Q251" s="25" t="str">
        <f>IF('03_Clean_data'!E251="","Missing",IFERROR(IF(VLOOKUP(E251,'04_Branch_Master'!$A$1:$C$7,1,FALSE)='03_Clean_data'!E251,"Valid","Invalid"),"Invalid"))</f>
        <v>Valid</v>
      </c>
      <c r="R251" s="25" t="str">
        <f>IFERROR(VLOOKUP(tbl_clean_sales[[#This Row],[Branch_ID]],'04_Branch_Master'!$A$1:$C$7,2,FALSE),"Missing")</f>
        <v>Dharapuram</v>
      </c>
      <c r="S251" s="25" t="str">
        <f>IFERROR(VLOOKUP(tbl_clean_sales[[#This Row],[Branch_ID]],'04_Branch_Master'!$A$1:$C$7,3,FALSE),"Missing")</f>
        <v>South</v>
      </c>
      <c r="T251" s="25" t="str">
        <f>C251&amp;"|"&amp;TEXT(tbl_clean_sales[[#This Row],[Date]],"yyyymm")</f>
        <v>E001|202606</v>
      </c>
      <c r="U251" s="25">
        <f>IFERROR(INDEX('05_Target_Master'!$A$1:$F$32,MATCH(tbl_clean_sales[[#This Row],[target key]],'05_Target_Master'!$F$1:$F$32,0),3),"Missing")</f>
        <v>150600</v>
      </c>
    </row>
    <row r="252" spans="1:21" x14ac:dyDescent="0.3">
      <c r="A252" s="21">
        <v>46190</v>
      </c>
      <c r="B252" s="22" t="s">
        <v>283</v>
      </c>
      <c r="C252" s="22" t="s">
        <v>38</v>
      </c>
      <c r="D252" s="22" t="s">
        <v>13</v>
      </c>
      <c r="E252" s="22" t="s">
        <v>32</v>
      </c>
      <c r="F252" s="22">
        <v>1</v>
      </c>
      <c r="G252" s="23">
        <v>368.92</v>
      </c>
      <c r="H252" s="25" t="str">
        <f>IF(COUNTIF(tbl_clean_sales[Invoice_ID],tbl_clean_sales[[#This Row],[Invoice_ID]])&gt;1,"Duplicate","Unique")</f>
        <v>Unique</v>
      </c>
      <c r="I252" s="25"/>
      <c r="J25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2" s="25" t="str">
        <f>IFERROR(VLOOKUP(tbl_clean_sales[[#This Row],[Employee_ID]],'02_Employee_Master'!$A$1:$C$12,2,FALSE),"Employee Name Missing")</f>
        <v>Nandhini K</v>
      </c>
      <c r="L252" s="25" t="str">
        <f>IFERROR(VLOOKUP(tbl_clean_sales[[#This Row],[Employee_ID]],'02_Employee_Master'!$A$1:$C$12,3,FALSE),"Department Name Missing")</f>
        <v>Sales</v>
      </c>
      <c r="M252" s="25" t="str">
        <f>IF('03_Clean_data'!D252="","Missing",IFERROR(IF(VLOOKUP(D252,'03_Product_Master'!$A$1:$D$14,1,FALSE)='03_Clean_data'!D252,"Valid","Invalid"),"Invalid"))</f>
        <v>Valid</v>
      </c>
      <c r="N252" s="25" t="str">
        <f>IFERROR(VLOOKUP(tbl_clean_sales[[#This Row],[Product_ID]],'03_Product_Master'!$A$1:$D$14,2,FALSE),"Missing")</f>
        <v>Body Lotion</v>
      </c>
      <c r="O252" s="25" t="str">
        <f>IFERROR(VLOOKUP(tbl_clean_sales[[#This Row],[Product_ID]],'03_Product_Master'!$A$1:$D$14,3,FALSE),"Missing")</f>
        <v>Personal Care</v>
      </c>
      <c r="P252" s="25">
        <f>IFERROR(VLOOKUP(tbl_clean_sales[[#This Row],[Product_ID]],'03_Product_Master'!$A$1:$D$14,4,FALSE),"Missing")</f>
        <v>390</v>
      </c>
      <c r="Q252" s="25" t="str">
        <f>IF('03_Clean_data'!E252="","Missing",IFERROR(IF(VLOOKUP(E252,'04_Branch_Master'!$A$1:$C$7,1,FALSE)='03_Clean_data'!E252,"Valid","Invalid"),"Invalid"))</f>
        <v>Valid</v>
      </c>
      <c r="R252" s="25" t="str">
        <f>IFERROR(VLOOKUP(tbl_clean_sales[[#This Row],[Branch_ID]],'04_Branch_Master'!$A$1:$C$7,2,FALSE),"Missing")</f>
        <v>Kangeyam</v>
      </c>
      <c r="S252" s="25" t="str">
        <f>IFERROR(VLOOKUP(tbl_clean_sales[[#This Row],[Branch_ID]],'04_Branch_Master'!$A$1:$C$7,3,FALSE),"Missing")</f>
        <v>East</v>
      </c>
      <c r="T252" s="25" t="str">
        <f>C252&amp;"|"&amp;TEXT(tbl_clean_sales[[#This Row],[Date]],"yyyymm")</f>
        <v>E008|202606</v>
      </c>
      <c r="U252" s="25">
        <f>IFERROR(INDEX('05_Target_Master'!$A$1:$F$32,MATCH(tbl_clean_sales[[#This Row],[target key]],'05_Target_Master'!$F$1:$F$32,0),3),"Missing")</f>
        <v>119200</v>
      </c>
    </row>
    <row r="253" spans="1:21" x14ac:dyDescent="0.3">
      <c r="A253" s="21">
        <v>46156</v>
      </c>
      <c r="B253" s="22" t="s">
        <v>284</v>
      </c>
      <c r="C253" s="22" t="s">
        <v>21</v>
      </c>
      <c r="D253" s="22" t="s">
        <v>13</v>
      </c>
      <c r="E253" s="22" t="s">
        <v>22</v>
      </c>
      <c r="F253" s="22">
        <v>1</v>
      </c>
      <c r="G253" s="23">
        <v>378.41</v>
      </c>
      <c r="H253" s="25" t="str">
        <f>IF(COUNTIF(tbl_clean_sales[Invoice_ID],tbl_clean_sales[[#This Row],[Invoice_ID]])&gt;1,"Duplicate","Unique")</f>
        <v>Unique</v>
      </c>
      <c r="I253" s="25"/>
      <c r="J25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3" s="25" t="str">
        <f>IFERROR(VLOOKUP(tbl_clean_sales[[#This Row],[Employee_ID]],'02_Employee_Master'!$A$1:$C$12,2,FALSE),"Employee Name Missing")</f>
        <v>Priya S</v>
      </c>
      <c r="L253" s="25" t="str">
        <f>IFERROR(VLOOKUP(tbl_clean_sales[[#This Row],[Employee_ID]],'02_Employee_Master'!$A$1:$C$12,3,FALSE),"Department Name Missing")</f>
        <v>Sales</v>
      </c>
      <c r="M253" s="25" t="str">
        <f>IF('03_Clean_data'!D253="","Missing",IFERROR(IF(VLOOKUP(D253,'03_Product_Master'!$A$1:$D$14,1,FALSE)='03_Clean_data'!D253,"Valid","Invalid"),"Invalid"))</f>
        <v>Valid</v>
      </c>
      <c r="N253" s="25" t="str">
        <f>IFERROR(VLOOKUP(tbl_clean_sales[[#This Row],[Product_ID]],'03_Product_Master'!$A$1:$D$14,2,FALSE),"Missing")</f>
        <v>Body Lotion</v>
      </c>
      <c r="O253" s="25" t="str">
        <f>IFERROR(VLOOKUP(tbl_clean_sales[[#This Row],[Product_ID]],'03_Product_Master'!$A$1:$D$14,3,FALSE),"Missing")</f>
        <v>Personal Care</v>
      </c>
      <c r="P253" s="25">
        <f>IFERROR(VLOOKUP(tbl_clean_sales[[#This Row],[Product_ID]],'03_Product_Master'!$A$1:$D$14,4,FALSE),"Missing")</f>
        <v>390</v>
      </c>
      <c r="Q253" s="25" t="str">
        <f>IF('03_Clean_data'!E253="","Missing",IFERROR(IF(VLOOKUP(E253,'04_Branch_Master'!$A$1:$C$7,1,FALSE)='03_Clean_data'!E253,"Valid","Invalid"),"Invalid"))</f>
        <v>Valid</v>
      </c>
      <c r="R253" s="25" t="str">
        <f>IFERROR(VLOOKUP(tbl_clean_sales[[#This Row],[Branch_ID]],'04_Branch_Master'!$A$1:$C$7,2,FALSE),"Missing")</f>
        <v>Tirupur Central</v>
      </c>
      <c r="S253" s="25" t="str">
        <f>IFERROR(VLOOKUP(tbl_clean_sales[[#This Row],[Branch_ID]],'04_Branch_Master'!$A$1:$C$7,3,FALSE),"Missing")</f>
        <v>North</v>
      </c>
      <c r="T253" s="25" t="str">
        <f>C253&amp;"|"&amp;TEXT(tbl_clean_sales[[#This Row],[Date]],"yyyymm")</f>
        <v>E002|202605</v>
      </c>
      <c r="U253" s="25">
        <f>IFERROR(INDEX('05_Target_Master'!$A$1:$F$32,MATCH(tbl_clean_sales[[#This Row],[target key]],'05_Target_Master'!$F$1:$F$32,0),3),"Missing")</f>
        <v>132100</v>
      </c>
    </row>
    <row r="254" spans="1:21" x14ac:dyDescent="0.3">
      <c r="A254" s="21">
        <v>46169</v>
      </c>
      <c r="B254" s="22" t="s">
        <v>285</v>
      </c>
      <c r="C254" s="22" t="s">
        <v>38</v>
      </c>
      <c r="D254" s="22" t="s">
        <v>13</v>
      </c>
      <c r="E254" s="22" t="s">
        <v>32</v>
      </c>
      <c r="F254" s="22">
        <v>3</v>
      </c>
      <c r="G254" s="23">
        <v>1118.9100000000001</v>
      </c>
      <c r="H254" s="25" t="str">
        <f>IF(COUNTIF(tbl_clean_sales[Invoice_ID],tbl_clean_sales[[#This Row],[Invoice_ID]])&gt;1,"Duplicate","Unique")</f>
        <v>Unique</v>
      </c>
      <c r="I254" s="25"/>
      <c r="J25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4" s="25" t="str">
        <f>IFERROR(VLOOKUP(tbl_clean_sales[[#This Row],[Employee_ID]],'02_Employee_Master'!$A$1:$C$12,2,FALSE),"Employee Name Missing")</f>
        <v>Nandhini K</v>
      </c>
      <c r="L254" s="25" t="str">
        <f>IFERROR(VLOOKUP(tbl_clean_sales[[#This Row],[Employee_ID]],'02_Employee_Master'!$A$1:$C$12,3,FALSE),"Department Name Missing")</f>
        <v>Sales</v>
      </c>
      <c r="M254" s="25" t="str">
        <f>IF('03_Clean_data'!D254="","Missing",IFERROR(IF(VLOOKUP(D254,'03_Product_Master'!$A$1:$D$14,1,FALSE)='03_Clean_data'!D254,"Valid","Invalid"),"Invalid"))</f>
        <v>Valid</v>
      </c>
      <c r="N254" s="25" t="str">
        <f>IFERROR(VLOOKUP(tbl_clean_sales[[#This Row],[Product_ID]],'03_Product_Master'!$A$1:$D$14,2,FALSE),"Missing")</f>
        <v>Body Lotion</v>
      </c>
      <c r="O254" s="25" t="str">
        <f>IFERROR(VLOOKUP(tbl_clean_sales[[#This Row],[Product_ID]],'03_Product_Master'!$A$1:$D$14,3,FALSE),"Missing")</f>
        <v>Personal Care</v>
      </c>
      <c r="P254" s="25">
        <f>IFERROR(VLOOKUP(tbl_clean_sales[[#This Row],[Product_ID]],'03_Product_Master'!$A$1:$D$14,4,FALSE),"Missing")</f>
        <v>390</v>
      </c>
      <c r="Q254" s="25" t="str">
        <f>IF('03_Clean_data'!E254="","Missing",IFERROR(IF(VLOOKUP(E254,'04_Branch_Master'!$A$1:$C$7,1,FALSE)='03_Clean_data'!E254,"Valid","Invalid"),"Invalid"))</f>
        <v>Valid</v>
      </c>
      <c r="R254" s="25" t="str">
        <f>IFERROR(VLOOKUP(tbl_clean_sales[[#This Row],[Branch_ID]],'04_Branch_Master'!$A$1:$C$7,2,FALSE),"Missing")</f>
        <v>Kangeyam</v>
      </c>
      <c r="S254" s="25" t="str">
        <f>IFERROR(VLOOKUP(tbl_clean_sales[[#This Row],[Branch_ID]],'04_Branch_Master'!$A$1:$C$7,3,FALSE),"Missing")</f>
        <v>East</v>
      </c>
      <c r="T254" s="25" t="str">
        <f>C254&amp;"|"&amp;TEXT(tbl_clean_sales[[#This Row],[Date]],"yyyymm")</f>
        <v>E008|202605</v>
      </c>
      <c r="U254" s="25">
        <f>IFERROR(INDEX('05_Target_Master'!$A$1:$F$32,MATCH(tbl_clean_sales[[#This Row],[target key]],'05_Target_Master'!$F$1:$F$32,0),3),"Missing")</f>
        <v>134100</v>
      </c>
    </row>
    <row r="255" spans="1:21" x14ac:dyDescent="0.3">
      <c r="A255" s="21">
        <v>46149</v>
      </c>
      <c r="B255" s="22" t="s">
        <v>286</v>
      </c>
      <c r="C255" s="22" t="s">
        <v>46</v>
      </c>
      <c r="D255" s="22" t="s">
        <v>16</v>
      </c>
      <c r="E255" s="22" t="s">
        <v>32</v>
      </c>
      <c r="F255" s="22">
        <v>11</v>
      </c>
      <c r="G255" s="23">
        <v>3165.35</v>
      </c>
      <c r="H255" s="25" t="str">
        <f>IF(COUNTIF(tbl_clean_sales[Invoice_ID],tbl_clean_sales[[#This Row],[Invoice_ID]])&gt;1,"Duplicate","Unique")</f>
        <v>Unique</v>
      </c>
      <c r="I255" s="25"/>
      <c r="J25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5" s="25" t="str">
        <f>IFERROR(VLOOKUP(tbl_clean_sales[[#This Row],[Employee_ID]],'02_Employee_Master'!$A$1:$C$12,2,FALSE),"Employee Name Missing")</f>
        <v>Suresh B</v>
      </c>
      <c r="L255" s="25" t="str">
        <f>IFERROR(VLOOKUP(tbl_clean_sales[[#This Row],[Employee_ID]],'02_Employee_Master'!$A$1:$C$12,3,FALSE),"Department Name Missing")</f>
        <v>Sales</v>
      </c>
      <c r="M255" s="25" t="str">
        <f>IF('03_Clean_data'!D255="","Missing",IFERROR(IF(VLOOKUP(D255,'03_Product_Master'!$A$1:$D$14,1,FALSE)='03_Clean_data'!D255,"Valid","Invalid"),"Invalid"))</f>
        <v>Valid</v>
      </c>
      <c r="N255" s="25" t="str">
        <f>IFERROR(VLOOKUP(tbl_clean_sales[[#This Row],[Product_ID]],'03_Product_Master'!$A$1:$D$14,2,FALSE),"Missing")</f>
        <v>Shampoo</v>
      </c>
      <c r="O255" s="25" t="str">
        <f>IFERROR(VLOOKUP(tbl_clean_sales[[#This Row],[Product_ID]],'03_Product_Master'!$A$1:$D$14,3,FALSE),"Missing")</f>
        <v>Personal Care</v>
      </c>
      <c r="P255" s="25">
        <f>IFERROR(VLOOKUP(tbl_clean_sales[[#This Row],[Product_ID]],'03_Product_Master'!$A$1:$D$14,4,FALSE),"Missing")</f>
        <v>310</v>
      </c>
      <c r="Q255" s="25" t="str">
        <f>IF('03_Clean_data'!E255="","Missing",IFERROR(IF(VLOOKUP(E255,'04_Branch_Master'!$A$1:$C$7,1,FALSE)='03_Clean_data'!E255,"Valid","Invalid"),"Invalid"))</f>
        <v>Valid</v>
      </c>
      <c r="R255" s="25" t="str">
        <f>IFERROR(VLOOKUP(tbl_clean_sales[[#This Row],[Branch_ID]],'04_Branch_Master'!$A$1:$C$7,2,FALSE),"Missing")</f>
        <v>Kangeyam</v>
      </c>
      <c r="S255" s="25" t="str">
        <f>IFERROR(VLOOKUP(tbl_clean_sales[[#This Row],[Branch_ID]],'04_Branch_Master'!$A$1:$C$7,3,FALSE),"Missing")</f>
        <v>East</v>
      </c>
      <c r="T255" s="25" t="str">
        <f>C255&amp;"|"&amp;TEXT(tbl_clean_sales[[#This Row],[Date]],"yyyymm")</f>
        <v>E007|202605</v>
      </c>
      <c r="U255" s="25">
        <f>IFERROR(INDEX('05_Target_Master'!$A$1:$F$32,MATCH(tbl_clean_sales[[#This Row],[target key]],'05_Target_Master'!$F$1:$F$32,0),3),"Missing")</f>
        <v>140000</v>
      </c>
    </row>
    <row r="256" spans="1:21" x14ac:dyDescent="0.3">
      <c r="A256" s="21">
        <v>46193</v>
      </c>
      <c r="B256" s="22" t="s">
        <v>287</v>
      </c>
      <c r="C256" s="22" t="s">
        <v>40</v>
      </c>
      <c r="D256" s="22" t="s">
        <v>9</v>
      </c>
      <c r="E256" s="22" t="s">
        <v>26</v>
      </c>
      <c r="F256" s="22">
        <v>9</v>
      </c>
      <c r="G256" s="23">
        <v>2314.86</v>
      </c>
      <c r="H256" s="25" t="str">
        <f>IF(COUNTIF(tbl_clean_sales[Invoice_ID],tbl_clean_sales[[#This Row],[Invoice_ID]])&gt;1,"Duplicate","Unique")</f>
        <v>Unique</v>
      </c>
      <c r="I256" s="25"/>
      <c r="J25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6" s="25" t="str">
        <f>IFERROR(VLOOKUP(tbl_clean_sales[[#This Row],[Employee_ID]],'02_Employee_Master'!$A$1:$C$12,2,FALSE),"Employee Name Missing")</f>
        <v>Meena V</v>
      </c>
      <c r="L256" s="25" t="str">
        <f>IFERROR(VLOOKUP(tbl_clean_sales[[#This Row],[Employee_ID]],'02_Employee_Master'!$A$1:$C$12,3,FALSE),"Department Name Missing")</f>
        <v>Sales</v>
      </c>
      <c r="M256" s="25" t="str">
        <f>IF('03_Clean_data'!D256="","Missing",IFERROR(IF(VLOOKUP(D256,'03_Product_Master'!$A$1:$D$14,1,FALSE)='03_Clean_data'!D256,"Valid","Invalid"),"Invalid"))</f>
        <v>Valid</v>
      </c>
      <c r="N256" s="25" t="str">
        <f>IFERROR(VLOOKUP(tbl_clean_sales[[#This Row],[Product_ID]],'03_Product_Master'!$A$1:$D$14,2,FALSE),"Missing")</f>
        <v>Green Tea</v>
      </c>
      <c r="O256" s="25" t="str">
        <f>IFERROR(VLOOKUP(tbl_clean_sales[[#This Row],[Product_ID]],'03_Product_Master'!$A$1:$D$14,3,FALSE),"Missing")</f>
        <v>Beverages</v>
      </c>
      <c r="P256" s="25">
        <f>IFERROR(VLOOKUP(tbl_clean_sales[[#This Row],[Product_ID]],'03_Product_Master'!$A$1:$D$14,4,FALSE),"Missing")</f>
        <v>280</v>
      </c>
      <c r="Q256" s="25" t="str">
        <f>IF('03_Clean_data'!E256="","Missing",IFERROR(IF(VLOOKUP(E256,'04_Branch_Master'!$A$1:$C$7,1,FALSE)='03_Clean_data'!E256,"Valid","Invalid"),"Invalid"))</f>
        <v>Valid</v>
      </c>
      <c r="R256" s="25" t="str">
        <f>IFERROR(VLOOKUP(tbl_clean_sales[[#This Row],[Branch_ID]],'04_Branch_Master'!$A$1:$C$7,2,FALSE),"Missing")</f>
        <v>Palladam</v>
      </c>
      <c r="S256" s="25" t="str">
        <f>IFERROR(VLOOKUP(tbl_clean_sales[[#This Row],[Branch_ID]],'04_Branch_Master'!$A$1:$C$7,3,FALSE),"Missing")</f>
        <v>South</v>
      </c>
      <c r="T256" s="25" t="str">
        <f>C256&amp;"|"&amp;TEXT(tbl_clean_sales[[#This Row],[Date]],"yyyymm")</f>
        <v>E006|202606</v>
      </c>
      <c r="U256" s="25">
        <f>IFERROR(INDEX('05_Target_Master'!$A$1:$F$32,MATCH(tbl_clean_sales[[#This Row],[target key]],'05_Target_Master'!$F$1:$F$32,0),3),"Missing")</f>
        <v>125800</v>
      </c>
    </row>
    <row r="257" spans="1:21" x14ac:dyDescent="0.3">
      <c r="A257" s="21">
        <v>46149</v>
      </c>
      <c r="B257" s="22" t="s">
        <v>288</v>
      </c>
      <c r="C257" s="22" t="s">
        <v>24</v>
      </c>
      <c r="D257" s="22" t="s">
        <v>19</v>
      </c>
      <c r="E257" s="22" t="s">
        <v>10</v>
      </c>
      <c r="F257" s="22">
        <v>3</v>
      </c>
      <c r="G257" s="23">
        <v>662.4</v>
      </c>
      <c r="H257" s="25" t="str">
        <f>IF(COUNTIF(tbl_clean_sales[Invoice_ID],tbl_clean_sales[[#This Row],[Invoice_ID]])&gt;1,"Duplicate","Unique")</f>
        <v>Unique</v>
      </c>
      <c r="I257" s="25"/>
      <c r="J25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7" s="25" t="str">
        <f>IFERROR(VLOOKUP(tbl_clean_sales[[#This Row],[Employee_ID]],'02_Employee_Master'!$A$1:$C$12,2,FALSE),"Employee Name Missing")</f>
        <v>Karthik P</v>
      </c>
      <c r="L257" s="25" t="str">
        <f>IFERROR(VLOOKUP(tbl_clean_sales[[#This Row],[Employee_ID]],'02_Employee_Master'!$A$1:$C$12,3,FALSE),"Department Name Missing")</f>
        <v>Sales</v>
      </c>
      <c r="M257" s="25" t="str">
        <f>IF('03_Clean_data'!D257="","Missing",IFERROR(IF(VLOOKUP(D257,'03_Product_Master'!$A$1:$D$14,1,FALSE)='03_Clean_data'!D257,"Valid","Invalid"),"Invalid"))</f>
        <v>Valid</v>
      </c>
      <c r="N257" s="25" t="str">
        <f>IFERROR(VLOOKUP(tbl_clean_sales[[#This Row],[Product_ID]],'03_Product_Master'!$A$1:$D$14,2,FALSE),"Missing")</f>
        <v>Floor Cleaner</v>
      </c>
      <c r="O257" s="25" t="str">
        <f>IFERROR(VLOOKUP(tbl_clean_sales[[#This Row],[Product_ID]],'03_Product_Master'!$A$1:$D$14,3,FALSE),"Missing")</f>
        <v>Home Care</v>
      </c>
      <c r="P257" s="25">
        <f>IFERROR(VLOOKUP(tbl_clean_sales[[#This Row],[Product_ID]],'03_Product_Master'!$A$1:$D$14,4,FALSE),"Missing")</f>
        <v>230</v>
      </c>
      <c r="Q257" s="25" t="str">
        <f>IF('03_Clean_data'!E257="","Missing",IFERROR(IF(VLOOKUP(E257,'04_Branch_Master'!$A$1:$C$7,1,FALSE)='03_Clean_data'!E257,"Valid","Invalid"),"Invalid"))</f>
        <v>Valid</v>
      </c>
      <c r="R257" s="25" t="str">
        <f>IFERROR(VLOOKUP(tbl_clean_sales[[#This Row],[Branch_ID]],'04_Branch_Master'!$A$1:$C$7,2,FALSE),"Missing")</f>
        <v>Dharapuram</v>
      </c>
      <c r="S257" s="25" t="str">
        <f>IFERROR(VLOOKUP(tbl_clean_sales[[#This Row],[Branch_ID]],'04_Branch_Master'!$A$1:$C$7,3,FALSE),"Missing")</f>
        <v>South</v>
      </c>
      <c r="T257" s="25" t="str">
        <f>C257&amp;"|"&amp;TEXT(tbl_clean_sales[[#This Row],[Date]],"yyyymm")</f>
        <v>E005|202605</v>
      </c>
      <c r="U257" s="25">
        <f>IFERROR(INDEX('05_Target_Master'!$A$1:$F$32,MATCH(tbl_clean_sales[[#This Row],[target key]],'05_Target_Master'!$F$1:$F$32,0),3),"Missing")</f>
        <v>143700</v>
      </c>
    </row>
    <row r="258" spans="1:21" x14ac:dyDescent="0.3">
      <c r="A258" s="21">
        <v>46187</v>
      </c>
      <c r="B258" s="22" t="s">
        <v>289</v>
      </c>
      <c r="C258" s="22" t="s">
        <v>18</v>
      </c>
      <c r="D258" s="22" t="s">
        <v>34</v>
      </c>
      <c r="E258" s="22" t="s">
        <v>14</v>
      </c>
      <c r="F258" s="22">
        <v>11</v>
      </c>
      <c r="G258" s="23">
        <v>1108.58</v>
      </c>
      <c r="H258" s="25" t="str">
        <f>IF(COUNTIF(tbl_clean_sales[Invoice_ID],tbl_clean_sales[[#This Row],[Invoice_ID]])&gt;1,"Duplicate","Unique")</f>
        <v>Unique</v>
      </c>
      <c r="I258" s="25"/>
      <c r="J25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8" s="25" t="str">
        <f>IFERROR(VLOOKUP(tbl_clean_sales[[#This Row],[Employee_ID]],'02_Employee_Master'!$A$1:$C$12,2,FALSE),"Employee Name Missing")</f>
        <v>Rahul M</v>
      </c>
      <c r="L258" s="25" t="str">
        <f>IFERROR(VLOOKUP(tbl_clean_sales[[#This Row],[Employee_ID]],'02_Employee_Master'!$A$1:$C$12,3,FALSE),"Department Name Missing")</f>
        <v>Sales</v>
      </c>
      <c r="M258" s="25" t="str">
        <f>IF('03_Clean_data'!D258="","Missing",IFERROR(IF(VLOOKUP(D258,'03_Product_Master'!$A$1:$D$14,1,FALSE)='03_Clean_data'!D258,"Valid","Invalid"),"Invalid"))</f>
        <v>Valid</v>
      </c>
      <c r="N258" s="25" t="str">
        <f>IFERROR(VLOOKUP(tbl_clean_sales[[#This Row],[Product_ID]],'03_Product_Master'!$A$1:$D$14,2,FALSE),"Missing")</f>
        <v>Potato Chips</v>
      </c>
      <c r="O258" s="25" t="str">
        <f>IFERROR(VLOOKUP(tbl_clean_sales[[#This Row],[Product_ID]],'03_Product_Master'!$A$1:$D$14,3,FALSE),"Missing")</f>
        <v>Snacks</v>
      </c>
      <c r="P258" s="25">
        <f>IFERROR(VLOOKUP(tbl_clean_sales[[#This Row],[Product_ID]],'03_Product_Master'!$A$1:$D$14,4,FALSE),"Missing")</f>
        <v>110</v>
      </c>
      <c r="Q258" s="25" t="str">
        <f>IF('03_Clean_data'!E258="","Missing",IFERROR(IF(VLOOKUP(E258,'04_Branch_Master'!$A$1:$C$7,1,FALSE)='03_Clean_data'!E258,"Valid","Invalid"),"Invalid"))</f>
        <v>Valid</v>
      </c>
      <c r="R258" s="25" t="str">
        <f>IFERROR(VLOOKUP(tbl_clean_sales[[#This Row],[Branch_ID]],'04_Branch_Master'!$A$1:$C$7,2,FALSE),"Missing")</f>
        <v>Avinashi Road</v>
      </c>
      <c r="S258" s="25" t="str">
        <f>IFERROR(VLOOKUP(tbl_clean_sales[[#This Row],[Branch_ID]],'04_Branch_Master'!$A$1:$C$7,3,FALSE),"Missing")</f>
        <v>North</v>
      </c>
      <c r="T258" s="25" t="str">
        <f>C258&amp;"|"&amp;TEXT(tbl_clean_sales[[#This Row],[Date]],"yyyymm")</f>
        <v>E003|202606</v>
      </c>
      <c r="U258" s="25">
        <f>IFERROR(INDEX('05_Target_Master'!$A$1:$F$32,MATCH(tbl_clean_sales[[#This Row],[target key]],'05_Target_Master'!$F$1:$F$32,0),3),"Missing")</f>
        <v>112000</v>
      </c>
    </row>
    <row r="259" spans="1:21" x14ac:dyDescent="0.3">
      <c r="A259" s="21">
        <v>46163</v>
      </c>
      <c r="B259" s="22" t="s">
        <v>290</v>
      </c>
      <c r="C259" s="22" t="s">
        <v>18</v>
      </c>
      <c r="D259" s="22" t="s">
        <v>36</v>
      </c>
      <c r="E259" s="22" t="s">
        <v>14</v>
      </c>
      <c r="F259" s="22">
        <v>2</v>
      </c>
      <c r="G259" s="23">
        <v>365.88</v>
      </c>
      <c r="H259" s="25" t="str">
        <f>IF(COUNTIF(tbl_clean_sales[Invoice_ID],tbl_clean_sales[[#This Row],[Invoice_ID]])&gt;1,"Duplicate","Unique")</f>
        <v>Unique</v>
      </c>
      <c r="I259" s="25"/>
      <c r="J25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59" s="25" t="str">
        <f>IFERROR(VLOOKUP(tbl_clean_sales[[#This Row],[Employee_ID]],'02_Employee_Master'!$A$1:$C$12,2,FALSE),"Employee Name Missing")</f>
        <v>Rahul M</v>
      </c>
      <c r="L259" s="25" t="str">
        <f>IFERROR(VLOOKUP(tbl_clean_sales[[#This Row],[Employee_ID]],'02_Employee_Master'!$A$1:$C$12,3,FALSE),"Department Name Missing")</f>
        <v>Sales</v>
      </c>
      <c r="M259" s="25" t="str">
        <f>IF('03_Clean_data'!D259="","Missing",IFERROR(IF(VLOOKUP(D259,'03_Product_Master'!$A$1:$D$14,1,FALSE)='03_Clean_data'!D259,"Valid","Invalid"),"Invalid"))</f>
        <v>Valid</v>
      </c>
      <c r="N259" s="25" t="str">
        <f>IFERROR(VLOOKUP(tbl_clean_sales[[#This Row],[Product_ID]],'03_Product_Master'!$A$1:$D$14,2,FALSE),"Missing")</f>
        <v>Dish Wash</v>
      </c>
      <c r="O259" s="25" t="str">
        <f>IFERROR(VLOOKUP(tbl_clean_sales[[#This Row],[Product_ID]],'03_Product_Master'!$A$1:$D$14,3,FALSE),"Missing")</f>
        <v>Home Care</v>
      </c>
      <c r="P259" s="25">
        <f>IFERROR(VLOOKUP(tbl_clean_sales[[#This Row],[Product_ID]],'03_Product_Master'!$A$1:$D$14,4,FALSE),"Missing")</f>
        <v>190</v>
      </c>
      <c r="Q259" s="25" t="str">
        <f>IF('03_Clean_data'!E259="","Missing",IFERROR(IF(VLOOKUP(E259,'04_Branch_Master'!$A$1:$C$7,1,FALSE)='03_Clean_data'!E259,"Valid","Invalid"),"Invalid"))</f>
        <v>Valid</v>
      </c>
      <c r="R259" s="25" t="str">
        <f>IFERROR(VLOOKUP(tbl_clean_sales[[#This Row],[Branch_ID]],'04_Branch_Master'!$A$1:$C$7,2,FALSE),"Missing")</f>
        <v>Avinashi Road</v>
      </c>
      <c r="S259" s="25" t="str">
        <f>IFERROR(VLOOKUP(tbl_clean_sales[[#This Row],[Branch_ID]],'04_Branch_Master'!$A$1:$C$7,3,FALSE),"Missing")</f>
        <v>North</v>
      </c>
      <c r="T259" s="25" t="str">
        <f>C259&amp;"|"&amp;TEXT(tbl_clean_sales[[#This Row],[Date]],"yyyymm")</f>
        <v>E003|202605</v>
      </c>
      <c r="U259" s="25">
        <f>IFERROR(INDEX('05_Target_Master'!$A$1:$F$32,MATCH(tbl_clean_sales[[#This Row],[target key]],'05_Target_Master'!$F$1:$F$32,0),3),"Missing")</f>
        <v>126000</v>
      </c>
    </row>
    <row r="260" spans="1:21" x14ac:dyDescent="0.3">
      <c r="A260" s="21">
        <v>46161</v>
      </c>
      <c r="B260" s="22" t="s">
        <v>291</v>
      </c>
      <c r="C260" s="22" t="s">
        <v>40</v>
      </c>
      <c r="D260" s="22" t="s">
        <v>53</v>
      </c>
      <c r="E260" s="22" t="s">
        <v>26</v>
      </c>
      <c r="F260" s="22">
        <v>12</v>
      </c>
      <c r="G260" s="23">
        <v>3697.43</v>
      </c>
      <c r="H260" s="25" t="str">
        <f>IF(COUNTIF(tbl_clean_sales[Invoice_ID],tbl_clean_sales[[#This Row],[Invoice_ID]])&gt;1,"Duplicate","Unique")</f>
        <v>Unique</v>
      </c>
      <c r="I260" s="25"/>
      <c r="J26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0" s="25" t="str">
        <f>IFERROR(VLOOKUP(tbl_clean_sales[[#This Row],[Employee_ID]],'02_Employee_Master'!$A$1:$C$12,2,FALSE),"Employee Name Missing")</f>
        <v>Meena V</v>
      </c>
      <c r="L260" s="25" t="str">
        <f>IFERROR(VLOOKUP(tbl_clean_sales[[#This Row],[Employee_ID]],'02_Employee_Master'!$A$1:$C$12,3,FALSE),"Department Name Missing")</f>
        <v>Sales</v>
      </c>
      <c r="M260" s="25" t="str">
        <f>IF('03_Clean_data'!D260="","Missing",IFERROR(IF(VLOOKUP(D260,'03_Product_Master'!$A$1:$D$14,1,FALSE)='03_Clean_data'!D260,"Valid","Invalid"),"Invalid"))</f>
        <v>Valid</v>
      </c>
      <c r="N260" s="25" t="str">
        <f>IFERROR(VLOOKUP(tbl_clean_sales[[#This Row],[Product_ID]],'03_Product_Master'!$A$1:$D$14,2,FALSE),"Missing")</f>
        <v>Instant Coffee</v>
      </c>
      <c r="O260" s="25" t="str">
        <f>IFERROR(VLOOKUP(tbl_clean_sales[[#This Row],[Product_ID]],'03_Product_Master'!$A$1:$D$14,3,FALSE),"Missing")</f>
        <v>Beverages</v>
      </c>
      <c r="P260" s="25">
        <f>IFERROR(VLOOKUP(tbl_clean_sales[[#This Row],[Product_ID]],'03_Product_Master'!$A$1:$D$14,4,FALSE),"Missing")</f>
        <v>350</v>
      </c>
      <c r="Q260" s="25" t="str">
        <f>IF('03_Clean_data'!E260="","Missing",IFERROR(IF(VLOOKUP(E260,'04_Branch_Master'!$A$1:$C$7,1,FALSE)='03_Clean_data'!E260,"Valid","Invalid"),"Invalid"))</f>
        <v>Valid</v>
      </c>
      <c r="R260" s="25" t="str">
        <f>IFERROR(VLOOKUP(tbl_clean_sales[[#This Row],[Branch_ID]],'04_Branch_Master'!$A$1:$C$7,2,FALSE),"Missing")</f>
        <v>Palladam</v>
      </c>
      <c r="S260" s="25" t="str">
        <f>IFERROR(VLOOKUP(tbl_clean_sales[[#This Row],[Branch_ID]],'04_Branch_Master'!$A$1:$C$7,3,FALSE),"Missing")</f>
        <v>South</v>
      </c>
      <c r="T260" s="25" t="str">
        <f>C260&amp;"|"&amp;TEXT(tbl_clean_sales[[#This Row],[Date]],"yyyymm")</f>
        <v>E006|202605</v>
      </c>
      <c r="U260" s="25">
        <f>IFERROR(INDEX('05_Target_Master'!$A$1:$F$32,MATCH(tbl_clean_sales[[#This Row],[target key]],'05_Target_Master'!$F$1:$F$32,0),3),"Missing")</f>
        <v>141500</v>
      </c>
    </row>
    <row r="261" spans="1:21" x14ac:dyDescent="0.3">
      <c r="A261" s="21">
        <v>46180</v>
      </c>
      <c r="B261" s="22" t="s">
        <v>292</v>
      </c>
      <c r="C261" s="22" t="s">
        <v>21</v>
      </c>
      <c r="D261" s="22" t="s">
        <v>43</v>
      </c>
      <c r="E261" s="22" t="s">
        <v>22</v>
      </c>
      <c r="F261" s="22">
        <v>9</v>
      </c>
      <c r="G261" s="23">
        <v>2927.14</v>
      </c>
      <c r="H261" s="25" t="str">
        <f>IF(COUNTIF(tbl_clean_sales[Invoice_ID],tbl_clean_sales[[#This Row],[Invoice_ID]])&gt;1,"Duplicate","Unique")</f>
        <v>Unique</v>
      </c>
      <c r="I261" s="25"/>
      <c r="J26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1" s="25" t="str">
        <f>IFERROR(VLOOKUP(tbl_clean_sales[[#This Row],[Employee_ID]],'02_Employee_Master'!$A$1:$C$12,2,FALSE),"Employee Name Missing")</f>
        <v>Priya S</v>
      </c>
      <c r="L261" s="25" t="str">
        <f>IFERROR(VLOOKUP(tbl_clean_sales[[#This Row],[Employee_ID]],'02_Employee_Master'!$A$1:$C$12,3,FALSE),"Department Name Missing")</f>
        <v>Sales</v>
      </c>
      <c r="M261" s="25" t="str">
        <f>IF('03_Clean_data'!D261="","Missing",IFERROR(IF(VLOOKUP(D261,'03_Product_Master'!$A$1:$D$14,1,FALSE)='03_Clean_data'!D261,"Valid","Invalid"),"Invalid"))</f>
        <v>Valid</v>
      </c>
      <c r="N261" s="25" t="str">
        <f>IFERROR(VLOOKUP(tbl_clean_sales[[#This Row],[Product_ID]],'03_Product_Master'!$A$1:$D$14,2,FALSE),"Missing")</f>
        <v>Laundry Liquid</v>
      </c>
      <c r="O261" s="25" t="str">
        <f>IFERROR(VLOOKUP(tbl_clean_sales[[#This Row],[Product_ID]],'03_Product_Master'!$A$1:$D$14,3,FALSE),"Missing")</f>
        <v>Home Care</v>
      </c>
      <c r="P261" s="25">
        <f>IFERROR(VLOOKUP(tbl_clean_sales[[#This Row],[Product_ID]],'03_Product_Master'!$A$1:$D$14,4,FALSE),"Missing")</f>
        <v>340</v>
      </c>
      <c r="Q261" s="25" t="str">
        <f>IF('03_Clean_data'!E261="","Missing",IFERROR(IF(VLOOKUP(E261,'04_Branch_Master'!$A$1:$C$7,1,FALSE)='03_Clean_data'!E261,"Valid","Invalid"),"Invalid"))</f>
        <v>Valid</v>
      </c>
      <c r="R261" s="25" t="str">
        <f>IFERROR(VLOOKUP(tbl_clean_sales[[#This Row],[Branch_ID]],'04_Branch_Master'!$A$1:$C$7,2,FALSE),"Missing")</f>
        <v>Tirupur Central</v>
      </c>
      <c r="S261" s="25" t="str">
        <f>IFERROR(VLOOKUP(tbl_clean_sales[[#This Row],[Branch_ID]],'04_Branch_Master'!$A$1:$C$7,3,FALSE),"Missing")</f>
        <v>North</v>
      </c>
      <c r="T261" s="25" t="str">
        <f>C261&amp;"|"&amp;TEXT(tbl_clean_sales[[#This Row],[Date]],"yyyymm")</f>
        <v>E002|202606</v>
      </c>
      <c r="U261" s="25">
        <f>IFERROR(INDEX('05_Target_Master'!$A$1:$F$32,MATCH(tbl_clean_sales[[#This Row],[target key]],'05_Target_Master'!$F$1:$F$32,0),3),"Missing")</f>
        <v>117400</v>
      </c>
    </row>
    <row r="262" spans="1:21" x14ac:dyDescent="0.3">
      <c r="A262" s="21">
        <v>46159</v>
      </c>
      <c r="B262" s="22" t="s">
        <v>293</v>
      </c>
      <c r="C262" s="22" t="s">
        <v>24</v>
      </c>
      <c r="D262" s="22" t="s">
        <v>53</v>
      </c>
      <c r="E262" s="22" t="s">
        <v>26</v>
      </c>
      <c r="F262" s="22">
        <v>8</v>
      </c>
      <c r="G262" s="23">
        <v>2735.49</v>
      </c>
      <c r="H262" s="25" t="str">
        <f>IF(COUNTIF(tbl_clean_sales[Invoice_ID],tbl_clean_sales[[#This Row],[Invoice_ID]])&gt;1,"Duplicate","Unique")</f>
        <v>Unique</v>
      </c>
      <c r="I262" s="25"/>
      <c r="J26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2" s="25" t="str">
        <f>IFERROR(VLOOKUP(tbl_clean_sales[[#This Row],[Employee_ID]],'02_Employee_Master'!$A$1:$C$12,2,FALSE),"Employee Name Missing")</f>
        <v>Karthik P</v>
      </c>
      <c r="L262" s="25" t="str">
        <f>IFERROR(VLOOKUP(tbl_clean_sales[[#This Row],[Employee_ID]],'02_Employee_Master'!$A$1:$C$12,3,FALSE),"Department Name Missing")</f>
        <v>Sales</v>
      </c>
      <c r="M262" s="25" t="str">
        <f>IF('03_Clean_data'!D262="","Missing",IFERROR(IF(VLOOKUP(D262,'03_Product_Master'!$A$1:$D$14,1,FALSE)='03_Clean_data'!D262,"Valid","Invalid"),"Invalid"))</f>
        <v>Valid</v>
      </c>
      <c r="N262" s="25" t="str">
        <f>IFERROR(VLOOKUP(tbl_clean_sales[[#This Row],[Product_ID]],'03_Product_Master'!$A$1:$D$14,2,FALSE),"Missing")</f>
        <v>Instant Coffee</v>
      </c>
      <c r="O262" s="25" t="str">
        <f>IFERROR(VLOOKUP(tbl_clean_sales[[#This Row],[Product_ID]],'03_Product_Master'!$A$1:$D$14,3,FALSE),"Missing")</f>
        <v>Beverages</v>
      </c>
      <c r="P262" s="25">
        <f>IFERROR(VLOOKUP(tbl_clean_sales[[#This Row],[Product_ID]],'03_Product_Master'!$A$1:$D$14,4,FALSE),"Missing")</f>
        <v>350</v>
      </c>
      <c r="Q262" s="25" t="str">
        <f>IF('03_Clean_data'!E262="","Missing",IFERROR(IF(VLOOKUP(E262,'04_Branch_Master'!$A$1:$C$7,1,FALSE)='03_Clean_data'!E262,"Valid","Invalid"),"Invalid"))</f>
        <v>Valid</v>
      </c>
      <c r="R262" s="25" t="str">
        <f>IFERROR(VLOOKUP(tbl_clean_sales[[#This Row],[Branch_ID]],'04_Branch_Master'!$A$1:$C$7,2,FALSE),"Missing")</f>
        <v>Palladam</v>
      </c>
      <c r="S262" s="25" t="str">
        <f>IFERROR(VLOOKUP(tbl_clean_sales[[#This Row],[Branch_ID]],'04_Branch_Master'!$A$1:$C$7,3,FALSE),"Missing")</f>
        <v>South</v>
      </c>
      <c r="T262" s="25" t="str">
        <f>C262&amp;"|"&amp;TEXT(tbl_clean_sales[[#This Row],[Date]],"yyyymm")</f>
        <v>E005|202605</v>
      </c>
      <c r="U262" s="25">
        <f>IFERROR(INDEX('05_Target_Master'!$A$1:$F$32,MATCH(tbl_clean_sales[[#This Row],[target key]],'05_Target_Master'!$F$1:$F$32,0),3),"Missing")</f>
        <v>143700</v>
      </c>
    </row>
    <row r="263" spans="1:21" x14ac:dyDescent="0.3">
      <c r="A263" s="21">
        <v>46130</v>
      </c>
      <c r="B263" s="22" t="s">
        <v>294</v>
      </c>
      <c r="C263" s="22" t="s">
        <v>18</v>
      </c>
      <c r="D263" s="22" t="s">
        <v>9</v>
      </c>
      <c r="E263" s="22" t="s">
        <v>14</v>
      </c>
      <c r="F263" s="22">
        <v>2</v>
      </c>
      <c r="G263" s="23">
        <v>525.88</v>
      </c>
      <c r="H263" s="25" t="str">
        <f>IF(COUNTIF(tbl_clean_sales[Invoice_ID],tbl_clean_sales[[#This Row],[Invoice_ID]])&gt;1,"Duplicate","Unique")</f>
        <v>Unique</v>
      </c>
      <c r="I263" s="25"/>
      <c r="J26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3" s="25" t="str">
        <f>IFERROR(VLOOKUP(tbl_clean_sales[[#This Row],[Employee_ID]],'02_Employee_Master'!$A$1:$C$12,2,FALSE),"Employee Name Missing")</f>
        <v>Rahul M</v>
      </c>
      <c r="L263" s="25" t="str">
        <f>IFERROR(VLOOKUP(tbl_clean_sales[[#This Row],[Employee_ID]],'02_Employee_Master'!$A$1:$C$12,3,FALSE),"Department Name Missing")</f>
        <v>Sales</v>
      </c>
      <c r="M263" s="25" t="str">
        <f>IF('03_Clean_data'!D263="","Missing",IFERROR(IF(VLOOKUP(D263,'03_Product_Master'!$A$1:$D$14,1,FALSE)='03_Clean_data'!D263,"Valid","Invalid"),"Invalid"))</f>
        <v>Valid</v>
      </c>
      <c r="N263" s="25" t="str">
        <f>IFERROR(VLOOKUP(tbl_clean_sales[[#This Row],[Product_ID]],'03_Product_Master'!$A$1:$D$14,2,FALSE),"Missing")</f>
        <v>Green Tea</v>
      </c>
      <c r="O263" s="25" t="str">
        <f>IFERROR(VLOOKUP(tbl_clean_sales[[#This Row],[Product_ID]],'03_Product_Master'!$A$1:$D$14,3,FALSE),"Missing")</f>
        <v>Beverages</v>
      </c>
      <c r="P263" s="25">
        <f>IFERROR(VLOOKUP(tbl_clean_sales[[#This Row],[Product_ID]],'03_Product_Master'!$A$1:$D$14,4,FALSE),"Missing")</f>
        <v>280</v>
      </c>
      <c r="Q263" s="25" t="str">
        <f>IF('03_Clean_data'!E263="","Missing",IFERROR(IF(VLOOKUP(E263,'04_Branch_Master'!$A$1:$C$7,1,FALSE)='03_Clean_data'!E263,"Valid","Invalid"),"Invalid"))</f>
        <v>Valid</v>
      </c>
      <c r="R263" s="25" t="str">
        <f>IFERROR(VLOOKUP(tbl_clean_sales[[#This Row],[Branch_ID]],'04_Branch_Master'!$A$1:$C$7,2,FALSE),"Missing")</f>
        <v>Avinashi Road</v>
      </c>
      <c r="S263" s="25" t="str">
        <f>IFERROR(VLOOKUP(tbl_clean_sales[[#This Row],[Branch_ID]],'04_Branch_Master'!$A$1:$C$7,3,FALSE),"Missing")</f>
        <v>North</v>
      </c>
      <c r="T263" s="25" t="str">
        <f>C263&amp;"|"&amp;TEXT(tbl_clean_sales[[#This Row],[Date]],"yyyymm")</f>
        <v>E003|202604</v>
      </c>
      <c r="U263" s="25">
        <f>IFERROR(INDEX('05_Target_Master'!$A$1:$F$32,MATCH(tbl_clean_sales[[#This Row],[target key]],'05_Target_Master'!$F$1:$F$32,0),3),"Missing")</f>
        <v>116600</v>
      </c>
    </row>
    <row r="264" spans="1:21" x14ac:dyDescent="0.3">
      <c r="A264" s="21">
        <v>46182</v>
      </c>
      <c r="B264" s="22" t="s">
        <v>295</v>
      </c>
      <c r="C264" s="22" t="s">
        <v>8</v>
      </c>
      <c r="D264" s="22" t="s">
        <v>25</v>
      </c>
      <c r="E264" s="22" t="s">
        <v>10</v>
      </c>
      <c r="F264" s="22">
        <v>10</v>
      </c>
      <c r="G264" s="23">
        <v>4133.95</v>
      </c>
      <c r="H264" s="25" t="str">
        <f>IF(COUNTIF(tbl_clean_sales[Invoice_ID],tbl_clean_sales[[#This Row],[Invoice_ID]])&gt;1,"Duplicate","Unique")</f>
        <v>Unique</v>
      </c>
      <c r="I264" s="25"/>
      <c r="J26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4" s="25" t="str">
        <f>IFERROR(VLOOKUP(tbl_clean_sales[[#This Row],[Employee_ID]],'02_Employee_Master'!$A$1:$C$12,2,FALSE),"Employee Name Missing")</f>
        <v>Vignesh R</v>
      </c>
      <c r="L264" s="25" t="str">
        <f>IFERROR(VLOOKUP(tbl_clean_sales[[#This Row],[Employee_ID]],'02_Employee_Master'!$A$1:$C$12,3,FALSE),"Department Name Missing")</f>
        <v>Sales</v>
      </c>
      <c r="M264" s="25" t="str">
        <f>IF('03_Clean_data'!D264="","Missing",IFERROR(IF(VLOOKUP(D264,'03_Product_Master'!$A$1:$D$14,1,FALSE)='03_Clean_data'!D264,"Valid","Invalid"),"Invalid"))</f>
        <v>Valid</v>
      </c>
      <c r="N264" s="25" t="str">
        <f>IFERROR(VLOOKUP(tbl_clean_sales[[#This Row],[Product_ID]],'03_Product_Master'!$A$1:$D$14,2,FALSE),"Missing")</f>
        <v>Premium Coffee</v>
      </c>
      <c r="O264" s="25" t="str">
        <f>IFERROR(VLOOKUP(tbl_clean_sales[[#This Row],[Product_ID]],'03_Product_Master'!$A$1:$D$14,3,FALSE),"Missing")</f>
        <v>Beverages</v>
      </c>
      <c r="P264" s="25">
        <f>IFERROR(VLOOKUP(tbl_clean_sales[[#This Row],[Product_ID]],'03_Product_Master'!$A$1:$D$14,4,FALSE),"Missing")</f>
        <v>420</v>
      </c>
      <c r="Q264" s="25" t="str">
        <f>IF('03_Clean_data'!E264="","Missing",IFERROR(IF(VLOOKUP(E264,'04_Branch_Master'!$A$1:$C$7,1,FALSE)='03_Clean_data'!E264,"Valid","Invalid"),"Invalid"))</f>
        <v>Valid</v>
      </c>
      <c r="R264" s="25" t="str">
        <f>IFERROR(VLOOKUP(tbl_clean_sales[[#This Row],[Branch_ID]],'04_Branch_Master'!$A$1:$C$7,2,FALSE),"Missing")</f>
        <v>Dharapuram</v>
      </c>
      <c r="S264" s="25" t="str">
        <f>IFERROR(VLOOKUP(tbl_clean_sales[[#This Row],[Branch_ID]],'04_Branch_Master'!$A$1:$C$7,3,FALSE),"Missing")</f>
        <v>South</v>
      </c>
      <c r="T264" s="25" t="str">
        <f>C264&amp;"|"&amp;TEXT(tbl_clean_sales[[#This Row],[Date]],"yyyymm")</f>
        <v>E009|202606</v>
      </c>
      <c r="U264" s="25">
        <f>IFERROR(INDEX('05_Target_Master'!$A$1:$F$32,MATCH(tbl_clean_sales[[#This Row],[target key]],'05_Target_Master'!$F$1:$F$32,0),3),"Missing")</f>
        <v>156700</v>
      </c>
    </row>
    <row r="265" spans="1:21" x14ac:dyDescent="0.3">
      <c r="A265" s="21">
        <v>46161</v>
      </c>
      <c r="B265" s="22" t="s">
        <v>296</v>
      </c>
      <c r="C265" s="22" t="s">
        <v>18</v>
      </c>
      <c r="D265" s="22" t="s">
        <v>53</v>
      </c>
      <c r="E265" s="22" t="s">
        <v>14</v>
      </c>
      <c r="F265" s="22">
        <v>12</v>
      </c>
      <c r="G265" s="23">
        <v>3811.37</v>
      </c>
      <c r="H265" s="25" t="str">
        <f>IF(COUNTIF(tbl_clean_sales[Invoice_ID],tbl_clean_sales[[#This Row],[Invoice_ID]])&gt;1,"Duplicate","Unique")</f>
        <v>Unique</v>
      </c>
      <c r="I265" s="25"/>
      <c r="J26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5" s="25" t="str">
        <f>IFERROR(VLOOKUP(tbl_clean_sales[[#This Row],[Employee_ID]],'02_Employee_Master'!$A$1:$C$12,2,FALSE),"Employee Name Missing")</f>
        <v>Rahul M</v>
      </c>
      <c r="L265" s="25" t="str">
        <f>IFERROR(VLOOKUP(tbl_clean_sales[[#This Row],[Employee_ID]],'02_Employee_Master'!$A$1:$C$12,3,FALSE),"Department Name Missing")</f>
        <v>Sales</v>
      </c>
      <c r="M265" s="25" t="str">
        <f>IF('03_Clean_data'!D265="","Missing",IFERROR(IF(VLOOKUP(D265,'03_Product_Master'!$A$1:$D$14,1,FALSE)='03_Clean_data'!D265,"Valid","Invalid"),"Invalid"))</f>
        <v>Valid</v>
      </c>
      <c r="N265" s="25" t="str">
        <f>IFERROR(VLOOKUP(tbl_clean_sales[[#This Row],[Product_ID]],'03_Product_Master'!$A$1:$D$14,2,FALSE),"Missing")</f>
        <v>Instant Coffee</v>
      </c>
      <c r="O265" s="25" t="str">
        <f>IFERROR(VLOOKUP(tbl_clean_sales[[#This Row],[Product_ID]],'03_Product_Master'!$A$1:$D$14,3,FALSE),"Missing")</f>
        <v>Beverages</v>
      </c>
      <c r="P265" s="25">
        <f>IFERROR(VLOOKUP(tbl_clean_sales[[#This Row],[Product_ID]],'03_Product_Master'!$A$1:$D$14,4,FALSE),"Missing")</f>
        <v>350</v>
      </c>
      <c r="Q265" s="25" t="str">
        <f>IF('03_Clean_data'!E265="","Missing",IFERROR(IF(VLOOKUP(E265,'04_Branch_Master'!$A$1:$C$7,1,FALSE)='03_Clean_data'!E265,"Valid","Invalid"),"Invalid"))</f>
        <v>Valid</v>
      </c>
      <c r="R265" s="25" t="str">
        <f>IFERROR(VLOOKUP(tbl_clean_sales[[#This Row],[Branch_ID]],'04_Branch_Master'!$A$1:$C$7,2,FALSE),"Missing")</f>
        <v>Avinashi Road</v>
      </c>
      <c r="S265" s="25" t="str">
        <f>IFERROR(VLOOKUP(tbl_clean_sales[[#This Row],[Branch_ID]],'04_Branch_Master'!$A$1:$C$7,3,FALSE),"Missing")</f>
        <v>North</v>
      </c>
      <c r="T265" s="25" t="str">
        <f>C265&amp;"|"&amp;TEXT(tbl_clean_sales[[#This Row],[Date]],"yyyymm")</f>
        <v>E003|202605</v>
      </c>
      <c r="U265" s="25">
        <f>IFERROR(INDEX('05_Target_Master'!$A$1:$F$32,MATCH(tbl_clean_sales[[#This Row],[target key]],'05_Target_Master'!$F$1:$F$32,0),3),"Missing")</f>
        <v>126000</v>
      </c>
    </row>
    <row r="266" spans="1:21" x14ac:dyDescent="0.3">
      <c r="A266" s="21">
        <v>46134</v>
      </c>
      <c r="B266" s="22" t="s">
        <v>297</v>
      </c>
      <c r="C266" s="22" t="s">
        <v>38</v>
      </c>
      <c r="D266" s="22" t="s">
        <v>25</v>
      </c>
      <c r="E266" s="22" t="s">
        <v>32</v>
      </c>
      <c r="F266" s="22">
        <v>11</v>
      </c>
      <c r="G266" s="23">
        <v>4221.0600000000004</v>
      </c>
      <c r="H266" s="25" t="str">
        <f>IF(COUNTIF(tbl_clean_sales[Invoice_ID],tbl_clean_sales[[#This Row],[Invoice_ID]])&gt;1,"Duplicate","Unique")</f>
        <v>Unique</v>
      </c>
      <c r="I266" s="25"/>
      <c r="J26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6" s="25" t="str">
        <f>IFERROR(VLOOKUP(tbl_clean_sales[[#This Row],[Employee_ID]],'02_Employee_Master'!$A$1:$C$12,2,FALSE),"Employee Name Missing")</f>
        <v>Nandhini K</v>
      </c>
      <c r="L266" s="25" t="str">
        <f>IFERROR(VLOOKUP(tbl_clean_sales[[#This Row],[Employee_ID]],'02_Employee_Master'!$A$1:$C$12,3,FALSE),"Department Name Missing")</f>
        <v>Sales</v>
      </c>
      <c r="M266" s="25" t="str">
        <f>IF('03_Clean_data'!D266="","Missing",IFERROR(IF(VLOOKUP(D266,'03_Product_Master'!$A$1:$D$14,1,FALSE)='03_Clean_data'!D266,"Valid","Invalid"),"Invalid"))</f>
        <v>Valid</v>
      </c>
      <c r="N266" s="25" t="str">
        <f>IFERROR(VLOOKUP(tbl_clean_sales[[#This Row],[Product_ID]],'03_Product_Master'!$A$1:$D$14,2,FALSE),"Missing")</f>
        <v>Premium Coffee</v>
      </c>
      <c r="O266" s="25" t="str">
        <f>IFERROR(VLOOKUP(tbl_clean_sales[[#This Row],[Product_ID]],'03_Product_Master'!$A$1:$D$14,3,FALSE),"Missing")</f>
        <v>Beverages</v>
      </c>
      <c r="P266" s="25">
        <f>IFERROR(VLOOKUP(tbl_clean_sales[[#This Row],[Product_ID]],'03_Product_Master'!$A$1:$D$14,4,FALSE),"Missing")</f>
        <v>420</v>
      </c>
      <c r="Q266" s="25" t="str">
        <f>IF('03_Clean_data'!E266="","Missing",IFERROR(IF(VLOOKUP(E266,'04_Branch_Master'!$A$1:$C$7,1,FALSE)='03_Clean_data'!E266,"Valid","Invalid"),"Invalid"))</f>
        <v>Valid</v>
      </c>
      <c r="R266" s="25" t="str">
        <f>IFERROR(VLOOKUP(tbl_clean_sales[[#This Row],[Branch_ID]],'04_Branch_Master'!$A$1:$C$7,2,FALSE),"Missing")</f>
        <v>Kangeyam</v>
      </c>
      <c r="S266" s="25" t="str">
        <f>IFERROR(VLOOKUP(tbl_clean_sales[[#This Row],[Branch_ID]],'04_Branch_Master'!$A$1:$C$7,3,FALSE),"Missing")</f>
        <v>East</v>
      </c>
      <c r="T266" s="25" t="str">
        <f>C266&amp;"|"&amp;TEXT(tbl_clean_sales[[#This Row],[Date]],"yyyymm")</f>
        <v>E008|202604</v>
      </c>
      <c r="U266" s="25">
        <f>IFERROR(INDEX('05_Target_Master'!$A$1:$F$32,MATCH(tbl_clean_sales[[#This Row],[target key]],'05_Target_Master'!$F$1:$F$32,0),3),"Missing")</f>
        <v>124100</v>
      </c>
    </row>
    <row r="267" spans="1:21" x14ac:dyDescent="0.3">
      <c r="A267" s="21">
        <v>46169</v>
      </c>
      <c r="B267" s="22" t="s">
        <v>298</v>
      </c>
      <c r="C267" s="22" t="s">
        <v>29</v>
      </c>
      <c r="D267" s="22" t="s">
        <v>82</v>
      </c>
      <c r="E267" s="22" t="s">
        <v>10</v>
      </c>
      <c r="F267" s="22">
        <v>8</v>
      </c>
      <c r="G267" s="23">
        <v>933.04</v>
      </c>
      <c r="H267" s="25" t="str">
        <f>IF(COUNTIF(tbl_clean_sales[Invoice_ID],tbl_clean_sales[[#This Row],[Invoice_ID]])&gt;1,"Duplicate","Unique")</f>
        <v>Unique</v>
      </c>
      <c r="I267" s="25"/>
      <c r="J26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7" s="25" t="str">
        <f>IFERROR(VLOOKUP(tbl_clean_sales[[#This Row],[Employee_ID]],'02_Employee_Master'!$A$1:$C$12,2,FALSE),"Employee Name Missing")</f>
        <v>Swetha L</v>
      </c>
      <c r="L267" s="25" t="str">
        <f>IFERROR(VLOOKUP(tbl_clean_sales[[#This Row],[Employee_ID]],'02_Employee_Master'!$A$1:$C$12,3,FALSE),"Department Name Missing")</f>
        <v>Sales</v>
      </c>
      <c r="M267" s="25" t="str">
        <f>IF('03_Clean_data'!D267="","Missing",IFERROR(IF(VLOOKUP(D267,'03_Product_Master'!$A$1:$D$14,1,FALSE)='03_Clean_data'!D267,"Valid","Invalid"),"Invalid"))</f>
        <v>Valid</v>
      </c>
      <c r="N267" s="25" t="str">
        <f>IFERROR(VLOOKUP(tbl_clean_sales[[#This Row],[Product_ID]],'03_Product_Master'!$A$1:$D$14,2,FALSE),"Missing")</f>
        <v>Chocolate Bar</v>
      </c>
      <c r="O267" s="25" t="str">
        <f>IFERROR(VLOOKUP(tbl_clean_sales[[#This Row],[Product_ID]],'03_Product_Master'!$A$1:$D$14,3,FALSE),"Missing")</f>
        <v>Snacks</v>
      </c>
      <c r="P267" s="25">
        <f>IFERROR(VLOOKUP(tbl_clean_sales[[#This Row],[Product_ID]],'03_Product_Master'!$A$1:$D$14,4,FALSE),"Missing")</f>
        <v>120</v>
      </c>
      <c r="Q267" s="25" t="str">
        <f>IF('03_Clean_data'!E267="","Missing",IFERROR(IF(VLOOKUP(E267,'04_Branch_Master'!$A$1:$C$7,1,FALSE)='03_Clean_data'!E267,"Valid","Invalid"),"Invalid"))</f>
        <v>Valid</v>
      </c>
      <c r="R267" s="25" t="str">
        <f>IFERROR(VLOOKUP(tbl_clean_sales[[#This Row],[Branch_ID]],'04_Branch_Master'!$A$1:$C$7,2,FALSE),"Missing")</f>
        <v>Dharapuram</v>
      </c>
      <c r="S267" s="25" t="str">
        <f>IFERROR(VLOOKUP(tbl_clean_sales[[#This Row],[Branch_ID]],'04_Branch_Master'!$A$1:$C$7,3,FALSE),"Missing")</f>
        <v>South</v>
      </c>
      <c r="T267" s="25" t="str">
        <f>C267&amp;"|"&amp;TEXT(tbl_clean_sales[[#This Row],[Date]],"yyyymm")</f>
        <v>E010|202605</v>
      </c>
      <c r="U267" s="25">
        <f>IFERROR(INDEX('05_Target_Master'!$A$1:$F$32,MATCH(tbl_clean_sales[[#This Row],[target key]],'05_Target_Master'!$F$1:$F$32,0),3),"Missing")</f>
        <v>131500</v>
      </c>
    </row>
    <row r="268" spans="1:21" x14ac:dyDescent="0.3">
      <c r="A268" s="21">
        <v>46143</v>
      </c>
      <c r="B268" s="22" t="s">
        <v>299</v>
      </c>
      <c r="C268" s="22" t="s">
        <v>24</v>
      </c>
      <c r="D268" s="22" t="s">
        <v>48</v>
      </c>
      <c r="E268" s="22" t="s">
        <v>14</v>
      </c>
      <c r="F268" s="22">
        <v>6</v>
      </c>
      <c r="G268" s="23">
        <v>1433.02</v>
      </c>
      <c r="H268" s="25" t="str">
        <f>IF(COUNTIF(tbl_clean_sales[Invoice_ID],tbl_clean_sales[[#This Row],[Invoice_ID]])&gt;1,"Duplicate","Unique")</f>
        <v>Unique</v>
      </c>
      <c r="I268" s="25"/>
      <c r="J26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8" s="25" t="str">
        <f>IFERROR(VLOOKUP(tbl_clean_sales[[#This Row],[Employee_ID]],'02_Employee_Master'!$A$1:$C$12,2,FALSE),"Employee Name Missing")</f>
        <v>Karthik P</v>
      </c>
      <c r="L268" s="25" t="str">
        <f>IFERROR(VLOOKUP(tbl_clean_sales[[#This Row],[Employee_ID]],'02_Employee_Master'!$A$1:$C$12,3,FALSE),"Department Name Missing")</f>
        <v>Sales</v>
      </c>
      <c r="M268" s="25" t="str">
        <f>IF('03_Clean_data'!D268="","Missing",IFERROR(IF(VLOOKUP(D268,'03_Product_Master'!$A$1:$D$14,1,FALSE)='03_Clean_data'!D268,"Valid","Invalid"),"Invalid"))</f>
        <v>Valid</v>
      </c>
      <c r="N268" s="25" t="str">
        <f>IFERROR(VLOOKUP(tbl_clean_sales[[#This Row],[Product_ID]],'03_Product_Master'!$A$1:$D$14,2,FALSE),"Missing")</f>
        <v>Face Wash</v>
      </c>
      <c r="O268" s="25" t="str">
        <f>IFERROR(VLOOKUP(tbl_clean_sales[[#This Row],[Product_ID]],'03_Product_Master'!$A$1:$D$14,3,FALSE),"Missing")</f>
        <v>Personal Care</v>
      </c>
      <c r="P268" s="25">
        <f>IFERROR(VLOOKUP(tbl_clean_sales[[#This Row],[Product_ID]],'03_Product_Master'!$A$1:$D$14,4,FALSE),"Missing")</f>
        <v>260</v>
      </c>
      <c r="Q268" s="25" t="str">
        <f>IF('03_Clean_data'!E268="","Missing",IFERROR(IF(VLOOKUP(E268,'04_Branch_Master'!$A$1:$C$7,1,FALSE)='03_Clean_data'!E268,"Valid","Invalid"),"Invalid"))</f>
        <v>Valid</v>
      </c>
      <c r="R268" s="25" t="str">
        <f>IFERROR(VLOOKUP(tbl_clean_sales[[#This Row],[Branch_ID]],'04_Branch_Master'!$A$1:$C$7,2,FALSE),"Missing")</f>
        <v>Avinashi Road</v>
      </c>
      <c r="S268" s="25" t="str">
        <f>IFERROR(VLOOKUP(tbl_clean_sales[[#This Row],[Branch_ID]],'04_Branch_Master'!$A$1:$C$7,3,FALSE),"Missing")</f>
        <v>North</v>
      </c>
      <c r="T268" s="25" t="str">
        <f>C268&amp;"|"&amp;TEXT(tbl_clean_sales[[#This Row],[Date]],"yyyymm")</f>
        <v>E005|202605</v>
      </c>
      <c r="U268" s="25">
        <f>IFERROR(INDEX('05_Target_Master'!$A$1:$F$32,MATCH(tbl_clean_sales[[#This Row],[target key]],'05_Target_Master'!$F$1:$F$32,0),3),"Missing")</f>
        <v>143700</v>
      </c>
    </row>
    <row r="269" spans="1:21" x14ac:dyDescent="0.3">
      <c r="A269" s="21">
        <v>46186</v>
      </c>
      <c r="B269" s="22" t="s">
        <v>300</v>
      </c>
      <c r="C269" s="22" t="s">
        <v>38</v>
      </c>
      <c r="D269" s="22" t="s">
        <v>48</v>
      </c>
      <c r="E269" s="22" t="s">
        <v>32</v>
      </c>
      <c r="F269" s="22">
        <v>7</v>
      </c>
      <c r="G269" s="23">
        <v>1710.17</v>
      </c>
      <c r="H269" s="25" t="str">
        <f>IF(COUNTIF(tbl_clean_sales[Invoice_ID],tbl_clean_sales[[#This Row],[Invoice_ID]])&gt;1,"Duplicate","Unique")</f>
        <v>Unique</v>
      </c>
      <c r="I269" s="25"/>
      <c r="J26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69" s="25" t="str">
        <f>IFERROR(VLOOKUP(tbl_clean_sales[[#This Row],[Employee_ID]],'02_Employee_Master'!$A$1:$C$12,2,FALSE),"Employee Name Missing")</f>
        <v>Nandhini K</v>
      </c>
      <c r="L269" s="25" t="str">
        <f>IFERROR(VLOOKUP(tbl_clean_sales[[#This Row],[Employee_ID]],'02_Employee_Master'!$A$1:$C$12,3,FALSE),"Department Name Missing")</f>
        <v>Sales</v>
      </c>
      <c r="M269" s="25" t="str">
        <f>IF('03_Clean_data'!D269="","Missing",IFERROR(IF(VLOOKUP(D269,'03_Product_Master'!$A$1:$D$14,1,FALSE)='03_Clean_data'!D269,"Valid","Invalid"),"Invalid"))</f>
        <v>Valid</v>
      </c>
      <c r="N269" s="25" t="str">
        <f>IFERROR(VLOOKUP(tbl_clean_sales[[#This Row],[Product_ID]],'03_Product_Master'!$A$1:$D$14,2,FALSE),"Missing")</f>
        <v>Face Wash</v>
      </c>
      <c r="O269" s="25" t="str">
        <f>IFERROR(VLOOKUP(tbl_clean_sales[[#This Row],[Product_ID]],'03_Product_Master'!$A$1:$D$14,3,FALSE),"Missing")</f>
        <v>Personal Care</v>
      </c>
      <c r="P269" s="25">
        <f>IFERROR(VLOOKUP(tbl_clean_sales[[#This Row],[Product_ID]],'03_Product_Master'!$A$1:$D$14,4,FALSE),"Missing")</f>
        <v>260</v>
      </c>
      <c r="Q269" s="25" t="str">
        <f>IF('03_Clean_data'!E269="","Missing",IFERROR(IF(VLOOKUP(E269,'04_Branch_Master'!$A$1:$C$7,1,FALSE)='03_Clean_data'!E269,"Valid","Invalid"),"Invalid"))</f>
        <v>Valid</v>
      </c>
      <c r="R269" s="25" t="str">
        <f>IFERROR(VLOOKUP(tbl_clean_sales[[#This Row],[Branch_ID]],'04_Branch_Master'!$A$1:$C$7,2,FALSE),"Missing")</f>
        <v>Kangeyam</v>
      </c>
      <c r="S269" s="25" t="str">
        <f>IFERROR(VLOOKUP(tbl_clean_sales[[#This Row],[Branch_ID]],'04_Branch_Master'!$A$1:$C$7,3,FALSE),"Missing")</f>
        <v>East</v>
      </c>
      <c r="T269" s="25" t="str">
        <f>C269&amp;"|"&amp;TEXT(tbl_clean_sales[[#This Row],[Date]],"yyyymm")</f>
        <v>E008|202606</v>
      </c>
      <c r="U269" s="25">
        <f>IFERROR(INDEX('05_Target_Master'!$A$1:$F$32,MATCH(tbl_clean_sales[[#This Row],[target key]],'05_Target_Master'!$F$1:$F$32,0),3),"Missing")</f>
        <v>119200</v>
      </c>
    </row>
    <row r="270" spans="1:21" x14ac:dyDescent="0.3">
      <c r="A270" s="21">
        <v>46166</v>
      </c>
      <c r="B270" s="22" t="s">
        <v>301</v>
      </c>
      <c r="C270" s="22" t="s">
        <v>18</v>
      </c>
      <c r="D270" s="22" t="s">
        <v>30</v>
      </c>
      <c r="E270" s="22" t="s">
        <v>14</v>
      </c>
      <c r="F270" s="22">
        <v>5</v>
      </c>
      <c r="G270" s="23">
        <v>794.99</v>
      </c>
      <c r="H270" s="25" t="str">
        <f>IF(COUNTIF(tbl_clean_sales[Invoice_ID],tbl_clean_sales[[#This Row],[Invoice_ID]])&gt;1,"Duplicate","Unique")</f>
        <v>Unique</v>
      </c>
      <c r="I270" s="25"/>
      <c r="J27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0" s="25" t="str">
        <f>IFERROR(VLOOKUP(tbl_clean_sales[[#This Row],[Employee_ID]],'02_Employee_Master'!$A$1:$C$12,2,FALSE),"Employee Name Missing")</f>
        <v>Rahul M</v>
      </c>
      <c r="L270" s="25" t="str">
        <f>IFERROR(VLOOKUP(tbl_clean_sales[[#This Row],[Employee_ID]],'02_Employee_Master'!$A$1:$C$12,3,FALSE),"Department Name Missing")</f>
        <v>Sales</v>
      </c>
      <c r="M270" s="25" t="str">
        <f>IF('03_Clean_data'!D270="","Missing",IFERROR(IF(VLOOKUP(D270,'03_Product_Master'!$A$1:$D$14,1,FALSE)='03_Clean_data'!D270,"Valid","Invalid"),"Invalid"))</f>
        <v>Valid</v>
      </c>
      <c r="N270" s="25" t="str">
        <f>IFERROR(VLOOKUP(tbl_clean_sales[[#This Row],[Product_ID]],'03_Product_Master'!$A$1:$D$14,2,FALSE),"Missing")</f>
        <v>Cookies Pack</v>
      </c>
      <c r="O270" s="25" t="str">
        <f>IFERROR(VLOOKUP(tbl_clean_sales[[#This Row],[Product_ID]],'03_Product_Master'!$A$1:$D$14,3,FALSE),"Missing")</f>
        <v>Snacks</v>
      </c>
      <c r="P270" s="25">
        <f>IFERROR(VLOOKUP(tbl_clean_sales[[#This Row],[Product_ID]],'03_Product_Master'!$A$1:$D$14,4,FALSE),"Missing")</f>
        <v>160</v>
      </c>
      <c r="Q270" s="25" t="str">
        <f>IF('03_Clean_data'!E270="","Missing",IFERROR(IF(VLOOKUP(E270,'04_Branch_Master'!$A$1:$C$7,1,FALSE)='03_Clean_data'!E270,"Valid","Invalid"),"Invalid"))</f>
        <v>Valid</v>
      </c>
      <c r="R270" s="25" t="str">
        <f>IFERROR(VLOOKUP(tbl_clean_sales[[#This Row],[Branch_ID]],'04_Branch_Master'!$A$1:$C$7,2,FALSE),"Missing")</f>
        <v>Avinashi Road</v>
      </c>
      <c r="S270" s="25" t="str">
        <f>IFERROR(VLOOKUP(tbl_clean_sales[[#This Row],[Branch_ID]],'04_Branch_Master'!$A$1:$C$7,3,FALSE),"Missing")</f>
        <v>North</v>
      </c>
      <c r="T270" s="25" t="str">
        <f>C270&amp;"|"&amp;TEXT(tbl_clean_sales[[#This Row],[Date]],"yyyymm")</f>
        <v>E003|202605</v>
      </c>
      <c r="U270" s="25">
        <f>IFERROR(INDEX('05_Target_Master'!$A$1:$F$32,MATCH(tbl_clean_sales[[#This Row],[target key]],'05_Target_Master'!$F$1:$F$32,0),3),"Missing")</f>
        <v>126000</v>
      </c>
    </row>
    <row r="271" spans="1:21" x14ac:dyDescent="0.3">
      <c r="A271" s="21">
        <v>46174</v>
      </c>
      <c r="B271" s="22" t="s">
        <v>302</v>
      </c>
      <c r="C271" s="22" t="s">
        <v>40</v>
      </c>
      <c r="D271" s="22" t="s">
        <v>13</v>
      </c>
      <c r="E271" s="22" t="s">
        <v>10</v>
      </c>
      <c r="F271" s="22">
        <v>2</v>
      </c>
      <c r="G271" s="23">
        <v>753.32</v>
      </c>
      <c r="H271" s="25" t="str">
        <f>IF(COUNTIF(tbl_clean_sales[Invoice_ID],tbl_clean_sales[[#This Row],[Invoice_ID]])&gt;1,"Duplicate","Unique")</f>
        <v>Unique</v>
      </c>
      <c r="I271" s="25"/>
      <c r="J27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1" s="25" t="str">
        <f>IFERROR(VLOOKUP(tbl_clean_sales[[#This Row],[Employee_ID]],'02_Employee_Master'!$A$1:$C$12,2,FALSE),"Employee Name Missing")</f>
        <v>Meena V</v>
      </c>
      <c r="L271" s="25" t="str">
        <f>IFERROR(VLOOKUP(tbl_clean_sales[[#This Row],[Employee_ID]],'02_Employee_Master'!$A$1:$C$12,3,FALSE),"Department Name Missing")</f>
        <v>Sales</v>
      </c>
      <c r="M271" s="25" t="str">
        <f>IF('03_Clean_data'!D271="","Missing",IFERROR(IF(VLOOKUP(D271,'03_Product_Master'!$A$1:$D$14,1,FALSE)='03_Clean_data'!D271,"Valid","Invalid"),"Invalid"))</f>
        <v>Valid</v>
      </c>
      <c r="N271" s="25" t="str">
        <f>IFERROR(VLOOKUP(tbl_clean_sales[[#This Row],[Product_ID]],'03_Product_Master'!$A$1:$D$14,2,FALSE),"Missing")</f>
        <v>Body Lotion</v>
      </c>
      <c r="O271" s="25" t="str">
        <f>IFERROR(VLOOKUP(tbl_clean_sales[[#This Row],[Product_ID]],'03_Product_Master'!$A$1:$D$14,3,FALSE),"Missing")</f>
        <v>Personal Care</v>
      </c>
      <c r="P271" s="25">
        <f>IFERROR(VLOOKUP(tbl_clean_sales[[#This Row],[Product_ID]],'03_Product_Master'!$A$1:$D$14,4,FALSE),"Missing")</f>
        <v>390</v>
      </c>
      <c r="Q271" s="25" t="str">
        <f>IF('03_Clean_data'!E271="","Missing",IFERROR(IF(VLOOKUP(E271,'04_Branch_Master'!$A$1:$C$7,1,FALSE)='03_Clean_data'!E271,"Valid","Invalid"),"Invalid"))</f>
        <v>Valid</v>
      </c>
      <c r="R271" s="25" t="str">
        <f>IFERROR(VLOOKUP(tbl_clean_sales[[#This Row],[Branch_ID]],'04_Branch_Master'!$A$1:$C$7,2,FALSE),"Missing")</f>
        <v>Dharapuram</v>
      </c>
      <c r="S271" s="25" t="str">
        <f>IFERROR(VLOOKUP(tbl_clean_sales[[#This Row],[Branch_ID]],'04_Branch_Master'!$A$1:$C$7,3,FALSE),"Missing")</f>
        <v>South</v>
      </c>
      <c r="T271" s="25" t="str">
        <f>C271&amp;"|"&amp;TEXT(tbl_clean_sales[[#This Row],[Date]],"yyyymm")</f>
        <v>E006|202606</v>
      </c>
      <c r="U271" s="25">
        <f>IFERROR(INDEX('05_Target_Master'!$A$1:$F$32,MATCH(tbl_clean_sales[[#This Row],[target key]],'05_Target_Master'!$F$1:$F$32,0),3),"Missing")</f>
        <v>125800</v>
      </c>
    </row>
    <row r="272" spans="1:21" x14ac:dyDescent="0.3">
      <c r="A272" s="21">
        <v>46133</v>
      </c>
      <c r="B272" s="22" t="s">
        <v>303</v>
      </c>
      <c r="C272" s="22" t="s">
        <v>24</v>
      </c>
      <c r="D272" s="22" t="s">
        <v>48</v>
      </c>
      <c r="E272" s="22" t="s">
        <v>14</v>
      </c>
      <c r="F272" s="22">
        <v>7</v>
      </c>
      <c r="G272" s="23">
        <v>1799.97</v>
      </c>
      <c r="H272" s="25" t="str">
        <f>IF(COUNTIF(tbl_clean_sales[Invoice_ID],tbl_clean_sales[[#This Row],[Invoice_ID]])&gt;1,"Duplicate","Unique")</f>
        <v>Unique</v>
      </c>
      <c r="I272" s="25"/>
      <c r="J27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2" s="25" t="str">
        <f>IFERROR(VLOOKUP(tbl_clean_sales[[#This Row],[Employee_ID]],'02_Employee_Master'!$A$1:$C$12,2,FALSE),"Employee Name Missing")</f>
        <v>Karthik P</v>
      </c>
      <c r="L272" s="25" t="str">
        <f>IFERROR(VLOOKUP(tbl_clean_sales[[#This Row],[Employee_ID]],'02_Employee_Master'!$A$1:$C$12,3,FALSE),"Department Name Missing")</f>
        <v>Sales</v>
      </c>
      <c r="M272" s="25" t="str">
        <f>IF('03_Clean_data'!D272="","Missing",IFERROR(IF(VLOOKUP(D272,'03_Product_Master'!$A$1:$D$14,1,FALSE)='03_Clean_data'!D272,"Valid","Invalid"),"Invalid"))</f>
        <v>Valid</v>
      </c>
      <c r="N272" s="25" t="str">
        <f>IFERROR(VLOOKUP(tbl_clean_sales[[#This Row],[Product_ID]],'03_Product_Master'!$A$1:$D$14,2,FALSE),"Missing")</f>
        <v>Face Wash</v>
      </c>
      <c r="O272" s="25" t="str">
        <f>IFERROR(VLOOKUP(tbl_clean_sales[[#This Row],[Product_ID]],'03_Product_Master'!$A$1:$D$14,3,FALSE),"Missing")</f>
        <v>Personal Care</v>
      </c>
      <c r="P272" s="25">
        <f>IFERROR(VLOOKUP(tbl_clean_sales[[#This Row],[Product_ID]],'03_Product_Master'!$A$1:$D$14,4,FALSE),"Missing")</f>
        <v>260</v>
      </c>
      <c r="Q272" s="25" t="str">
        <f>IF('03_Clean_data'!E272="","Missing",IFERROR(IF(VLOOKUP(E272,'04_Branch_Master'!$A$1:$C$7,1,FALSE)='03_Clean_data'!E272,"Valid","Invalid"),"Invalid"))</f>
        <v>Valid</v>
      </c>
      <c r="R272" s="25" t="str">
        <f>IFERROR(VLOOKUP(tbl_clean_sales[[#This Row],[Branch_ID]],'04_Branch_Master'!$A$1:$C$7,2,FALSE),"Missing")</f>
        <v>Avinashi Road</v>
      </c>
      <c r="S272" s="25" t="str">
        <f>IFERROR(VLOOKUP(tbl_clean_sales[[#This Row],[Branch_ID]],'04_Branch_Master'!$A$1:$C$7,3,FALSE),"Missing")</f>
        <v>North</v>
      </c>
      <c r="T272" s="25" t="str">
        <f>C272&amp;"|"&amp;TEXT(tbl_clean_sales[[#This Row],[Date]],"yyyymm")</f>
        <v>E005|202604</v>
      </c>
      <c r="U272" s="25">
        <f>IFERROR(INDEX('05_Target_Master'!$A$1:$F$32,MATCH(tbl_clean_sales[[#This Row],[target key]],'05_Target_Master'!$F$1:$F$32,0),3),"Missing")</f>
        <v>133000</v>
      </c>
    </row>
    <row r="273" spans="1:21" x14ac:dyDescent="0.3">
      <c r="A273" s="21">
        <v>46141</v>
      </c>
      <c r="B273" s="22" t="s">
        <v>304</v>
      </c>
      <c r="C273" s="22" t="s">
        <v>38</v>
      </c>
      <c r="D273" s="22" t="s">
        <v>34</v>
      </c>
      <c r="E273" s="22" t="s">
        <v>32</v>
      </c>
      <c r="F273" s="22">
        <v>0</v>
      </c>
      <c r="G273" s="23">
        <v>104.77</v>
      </c>
      <c r="H273" s="25" t="str">
        <f>IF(COUNTIF(tbl_clean_sales[Invoice_ID],tbl_clean_sales[[#This Row],[Invoice_ID]])&gt;1,"Duplicate","Unique")</f>
        <v>Unique</v>
      </c>
      <c r="I273" s="25"/>
      <c r="J27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3" s="25" t="str">
        <f>IFERROR(VLOOKUP(tbl_clean_sales[[#This Row],[Employee_ID]],'02_Employee_Master'!$A$1:$C$12,2,FALSE),"Employee Name Missing")</f>
        <v>Nandhini K</v>
      </c>
      <c r="L273" s="25" t="str">
        <f>IFERROR(VLOOKUP(tbl_clean_sales[[#This Row],[Employee_ID]],'02_Employee_Master'!$A$1:$C$12,3,FALSE),"Department Name Missing")</f>
        <v>Sales</v>
      </c>
      <c r="M273" s="25" t="str">
        <f>IF('03_Clean_data'!D273="","Missing",IFERROR(IF(VLOOKUP(D273,'03_Product_Master'!$A$1:$D$14,1,FALSE)='03_Clean_data'!D273,"Valid","Invalid"),"Invalid"))</f>
        <v>Valid</v>
      </c>
      <c r="N273" s="25" t="str">
        <f>IFERROR(VLOOKUP(tbl_clean_sales[[#This Row],[Product_ID]],'03_Product_Master'!$A$1:$D$14,2,FALSE),"Missing")</f>
        <v>Potato Chips</v>
      </c>
      <c r="O273" s="25" t="str">
        <f>IFERROR(VLOOKUP(tbl_clean_sales[[#This Row],[Product_ID]],'03_Product_Master'!$A$1:$D$14,3,FALSE),"Missing")</f>
        <v>Snacks</v>
      </c>
      <c r="P273" s="25">
        <f>IFERROR(VLOOKUP(tbl_clean_sales[[#This Row],[Product_ID]],'03_Product_Master'!$A$1:$D$14,4,FALSE),"Missing")</f>
        <v>110</v>
      </c>
      <c r="Q273" s="25" t="str">
        <f>IF('03_Clean_data'!E273="","Missing",IFERROR(IF(VLOOKUP(E273,'04_Branch_Master'!$A$1:$C$7,1,FALSE)='03_Clean_data'!E273,"Valid","Invalid"),"Invalid"))</f>
        <v>Valid</v>
      </c>
      <c r="R273" s="25" t="str">
        <f>IFERROR(VLOOKUP(tbl_clean_sales[[#This Row],[Branch_ID]],'04_Branch_Master'!$A$1:$C$7,2,FALSE),"Missing")</f>
        <v>Kangeyam</v>
      </c>
      <c r="S273" s="25" t="str">
        <f>IFERROR(VLOOKUP(tbl_clean_sales[[#This Row],[Branch_ID]],'04_Branch_Master'!$A$1:$C$7,3,FALSE),"Missing")</f>
        <v>East</v>
      </c>
      <c r="T273" s="25" t="str">
        <f>C273&amp;"|"&amp;TEXT(tbl_clean_sales[[#This Row],[Date]],"yyyymm")</f>
        <v>E008|202604</v>
      </c>
      <c r="U273" s="25">
        <f>IFERROR(INDEX('05_Target_Master'!$A$1:$F$32,MATCH(tbl_clean_sales[[#This Row],[target key]],'05_Target_Master'!$F$1:$F$32,0),3),"Missing")</f>
        <v>124100</v>
      </c>
    </row>
    <row r="274" spans="1:21" x14ac:dyDescent="0.3">
      <c r="A274" s="21">
        <v>46160</v>
      </c>
      <c r="B274" s="22" t="s">
        <v>305</v>
      </c>
      <c r="C274" s="22" t="s">
        <v>12</v>
      </c>
      <c r="D274" s="22" t="s">
        <v>16</v>
      </c>
      <c r="E274" s="22" t="s">
        <v>26</v>
      </c>
      <c r="F274" s="22">
        <v>4</v>
      </c>
      <c r="G274" s="23">
        <v>1235.81</v>
      </c>
      <c r="H274" s="25" t="str">
        <f>IF(COUNTIF(tbl_clean_sales[Invoice_ID],tbl_clean_sales[[#This Row],[Invoice_ID]])&gt;1,"Duplicate","Unique")</f>
        <v>Unique</v>
      </c>
      <c r="I274" s="25"/>
      <c r="J27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4" s="25" t="str">
        <f>IFERROR(VLOOKUP(tbl_clean_sales[[#This Row],[Employee_ID]],'02_Employee_Master'!$A$1:$C$12,2,FALSE),"Employee Name Missing")</f>
        <v>Divya R</v>
      </c>
      <c r="L274" s="25" t="str">
        <f>IFERROR(VLOOKUP(tbl_clean_sales[[#This Row],[Employee_ID]],'02_Employee_Master'!$A$1:$C$12,3,FALSE),"Department Name Missing")</f>
        <v>Sales</v>
      </c>
      <c r="M274" s="25" t="str">
        <f>IF('03_Clean_data'!D274="","Missing",IFERROR(IF(VLOOKUP(D274,'03_Product_Master'!$A$1:$D$14,1,FALSE)='03_Clean_data'!D274,"Valid","Invalid"),"Invalid"))</f>
        <v>Valid</v>
      </c>
      <c r="N274" s="25" t="str">
        <f>IFERROR(VLOOKUP(tbl_clean_sales[[#This Row],[Product_ID]],'03_Product_Master'!$A$1:$D$14,2,FALSE),"Missing")</f>
        <v>Shampoo</v>
      </c>
      <c r="O274" s="25" t="str">
        <f>IFERROR(VLOOKUP(tbl_clean_sales[[#This Row],[Product_ID]],'03_Product_Master'!$A$1:$D$14,3,FALSE),"Missing")</f>
        <v>Personal Care</v>
      </c>
      <c r="P274" s="25">
        <f>IFERROR(VLOOKUP(tbl_clean_sales[[#This Row],[Product_ID]],'03_Product_Master'!$A$1:$D$14,4,FALSE),"Missing")</f>
        <v>310</v>
      </c>
      <c r="Q274" s="25" t="str">
        <f>IF('03_Clean_data'!E274="","Missing",IFERROR(IF(VLOOKUP(E274,'04_Branch_Master'!$A$1:$C$7,1,FALSE)='03_Clean_data'!E274,"Valid","Invalid"),"Invalid"))</f>
        <v>Valid</v>
      </c>
      <c r="R274" s="25" t="str">
        <f>IFERROR(VLOOKUP(tbl_clean_sales[[#This Row],[Branch_ID]],'04_Branch_Master'!$A$1:$C$7,2,FALSE),"Missing")</f>
        <v>Palladam</v>
      </c>
      <c r="S274" s="25" t="str">
        <f>IFERROR(VLOOKUP(tbl_clean_sales[[#This Row],[Branch_ID]],'04_Branch_Master'!$A$1:$C$7,3,FALSE),"Missing")</f>
        <v>South</v>
      </c>
      <c r="T274" s="25" t="str">
        <f>C274&amp;"|"&amp;TEXT(tbl_clean_sales[[#This Row],[Date]],"yyyymm")</f>
        <v>E004|202605</v>
      </c>
      <c r="U274" s="25">
        <f>IFERROR(INDEX('05_Target_Master'!$A$1:$F$32,MATCH(tbl_clean_sales[[#This Row],[target key]],'05_Target_Master'!$F$1:$F$32,0),3),"Missing")</f>
        <v>176700</v>
      </c>
    </row>
    <row r="275" spans="1:21" x14ac:dyDescent="0.3">
      <c r="A275" s="21">
        <v>46125</v>
      </c>
      <c r="B275" s="22" t="s">
        <v>306</v>
      </c>
      <c r="C275" s="22" t="s">
        <v>40</v>
      </c>
      <c r="D275" s="22" t="s">
        <v>53</v>
      </c>
      <c r="E275" s="22" t="s">
        <v>26</v>
      </c>
      <c r="F275" s="22">
        <v>5</v>
      </c>
      <c r="G275" s="23">
        <v>1557.35</v>
      </c>
      <c r="H275" s="25" t="str">
        <f>IF(COUNTIF(tbl_clean_sales[Invoice_ID],tbl_clean_sales[[#This Row],[Invoice_ID]])&gt;1,"Duplicate","Unique")</f>
        <v>Unique</v>
      </c>
      <c r="I275" s="25"/>
      <c r="J27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5" s="25" t="str">
        <f>IFERROR(VLOOKUP(tbl_clean_sales[[#This Row],[Employee_ID]],'02_Employee_Master'!$A$1:$C$12,2,FALSE),"Employee Name Missing")</f>
        <v>Meena V</v>
      </c>
      <c r="L275" s="25" t="str">
        <f>IFERROR(VLOOKUP(tbl_clean_sales[[#This Row],[Employee_ID]],'02_Employee_Master'!$A$1:$C$12,3,FALSE),"Department Name Missing")</f>
        <v>Sales</v>
      </c>
      <c r="M275" s="25" t="str">
        <f>IF('03_Clean_data'!D275="","Missing",IFERROR(IF(VLOOKUP(D275,'03_Product_Master'!$A$1:$D$14,1,FALSE)='03_Clean_data'!D275,"Valid","Invalid"),"Invalid"))</f>
        <v>Valid</v>
      </c>
      <c r="N275" s="25" t="str">
        <f>IFERROR(VLOOKUP(tbl_clean_sales[[#This Row],[Product_ID]],'03_Product_Master'!$A$1:$D$14,2,FALSE),"Missing")</f>
        <v>Instant Coffee</v>
      </c>
      <c r="O275" s="25" t="str">
        <f>IFERROR(VLOOKUP(tbl_clean_sales[[#This Row],[Product_ID]],'03_Product_Master'!$A$1:$D$14,3,FALSE),"Missing")</f>
        <v>Beverages</v>
      </c>
      <c r="P275" s="25">
        <f>IFERROR(VLOOKUP(tbl_clean_sales[[#This Row],[Product_ID]],'03_Product_Master'!$A$1:$D$14,4,FALSE),"Missing")</f>
        <v>350</v>
      </c>
      <c r="Q275" s="25" t="str">
        <f>IF('03_Clean_data'!E275="","Missing",IFERROR(IF(VLOOKUP(E275,'04_Branch_Master'!$A$1:$C$7,1,FALSE)='03_Clean_data'!E275,"Valid","Invalid"),"Invalid"))</f>
        <v>Valid</v>
      </c>
      <c r="R275" s="25" t="str">
        <f>IFERROR(VLOOKUP(tbl_clean_sales[[#This Row],[Branch_ID]],'04_Branch_Master'!$A$1:$C$7,2,FALSE),"Missing")</f>
        <v>Palladam</v>
      </c>
      <c r="S275" s="25" t="str">
        <f>IFERROR(VLOOKUP(tbl_clean_sales[[#This Row],[Branch_ID]],'04_Branch_Master'!$A$1:$C$7,3,FALSE),"Missing")</f>
        <v>South</v>
      </c>
      <c r="T275" s="25" t="str">
        <f>C275&amp;"|"&amp;TEXT(tbl_clean_sales[[#This Row],[Date]],"yyyymm")</f>
        <v>E006|202604</v>
      </c>
      <c r="U275" s="25">
        <f>IFERROR(INDEX('05_Target_Master'!$A$1:$F$32,MATCH(tbl_clean_sales[[#This Row],[target key]],'05_Target_Master'!$F$1:$F$32,0),3),"Missing")</f>
        <v>131000</v>
      </c>
    </row>
    <row r="276" spans="1:21" x14ac:dyDescent="0.3">
      <c r="A276" s="21">
        <v>46173</v>
      </c>
      <c r="B276" s="22" t="s">
        <v>307</v>
      </c>
      <c r="C276" s="22" t="s">
        <v>18</v>
      </c>
      <c r="D276" s="22" t="s">
        <v>19</v>
      </c>
      <c r="E276" s="22" t="s">
        <v>14</v>
      </c>
      <c r="F276" s="22">
        <v>10</v>
      </c>
      <c r="G276" s="23">
        <v>2298.5500000000002</v>
      </c>
      <c r="H276" s="25" t="str">
        <f>IF(COUNTIF(tbl_clean_sales[Invoice_ID],tbl_clean_sales[[#This Row],[Invoice_ID]])&gt;1,"Duplicate","Unique")</f>
        <v>Unique</v>
      </c>
      <c r="I276" s="25"/>
      <c r="J27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6" s="25" t="str">
        <f>IFERROR(VLOOKUP(tbl_clean_sales[[#This Row],[Employee_ID]],'02_Employee_Master'!$A$1:$C$12,2,FALSE),"Employee Name Missing")</f>
        <v>Rahul M</v>
      </c>
      <c r="L276" s="25" t="str">
        <f>IFERROR(VLOOKUP(tbl_clean_sales[[#This Row],[Employee_ID]],'02_Employee_Master'!$A$1:$C$12,3,FALSE),"Department Name Missing")</f>
        <v>Sales</v>
      </c>
      <c r="M276" s="25" t="str">
        <f>IF('03_Clean_data'!D276="","Missing",IFERROR(IF(VLOOKUP(D276,'03_Product_Master'!$A$1:$D$14,1,FALSE)='03_Clean_data'!D276,"Valid","Invalid"),"Invalid"))</f>
        <v>Valid</v>
      </c>
      <c r="N276" s="25" t="str">
        <f>IFERROR(VLOOKUP(tbl_clean_sales[[#This Row],[Product_ID]],'03_Product_Master'!$A$1:$D$14,2,FALSE),"Missing")</f>
        <v>Floor Cleaner</v>
      </c>
      <c r="O276" s="25" t="str">
        <f>IFERROR(VLOOKUP(tbl_clean_sales[[#This Row],[Product_ID]],'03_Product_Master'!$A$1:$D$14,3,FALSE),"Missing")</f>
        <v>Home Care</v>
      </c>
      <c r="P276" s="25">
        <f>IFERROR(VLOOKUP(tbl_clean_sales[[#This Row],[Product_ID]],'03_Product_Master'!$A$1:$D$14,4,FALSE),"Missing")</f>
        <v>230</v>
      </c>
      <c r="Q276" s="25" t="str">
        <f>IF('03_Clean_data'!E276="","Missing",IFERROR(IF(VLOOKUP(E276,'04_Branch_Master'!$A$1:$C$7,1,FALSE)='03_Clean_data'!E276,"Valid","Invalid"),"Invalid"))</f>
        <v>Valid</v>
      </c>
      <c r="R276" s="25" t="str">
        <f>IFERROR(VLOOKUP(tbl_clean_sales[[#This Row],[Branch_ID]],'04_Branch_Master'!$A$1:$C$7,2,FALSE),"Missing")</f>
        <v>Avinashi Road</v>
      </c>
      <c r="S276" s="25" t="str">
        <f>IFERROR(VLOOKUP(tbl_clean_sales[[#This Row],[Branch_ID]],'04_Branch_Master'!$A$1:$C$7,3,FALSE),"Missing")</f>
        <v>North</v>
      </c>
      <c r="T276" s="25" t="str">
        <f>C276&amp;"|"&amp;TEXT(tbl_clean_sales[[#This Row],[Date]],"yyyymm")</f>
        <v>E003|202605</v>
      </c>
      <c r="U276" s="25">
        <f>IFERROR(INDEX('05_Target_Master'!$A$1:$F$32,MATCH(tbl_clean_sales[[#This Row],[target key]],'05_Target_Master'!$F$1:$F$32,0),3),"Missing")</f>
        <v>126000</v>
      </c>
    </row>
    <row r="277" spans="1:21" x14ac:dyDescent="0.3">
      <c r="A277" s="21">
        <v>46123</v>
      </c>
      <c r="B277" s="22" t="s">
        <v>308</v>
      </c>
      <c r="C277" s="22" t="s">
        <v>74</v>
      </c>
      <c r="D277" s="22" t="s">
        <v>82</v>
      </c>
      <c r="E277" s="22" t="s">
        <v>22</v>
      </c>
      <c r="F277" s="22">
        <v>3</v>
      </c>
      <c r="G277" s="23">
        <v>336.29</v>
      </c>
      <c r="H277" s="25" t="str">
        <f>IF(COUNTIF(tbl_clean_sales[Invoice_ID],tbl_clean_sales[[#This Row],[Invoice_ID]])&gt;1,"Duplicate","Unique")</f>
        <v>Unique</v>
      </c>
      <c r="I277" s="25"/>
      <c r="J27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7" s="25" t="str">
        <f>IFERROR(VLOOKUP(tbl_clean_sales[[#This Row],[Employee_ID]],'02_Employee_Master'!$A$1:$C$12,2,FALSE),"Employee Name Missing")</f>
        <v>Arun Kumar</v>
      </c>
      <c r="L277" s="25" t="str">
        <f>IFERROR(VLOOKUP(tbl_clean_sales[[#This Row],[Employee_ID]],'02_Employee_Master'!$A$1:$C$12,3,FALSE),"Department Name Missing")</f>
        <v>Sales</v>
      </c>
      <c r="M277" s="25" t="str">
        <f>IF('03_Clean_data'!D277="","Missing",IFERROR(IF(VLOOKUP(D277,'03_Product_Master'!$A$1:$D$14,1,FALSE)='03_Clean_data'!D277,"Valid","Invalid"),"Invalid"))</f>
        <v>Valid</v>
      </c>
      <c r="N277" s="25" t="str">
        <f>IFERROR(VLOOKUP(tbl_clean_sales[[#This Row],[Product_ID]],'03_Product_Master'!$A$1:$D$14,2,FALSE),"Missing")</f>
        <v>Chocolate Bar</v>
      </c>
      <c r="O277" s="25" t="str">
        <f>IFERROR(VLOOKUP(tbl_clean_sales[[#This Row],[Product_ID]],'03_Product_Master'!$A$1:$D$14,3,FALSE),"Missing")</f>
        <v>Snacks</v>
      </c>
      <c r="P277" s="25">
        <f>IFERROR(VLOOKUP(tbl_clean_sales[[#This Row],[Product_ID]],'03_Product_Master'!$A$1:$D$14,4,FALSE),"Missing")</f>
        <v>120</v>
      </c>
      <c r="Q277" s="25" t="str">
        <f>IF('03_Clean_data'!E277="","Missing",IFERROR(IF(VLOOKUP(E277,'04_Branch_Master'!$A$1:$C$7,1,FALSE)='03_Clean_data'!E277,"Valid","Invalid"),"Invalid"))</f>
        <v>Valid</v>
      </c>
      <c r="R277" s="25" t="str">
        <f>IFERROR(VLOOKUP(tbl_clean_sales[[#This Row],[Branch_ID]],'04_Branch_Master'!$A$1:$C$7,2,FALSE),"Missing")</f>
        <v>Tirupur Central</v>
      </c>
      <c r="S277" s="25" t="str">
        <f>IFERROR(VLOOKUP(tbl_clean_sales[[#This Row],[Branch_ID]],'04_Branch_Master'!$A$1:$C$7,3,FALSE),"Missing")</f>
        <v>North</v>
      </c>
      <c r="T277" s="25" t="str">
        <f>C277&amp;"|"&amp;TEXT(tbl_clean_sales[[#This Row],[Date]],"yyyymm")</f>
        <v>E001|202604</v>
      </c>
      <c r="U277" s="25">
        <f>IFERROR(INDEX('05_Target_Master'!$A$1:$F$32,MATCH(tbl_clean_sales[[#This Row],[target key]],'05_Target_Master'!$F$1:$F$32,0),3),"Missing")</f>
        <v>156900</v>
      </c>
    </row>
    <row r="278" spans="1:21" x14ac:dyDescent="0.3">
      <c r="A278" s="21">
        <v>46190</v>
      </c>
      <c r="B278" s="22" t="s">
        <v>309</v>
      </c>
      <c r="C278" s="22" t="s">
        <v>8</v>
      </c>
      <c r="D278" s="22" t="s">
        <v>16</v>
      </c>
      <c r="E278" s="22" t="s">
        <v>10</v>
      </c>
      <c r="F278" s="22">
        <v>5</v>
      </c>
      <c r="G278" s="23">
        <v>1505.8</v>
      </c>
      <c r="H278" s="25" t="str">
        <f>IF(COUNTIF(tbl_clean_sales[Invoice_ID],tbl_clean_sales[[#This Row],[Invoice_ID]])&gt;1,"Duplicate","Unique")</f>
        <v>Unique</v>
      </c>
      <c r="I278" s="25"/>
      <c r="J27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8" s="25" t="str">
        <f>IFERROR(VLOOKUP(tbl_clean_sales[[#This Row],[Employee_ID]],'02_Employee_Master'!$A$1:$C$12,2,FALSE),"Employee Name Missing")</f>
        <v>Vignesh R</v>
      </c>
      <c r="L278" s="25" t="str">
        <f>IFERROR(VLOOKUP(tbl_clean_sales[[#This Row],[Employee_ID]],'02_Employee_Master'!$A$1:$C$12,3,FALSE),"Department Name Missing")</f>
        <v>Sales</v>
      </c>
      <c r="M278" s="25" t="str">
        <f>IF('03_Clean_data'!D278="","Missing",IFERROR(IF(VLOOKUP(D278,'03_Product_Master'!$A$1:$D$14,1,FALSE)='03_Clean_data'!D278,"Valid","Invalid"),"Invalid"))</f>
        <v>Valid</v>
      </c>
      <c r="N278" s="25" t="str">
        <f>IFERROR(VLOOKUP(tbl_clean_sales[[#This Row],[Product_ID]],'03_Product_Master'!$A$1:$D$14,2,FALSE),"Missing")</f>
        <v>Shampoo</v>
      </c>
      <c r="O278" s="25" t="str">
        <f>IFERROR(VLOOKUP(tbl_clean_sales[[#This Row],[Product_ID]],'03_Product_Master'!$A$1:$D$14,3,FALSE),"Missing")</f>
        <v>Personal Care</v>
      </c>
      <c r="P278" s="25">
        <f>IFERROR(VLOOKUP(tbl_clean_sales[[#This Row],[Product_ID]],'03_Product_Master'!$A$1:$D$14,4,FALSE),"Missing")</f>
        <v>310</v>
      </c>
      <c r="Q278" s="25" t="str">
        <f>IF('03_Clean_data'!E278="","Missing",IFERROR(IF(VLOOKUP(E278,'04_Branch_Master'!$A$1:$C$7,1,FALSE)='03_Clean_data'!E278,"Valid","Invalid"),"Invalid"))</f>
        <v>Valid</v>
      </c>
      <c r="R278" s="25" t="str">
        <f>IFERROR(VLOOKUP(tbl_clean_sales[[#This Row],[Branch_ID]],'04_Branch_Master'!$A$1:$C$7,2,FALSE),"Missing")</f>
        <v>Dharapuram</v>
      </c>
      <c r="S278" s="25" t="str">
        <f>IFERROR(VLOOKUP(tbl_clean_sales[[#This Row],[Branch_ID]],'04_Branch_Master'!$A$1:$C$7,3,FALSE),"Missing")</f>
        <v>South</v>
      </c>
      <c r="T278" s="25" t="str">
        <f>C278&amp;"|"&amp;TEXT(tbl_clean_sales[[#This Row],[Date]],"yyyymm")</f>
        <v>E009|202606</v>
      </c>
      <c r="U278" s="25">
        <f>IFERROR(INDEX('05_Target_Master'!$A$1:$F$32,MATCH(tbl_clean_sales[[#This Row],[target key]],'05_Target_Master'!$F$1:$F$32,0),3),"Missing")</f>
        <v>156700</v>
      </c>
    </row>
    <row r="279" spans="1:21" x14ac:dyDescent="0.3">
      <c r="A279" s="21">
        <v>46128</v>
      </c>
      <c r="B279" s="22" t="s">
        <v>310</v>
      </c>
      <c r="C279" s="22" t="s">
        <v>74</v>
      </c>
      <c r="D279" s="22" t="s">
        <v>30</v>
      </c>
      <c r="E279" s="22" t="s">
        <v>22</v>
      </c>
      <c r="F279" s="22">
        <v>10</v>
      </c>
      <c r="G279" s="23">
        <v>1512.23</v>
      </c>
      <c r="H279" s="25" t="str">
        <f>IF(COUNTIF(tbl_clean_sales[Invoice_ID],tbl_clean_sales[[#This Row],[Invoice_ID]])&gt;1,"Duplicate","Unique")</f>
        <v>Unique</v>
      </c>
      <c r="I279" s="25"/>
      <c r="J27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79" s="25" t="str">
        <f>IFERROR(VLOOKUP(tbl_clean_sales[[#This Row],[Employee_ID]],'02_Employee_Master'!$A$1:$C$12,2,FALSE),"Employee Name Missing")</f>
        <v>Arun Kumar</v>
      </c>
      <c r="L279" s="25" t="str">
        <f>IFERROR(VLOOKUP(tbl_clean_sales[[#This Row],[Employee_ID]],'02_Employee_Master'!$A$1:$C$12,3,FALSE),"Department Name Missing")</f>
        <v>Sales</v>
      </c>
      <c r="M279" s="25" t="str">
        <f>IF('03_Clean_data'!D279="","Missing",IFERROR(IF(VLOOKUP(D279,'03_Product_Master'!$A$1:$D$14,1,FALSE)='03_Clean_data'!D279,"Valid","Invalid"),"Invalid"))</f>
        <v>Valid</v>
      </c>
      <c r="N279" s="25" t="str">
        <f>IFERROR(VLOOKUP(tbl_clean_sales[[#This Row],[Product_ID]],'03_Product_Master'!$A$1:$D$14,2,FALSE),"Missing")</f>
        <v>Cookies Pack</v>
      </c>
      <c r="O279" s="25" t="str">
        <f>IFERROR(VLOOKUP(tbl_clean_sales[[#This Row],[Product_ID]],'03_Product_Master'!$A$1:$D$14,3,FALSE),"Missing")</f>
        <v>Snacks</v>
      </c>
      <c r="P279" s="25">
        <f>IFERROR(VLOOKUP(tbl_clean_sales[[#This Row],[Product_ID]],'03_Product_Master'!$A$1:$D$14,4,FALSE),"Missing")</f>
        <v>160</v>
      </c>
      <c r="Q279" s="25" t="str">
        <f>IF('03_Clean_data'!E279="","Missing",IFERROR(IF(VLOOKUP(E279,'04_Branch_Master'!$A$1:$C$7,1,FALSE)='03_Clean_data'!E279,"Valid","Invalid"),"Invalid"))</f>
        <v>Valid</v>
      </c>
      <c r="R279" s="25" t="str">
        <f>IFERROR(VLOOKUP(tbl_clean_sales[[#This Row],[Branch_ID]],'04_Branch_Master'!$A$1:$C$7,2,FALSE),"Missing")</f>
        <v>Tirupur Central</v>
      </c>
      <c r="S279" s="25" t="str">
        <f>IFERROR(VLOOKUP(tbl_clean_sales[[#This Row],[Branch_ID]],'04_Branch_Master'!$A$1:$C$7,3,FALSE),"Missing")</f>
        <v>North</v>
      </c>
      <c r="T279" s="25" t="str">
        <f>C279&amp;"|"&amp;TEXT(tbl_clean_sales[[#This Row],[Date]],"yyyymm")</f>
        <v>E001|202604</v>
      </c>
      <c r="U279" s="25">
        <f>IFERROR(INDEX('05_Target_Master'!$A$1:$F$32,MATCH(tbl_clean_sales[[#This Row],[target key]],'05_Target_Master'!$F$1:$F$32,0),3),"Missing")</f>
        <v>156900</v>
      </c>
    </row>
    <row r="280" spans="1:21" x14ac:dyDescent="0.3">
      <c r="A280" s="21">
        <v>46127</v>
      </c>
      <c r="B280" s="22" t="s">
        <v>311</v>
      </c>
      <c r="C280" s="22" t="s">
        <v>38</v>
      </c>
      <c r="D280" s="22" t="s">
        <v>36</v>
      </c>
      <c r="E280" s="22" t="s">
        <v>32</v>
      </c>
      <c r="F280" s="22">
        <v>11</v>
      </c>
      <c r="G280" s="23">
        <v>1960.74</v>
      </c>
      <c r="H280" s="25" t="str">
        <f>IF(COUNTIF(tbl_clean_sales[Invoice_ID],tbl_clean_sales[[#This Row],[Invoice_ID]])&gt;1,"Duplicate","Unique")</f>
        <v>Unique</v>
      </c>
      <c r="I280" s="25"/>
      <c r="J28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0" s="25" t="str">
        <f>IFERROR(VLOOKUP(tbl_clean_sales[[#This Row],[Employee_ID]],'02_Employee_Master'!$A$1:$C$12,2,FALSE),"Employee Name Missing")</f>
        <v>Nandhini K</v>
      </c>
      <c r="L280" s="25" t="str">
        <f>IFERROR(VLOOKUP(tbl_clean_sales[[#This Row],[Employee_ID]],'02_Employee_Master'!$A$1:$C$12,3,FALSE),"Department Name Missing")</f>
        <v>Sales</v>
      </c>
      <c r="M280" s="25" t="str">
        <f>IF('03_Clean_data'!D280="","Missing",IFERROR(IF(VLOOKUP(D280,'03_Product_Master'!$A$1:$D$14,1,FALSE)='03_Clean_data'!D280,"Valid","Invalid"),"Invalid"))</f>
        <v>Valid</v>
      </c>
      <c r="N280" s="25" t="str">
        <f>IFERROR(VLOOKUP(tbl_clean_sales[[#This Row],[Product_ID]],'03_Product_Master'!$A$1:$D$14,2,FALSE),"Missing")</f>
        <v>Dish Wash</v>
      </c>
      <c r="O280" s="25" t="str">
        <f>IFERROR(VLOOKUP(tbl_clean_sales[[#This Row],[Product_ID]],'03_Product_Master'!$A$1:$D$14,3,FALSE),"Missing")</f>
        <v>Home Care</v>
      </c>
      <c r="P280" s="25">
        <f>IFERROR(VLOOKUP(tbl_clean_sales[[#This Row],[Product_ID]],'03_Product_Master'!$A$1:$D$14,4,FALSE),"Missing")</f>
        <v>190</v>
      </c>
      <c r="Q280" s="25" t="str">
        <f>IF('03_Clean_data'!E280="","Missing",IFERROR(IF(VLOOKUP(E280,'04_Branch_Master'!$A$1:$C$7,1,FALSE)='03_Clean_data'!E280,"Valid","Invalid"),"Invalid"))</f>
        <v>Valid</v>
      </c>
      <c r="R280" s="25" t="str">
        <f>IFERROR(VLOOKUP(tbl_clean_sales[[#This Row],[Branch_ID]],'04_Branch_Master'!$A$1:$C$7,2,FALSE),"Missing")</f>
        <v>Kangeyam</v>
      </c>
      <c r="S280" s="25" t="str">
        <f>IFERROR(VLOOKUP(tbl_clean_sales[[#This Row],[Branch_ID]],'04_Branch_Master'!$A$1:$C$7,3,FALSE),"Missing")</f>
        <v>East</v>
      </c>
      <c r="T280" s="25" t="str">
        <f>C280&amp;"|"&amp;TEXT(tbl_clean_sales[[#This Row],[Date]],"yyyymm")</f>
        <v>E008|202604</v>
      </c>
      <c r="U280" s="25">
        <f>IFERROR(INDEX('05_Target_Master'!$A$1:$F$32,MATCH(tbl_clean_sales[[#This Row],[target key]],'05_Target_Master'!$F$1:$F$32,0),3),"Missing")</f>
        <v>124100</v>
      </c>
    </row>
    <row r="281" spans="1:21" x14ac:dyDescent="0.3">
      <c r="A281" s="21">
        <v>46143</v>
      </c>
      <c r="B281" s="22" t="s">
        <v>312</v>
      </c>
      <c r="C281" s="22" t="s">
        <v>18</v>
      </c>
      <c r="D281" s="22" t="s">
        <v>82</v>
      </c>
      <c r="E281" s="22" t="s">
        <v>14</v>
      </c>
      <c r="F281" s="22">
        <v>10</v>
      </c>
      <c r="G281" s="23">
        <v>1149.19</v>
      </c>
      <c r="H281" s="25" t="str">
        <f>IF(COUNTIF(tbl_clean_sales[Invoice_ID],tbl_clean_sales[[#This Row],[Invoice_ID]])&gt;1,"Duplicate","Unique")</f>
        <v>Unique</v>
      </c>
      <c r="I281" s="25"/>
      <c r="J28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1" s="25" t="str">
        <f>IFERROR(VLOOKUP(tbl_clean_sales[[#This Row],[Employee_ID]],'02_Employee_Master'!$A$1:$C$12,2,FALSE),"Employee Name Missing")</f>
        <v>Rahul M</v>
      </c>
      <c r="L281" s="25" t="str">
        <f>IFERROR(VLOOKUP(tbl_clean_sales[[#This Row],[Employee_ID]],'02_Employee_Master'!$A$1:$C$12,3,FALSE),"Department Name Missing")</f>
        <v>Sales</v>
      </c>
      <c r="M281" s="25" t="str">
        <f>IF('03_Clean_data'!D281="","Missing",IFERROR(IF(VLOOKUP(D281,'03_Product_Master'!$A$1:$D$14,1,FALSE)='03_Clean_data'!D281,"Valid","Invalid"),"Invalid"))</f>
        <v>Valid</v>
      </c>
      <c r="N281" s="25" t="str">
        <f>IFERROR(VLOOKUP(tbl_clean_sales[[#This Row],[Product_ID]],'03_Product_Master'!$A$1:$D$14,2,FALSE),"Missing")</f>
        <v>Chocolate Bar</v>
      </c>
      <c r="O281" s="25" t="str">
        <f>IFERROR(VLOOKUP(tbl_clean_sales[[#This Row],[Product_ID]],'03_Product_Master'!$A$1:$D$14,3,FALSE),"Missing")</f>
        <v>Snacks</v>
      </c>
      <c r="P281" s="25">
        <f>IFERROR(VLOOKUP(tbl_clean_sales[[#This Row],[Product_ID]],'03_Product_Master'!$A$1:$D$14,4,FALSE),"Missing")</f>
        <v>120</v>
      </c>
      <c r="Q281" s="25" t="str">
        <f>IF('03_Clean_data'!E281="","Missing",IFERROR(IF(VLOOKUP(E281,'04_Branch_Master'!$A$1:$C$7,1,FALSE)='03_Clean_data'!E281,"Valid","Invalid"),"Invalid"))</f>
        <v>Valid</v>
      </c>
      <c r="R281" s="25" t="str">
        <f>IFERROR(VLOOKUP(tbl_clean_sales[[#This Row],[Branch_ID]],'04_Branch_Master'!$A$1:$C$7,2,FALSE),"Missing")</f>
        <v>Avinashi Road</v>
      </c>
      <c r="S281" s="25" t="str">
        <f>IFERROR(VLOOKUP(tbl_clean_sales[[#This Row],[Branch_ID]],'04_Branch_Master'!$A$1:$C$7,3,FALSE),"Missing")</f>
        <v>North</v>
      </c>
      <c r="T281" s="25" t="str">
        <f>C281&amp;"|"&amp;TEXT(tbl_clean_sales[[#This Row],[Date]],"yyyymm")</f>
        <v>E003|202605</v>
      </c>
      <c r="U281" s="25">
        <f>IFERROR(INDEX('05_Target_Master'!$A$1:$F$32,MATCH(tbl_clean_sales[[#This Row],[target key]],'05_Target_Master'!$F$1:$F$32,0),3),"Missing")</f>
        <v>126000</v>
      </c>
    </row>
    <row r="282" spans="1:21" x14ac:dyDescent="0.3">
      <c r="A282" s="21">
        <v>46186</v>
      </c>
      <c r="B282" s="22" t="s">
        <v>313</v>
      </c>
      <c r="C282" s="22" t="s">
        <v>46</v>
      </c>
      <c r="D282" s="22" t="s">
        <v>53</v>
      </c>
      <c r="E282" s="22" t="s">
        <v>32</v>
      </c>
      <c r="F282" s="22">
        <v>2</v>
      </c>
      <c r="G282" s="23">
        <v>656.03</v>
      </c>
      <c r="H282" s="25" t="str">
        <f>IF(COUNTIF(tbl_clean_sales[Invoice_ID],tbl_clean_sales[[#This Row],[Invoice_ID]])&gt;1,"Duplicate","Unique")</f>
        <v>Unique</v>
      </c>
      <c r="I282" s="25"/>
      <c r="J28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2" s="25" t="str">
        <f>IFERROR(VLOOKUP(tbl_clean_sales[[#This Row],[Employee_ID]],'02_Employee_Master'!$A$1:$C$12,2,FALSE),"Employee Name Missing")</f>
        <v>Suresh B</v>
      </c>
      <c r="L282" s="25" t="str">
        <f>IFERROR(VLOOKUP(tbl_clean_sales[[#This Row],[Employee_ID]],'02_Employee_Master'!$A$1:$C$12,3,FALSE),"Department Name Missing")</f>
        <v>Sales</v>
      </c>
      <c r="M282" s="25" t="str">
        <f>IF('03_Clean_data'!D282="","Missing",IFERROR(IF(VLOOKUP(D282,'03_Product_Master'!$A$1:$D$14,1,FALSE)='03_Clean_data'!D282,"Valid","Invalid"),"Invalid"))</f>
        <v>Valid</v>
      </c>
      <c r="N282" s="25" t="str">
        <f>IFERROR(VLOOKUP(tbl_clean_sales[[#This Row],[Product_ID]],'03_Product_Master'!$A$1:$D$14,2,FALSE),"Missing")</f>
        <v>Instant Coffee</v>
      </c>
      <c r="O282" s="25" t="str">
        <f>IFERROR(VLOOKUP(tbl_clean_sales[[#This Row],[Product_ID]],'03_Product_Master'!$A$1:$D$14,3,FALSE),"Missing")</f>
        <v>Beverages</v>
      </c>
      <c r="P282" s="25">
        <f>IFERROR(VLOOKUP(tbl_clean_sales[[#This Row],[Product_ID]],'03_Product_Master'!$A$1:$D$14,4,FALSE),"Missing")</f>
        <v>350</v>
      </c>
      <c r="Q282" s="25" t="str">
        <f>IF('03_Clean_data'!E282="","Missing",IFERROR(IF(VLOOKUP(E282,'04_Branch_Master'!$A$1:$C$7,1,FALSE)='03_Clean_data'!E282,"Valid","Invalid"),"Invalid"))</f>
        <v>Valid</v>
      </c>
      <c r="R282" s="25" t="str">
        <f>IFERROR(VLOOKUP(tbl_clean_sales[[#This Row],[Branch_ID]],'04_Branch_Master'!$A$1:$C$7,2,FALSE),"Missing")</f>
        <v>Kangeyam</v>
      </c>
      <c r="S282" s="25" t="str">
        <f>IFERROR(VLOOKUP(tbl_clean_sales[[#This Row],[Branch_ID]],'04_Branch_Master'!$A$1:$C$7,3,FALSE),"Missing")</f>
        <v>East</v>
      </c>
      <c r="T282" s="25" t="str">
        <f>C282&amp;"|"&amp;TEXT(tbl_clean_sales[[#This Row],[Date]],"yyyymm")</f>
        <v>E007|202606</v>
      </c>
      <c r="U282" s="25">
        <f>IFERROR(INDEX('05_Target_Master'!$A$1:$F$32,MATCH(tbl_clean_sales[[#This Row],[target key]],'05_Target_Master'!$F$1:$F$32,0),3),"Missing")</f>
        <v>124400</v>
      </c>
    </row>
    <row r="283" spans="1:21" x14ac:dyDescent="0.3">
      <c r="A283" s="21">
        <v>46159</v>
      </c>
      <c r="B283" s="22" t="s">
        <v>314</v>
      </c>
      <c r="C283" s="22" t="s">
        <v>21</v>
      </c>
      <c r="D283" s="22" t="s">
        <v>13</v>
      </c>
      <c r="E283" s="22" t="s">
        <v>22</v>
      </c>
      <c r="F283" s="22">
        <v>9</v>
      </c>
      <c r="G283" s="23">
        <v>3276.59</v>
      </c>
      <c r="H283" s="25" t="str">
        <f>IF(COUNTIF(tbl_clean_sales[Invoice_ID],tbl_clean_sales[[#This Row],[Invoice_ID]])&gt;1,"Duplicate","Unique")</f>
        <v>Unique</v>
      </c>
      <c r="I283" s="25"/>
      <c r="J28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3" s="25" t="str">
        <f>IFERROR(VLOOKUP(tbl_clean_sales[[#This Row],[Employee_ID]],'02_Employee_Master'!$A$1:$C$12,2,FALSE),"Employee Name Missing")</f>
        <v>Priya S</v>
      </c>
      <c r="L283" s="25" t="str">
        <f>IFERROR(VLOOKUP(tbl_clean_sales[[#This Row],[Employee_ID]],'02_Employee_Master'!$A$1:$C$12,3,FALSE),"Department Name Missing")</f>
        <v>Sales</v>
      </c>
      <c r="M283" s="25" t="str">
        <f>IF('03_Clean_data'!D283="","Missing",IFERROR(IF(VLOOKUP(D283,'03_Product_Master'!$A$1:$D$14,1,FALSE)='03_Clean_data'!D283,"Valid","Invalid"),"Invalid"))</f>
        <v>Valid</v>
      </c>
      <c r="N283" s="25" t="str">
        <f>IFERROR(VLOOKUP(tbl_clean_sales[[#This Row],[Product_ID]],'03_Product_Master'!$A$1:$D$14,2,FALSE),"Missing")</f>
        <v>Body Lotion</v>
      </c>
      <c r="O283" s="25" t="str">
        <f>IFERROR(VLOOKUP(tbl_clean_sales[[#This Row],[Product_ID]],'03_Product_Master'!$A$1:$D$14,3,FALSE),"Missing")</f>
        <v>Personal Care</v>
      </c>
      <c r="P283" s="25">
        <f>IFERROR(VLOOKUP(tbl_clean_sales[[#This Row],[Product_ID]],'03_Product_Master'!$A$1:$D$14,4,FALSE),"Missing")</f>
        <v>390</v>
      </c>
      <c r="Q283" s="25" t="str">
        <f>IF('03_Clean_data'!E283="","Missing",IFERROR(IF(VLOOKUP(E283,'04_Branch_Master'!$A$1:$C$7,1,FALSE)='03_Clean_data'!E283,"Valid","Invalid"),"Invalid"))</f>
        <v>Valid</v>
      </c>
      <c r="R283" s="25" t="str">
        <f>IFERROR(VLOOKUP(tbl_clean_sales[[#This Row],[Branch_ID]],'04_Branch_Master'!$A$1:$C$7,2,FALSE),"Missing")</f>
        <v>Tirupur Central</v>
      </c>
      <c r="S283" s="25" t="str">
        <f>IFERROR(VLOOKUP(tbl_clean_sales[[#This Row],[Branch_ID]],'04_Branch_Master'!$A$1:$C$7,3,FALSE),"Missing")</f>
        <v>North</v>
      </c>
      <c r="T283" s="25" t="str">
        <f>C283&amp;"|"&amp;TEXT(tbl_clean_sales[[#This Row],[Date]],"yyyymm")</f>
        <v>E002|202605</v>
      </c>
      <c r="U283" s="25">
        <f>IFERROR(INDEX('05_Target_Master'!$A$1:$F$32,MATCH(tbl_clean_sales[[#This Row],[target key]],'05_Target_Master'!$F$1:$F$32,0),3),"Missing")</f>
        <v>132100</v>
      </c>
    </row>
    <row r="284" spans="1:21" x14ac:dyDescent="0.3">
      <c r="A284" s="21">
        <v>46162</v>
      </c>
      <c r="B284" s="22" t="s">
        <v>315</v>
      </c>
      <c r="C284" s="22" t="s">
        <v>38</v>
      </c>
      <c r="D284" s="22" t="s">
        <v>25</v>
      </c>
      <c r="E284" s="22" t="s">
        <v>32</v>
      </c>
      <c r="F284" s="22">
        <v>6</v>
      </c>
      <c r="G284" s="23">
        <v>2443.3000000000002</v>
      </c>
      <c r="H284" s="25" t="str">
        <f>IF(COUNTIF(tbl_clean_sales[Invoice_ID],tbl_clean_sales[[#This Row],[Invoice_ID]])&gt;1,"Duplicate","Unique")</f>
        <v>Unique</v>
      </c>
      <c r="I284" s="25"/>
      <c r="J28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4" s="25" t="str">
        <f>IFERROR(VLOOKUP(tbl_clean_sales[[#This Row],[Employee_ID]],'02_Employee_Master'!$A$1:$C$12,2,FALSE),"Employee Name Missing")</f>
        <v>Nandhini K</v>
      </c>
      <c r="L284" s="25" t="str">
        <f>IFERROR(VLOOKUP(tbl_clean_sales[[#This Row],[Employee_ID]],'02_Employee_Master'!$A$1:$C$12,3,FALSE),"Department Name Missing")</f>
        <v>Sales</v>
      </c>
      <c r="M284" s="25" t="str">
        <f>IF('03_Clean_data'!D284="","Missing",IFERROR(IF(VLOOKUP(D284,'03_Product_Master'!$A$1:$D$14,1,FALSE)='03_Clean_data'!D284,"Valid","Invalid"),"Invalid"))</f>
        <v>Valid</v>
      </c>
      <c r="N284" s="25" t="str">
        <f>IFERROR(VLOOKUP(tbl_clean_sales[[#This Row],[Product_ID]],'03_Product_Master'!$A$1:$D$14,2,FALSE),"Missing")</f>
        <v>Premium Coffee</v>
      </c>
      <c r="O284" s="25" t="str">
        <f>IFERROR(VLOOKUP(tbl_clean_sales[[#This Row],[Product_ID]],'03_Product_Master'!$A$1:$D$14,3,FALSE),"Missing")</f>
        <v>Beverages</v>
      </c>
      <c r="P284" s="25">
        <f>IFERROR(VLOOKUP(tbl_clean_sales[[#This Row],[Product_ID]],'03_Product_Master'!$A$1:$D$14,4,FALSE),"Missing")</f>
        <v>420</v>
      </c>
      <c r="Q284" s="25" t="str">
        <f>IF('03_Clean_data'!E284="","Missing",IFERROR(IF(VLOOKUP(E284,'04_Branch_Master'!$A$1:$C$7,1,FALSE)='03_Clean_data'!E284,"Valid","Invalid"),"Invalid"))</f>
        <v>Valid</v>
      </c>
      <c r="R284" s="25" t="str">
        <f>IFERROR(VLOOKUP(tbl_clean_sales[[#This Row],[Branch_ID]],'04_Branch_Master'!$A$1:$C$7,2,FALSE),"Missing")</f>
        <v>Kangeyam</v>
      </c>
      <c r="S284" s="25" t="str">
        <f>IFERROR(VLOOKUP(tbl_clean_sales[[#This Row],[Branch_ID]],'04_Branch_Master'!$A$1:$C$7,3,FALSE),"Missing")</f>
        <v>East</v>
      </c>
      <c r="T284" s="25" t="str">
        <f>C284&amp;"|"&amp;TEXT(tbl_clean_sales[[#This Row],[Date]],"yyyymm")</f>
        <v>E008|202605</v>
      </c>
      <c r="U284" s="25">
        <f>IFERROR(INDEX('05_Target_Master'!$A$1:$F$32,MATCH(tbl_clean_sales[[#This Row],[target key]],'05_Target_Master'!$F$1:$F$32,0),3),"Missing")</f>
        <v>134100</v>
      </c>
    </row>
    <row r="285" spans="1:21" x14ac:dyDescent="0.3">
      <c r="A285" s="21">
        <v>46115</v>
      </c>
      <c r="B285" s="22" t="s">
        <v>316</v>
      </c>
      <c r="C285" s="22" t="s">
        <v>40</v>
      </c>
      <c r="D285" s="22" t="s">
        <v>9</v>
      </c>
      <c r="E285" s="22" t="s">
        <v>26</v>
      </c>
      <c r="F285" s="22">
        <v>12</v>
      </c>
      <c r="G285" s="23">
        <v>3095.06</v>
      </c>
      <c r="H285" s="25" t="str">
        <f>IF(COUNTIF(tbl_clean_sales[Invoice_ID],tbl_clean_sales[[#This Row],[Invoice_ID]])&gt;1,"Duplicate","Unique")</f>
        <v>Unique</v>
      </c>
      <c r="I285" s="25"/>
      <c r="J28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5" s="25" t="str">
        <f>IFERROR(VLOOKUP(tbl_clean_sales[[#This Row],[Employee_ID]],'02_Employee_Master'!$A$1:$C$12,2,FALSE),"Employee Name Missing")</f>
        <v>Meena V</v>
      </c>
      <c r="L285" s="25" t="str">
        <f>IFERROR(VLOOKUP(tbl_clean_sales[[#This Row],[Employee_ID]],'02_Employee_Master'!$A$1:$C$12,3,FALSE),"Department Name Missing")</f>
        <v>Sales</v>
      </c>
      <c r="M285" s="25" t="str">
        <f>IF('03_Clean_data'!D285="","Missing",IFERROR(IF(VLOOKUP(D285,'03_Product_Master'!$A$1:$D$14,1,FALSE)='03_Clean_data'!D285,"Valid","Invalid"),"Invalid"))</f>
        <v>Valid</v>
      </c>
      <c r="N285" s="25" t="str">
        <f>IFERROR(VLOOKUP(tbl_clean_sales[[#This Row],[Product_ID]],'03_Product_Master'!$A$1:$D$14,2,FALSE),"Missing")</f>
        <v>Green Tea</v>
      </c>
      <c r="O285" s="25" t="str">
        <f>IFERROR(VLOOKUP(tbl_clean_sales[[#This Row],[Product_ID]],'03_Product_Master'!$A$1:$D$14,3,FALSE),"Missing")</f>
        <v>Beverages</v>
      </c>
      <c r="P285" s="25">
        <f>IFERROR(VLOOKUP(tbl_clean_sales[[#This Row],[Product_ID]],'03_Product_Master'!$A$1:$D$14,4,FALSE),"Missing")</f>
        <v>280</v>
      </c>
      <c r="Q285" s="25" t="str">
        <f>IF('03_Clean_data'!E285="","Missing",IFERROR(IF(VLOOKUP(E285,'04_Branch_Master'!$A$1:$C$7,1,FALSE)='03_Clean_data'!E285,"Valid","Invalid"),"Invalid"))</f>
        <v>Valid</v>
      </c>
      <c r="R285" s="25" t="str">
        <f>IFERROR(VLOOKUP(tbl_clean_sales[[#This Row],[Branch_ID]],'04_Branch_Master'!$A$1:$C$7,2,FALSE),"Missing")</f>
        <v>Palladam</v>
      </c>
      <c r="S285" s="25" t="str">
        <f>IFERROR(VLOOKUP(tbl_clean_sales[[#This Row],[Branch_ID]],'04_Branch_Master'!$A$1:$C$7,3,FALSE),"Missing")</f>
        <v>South</v>
      </c>
      <c r="T285" s="25" t="str">
        <f>C285&amp;"|"&amp;TEXT(tbl_clean_sales[[#This Row],[Date]],"yyyymm")</f>
        <v>E006|202604</v>
      </c>
      <c r="U285" s="25">
        <f>IFERROR(INDEX('05_Target_Master'!$A$1:$F$32,MATCH(tbl_clean_sales[[#This Row],[target key]],'05_Target_Master'!$F$1:$F$32,0),3),"Missing")</f>
        <v>131000</v>
      </c>
    </row>
    <row r="286" spans="1:21" x14ac:dyDescent="0.3">
      <c r="A286" s="21">
        <v>46126</v>
      </c>
      <c r="B286" s="22" t="s">
        <v>317</v>
      </c>
      <c r="C286" s="22" t="s">
        <v>29</v>
      </c>
      <c r="D286" s="22" t="s">
        <v>19</v>
      </c>
      <c r="E286" s="22" t="s">
        <v>10</v>
      </c>
      <c r="F286" s="22">
        <v>3</v>
      </c>
      <c r="G286" s="23">
        <v>686.33</v>
      </c>
      <c r="H286" s="25" t="str">
        <f>IF(COUNTIF(tbl_clean_sales[Invoice_ID],tbl_clean_sales[[#This Row],[Invoice_ID]])&gt;1,"Duplicate","Unique")</f>
        <v>Unique</v>
      </c>
      <c r="I286" s="25"/>
      <c r="J28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6" s="25" t="str">
        <f>IFERROR(VLOOKUP(tbl_clean_sales[[#This Row],[Employee_ID]],'02_Employee_Master'!$A$1:$C$12,2,FALSE),"Employee Name Missing")</f>
        <v>Swetha L</v>
      </c>
      <c r="L286" s="25" t="str">
        <f>IFERROR(VLOOKUP(tbl_clean_sales[[#This Row],[Employee_ID]],'02_Employee_Master'!$A$1:$C$12,3,FALSE),"Department Name Missing")</f>
        <v>Sales</v>
      </c>
      <c r="M286" s="25" t="str">
        <f>IF('03_Clean_data'!D286="","Missing",IFERROR(IF(VLOOKUP(D286,'03_Product_Master'!$A$1:$D$14,1,FALSE)='03_Clean_data'!D286,"Valid","Invalid"),"Invalid"))</f>
        <v>Valid</v>
      </c>
      <c r="N286" s="25" t="str">
        <f>IFERROR(VLOOKUP(tbl_clean_sales[[#This Row],[Product_ID]],'03_Product_Master'!$A$1:$D$14,2,FALSE),"Missing")</f>
        <v>Floor Cleaner</v>
      </c>
      <c r="O286" s="25" t="str">
        <f>IFERROR(VLOOKUP(tbl_clean_sales[[#This Row],[Product_ID]],'03_Product_Master'!$A$1:$D$14,3,FALSE),"Missing")</f>
        <v>Home Care</v>
      </c>
      <c r="P286" s="25">
        <f>IFERROR(VLOOKUP(tbl_clean_sales[[#This Row],[Product_ID]],'03_Product_Master'!$A$1:$D$14,4,FALSE),"Missing")</f>
        <v>230</v>
      </c>
      <c r="Q286" s="25" t="str">
        <f>IF('03_Clean_data'!E286="","Missing",IFERROR(IF(VLOOKUP(E286,'04_Branch_Master'!$A$1:$C$7,1,FALSE)='03_Clean_data'!E286,"Valid","Invalid"),"Invalid"))</f>
        <v>Valid</v>
      </c>
      <c r="R286" s="25" t="str">
        <f>IFERROR(VLOOKUP(tbl_clean_sales[[#This Row],[Branch_ID]],'04_Branch_Master'!$A$1:$C$7,2,FALSE),"Missing")</f>
        <v>Dharapuram</v>
      </c>
      <c r="S286" s="25" t="str">
        <f>IFERROR(VLOOKUP(tbl_clean_sales[[#This Row],[Branch_ID]],'04_Branch_Master'!$A$1:$C$7,3,FALSE),"Missing")</f>
        <v>South</v>
      </c>
      <c r="T286" s="25" t="str">
        <f>C286&amp;"|"&amp;TEXT(tbl_clean_sales[[#This Row],[Date]],"yyyymm")</f>
        <v>E010|202604</v>
      </c>
      <c r="U286" s="25">
        <f>IFERROR(INDEX('05_Target_Master'!$A$1:$F$32,MATCH(tbl_clean_sales[[#This Row],[target key]],'05_Target_Master'!$F$1:$F$32,0),3),"Missing")</f>
        <v>121700</v>
      </c>
    </row>
    <row r="287" spans="1:21" x14ac:dyDescent="0.3">
      <c r="A287" s="21">
        <v>46182</v>
      </c>
      <c r="B287" s="22" t="s">
        <v>318</v>
      </c>
      <c r="C287" s="22" t="s">
        <v>40</v>
      </c>
      <c r="D287" s="22" t="s">
        <v>43</v>
      </c>
      <c r="E287" s="22" t="s">
        <v>26</v>
      </c>
      <c r="F287" s="22">
        <v>11</v>
      </c>
      <c r="G287" s="23">
        <v>3531.48</v>
      </c>
      <c r="H287" s="25" t="str">
        <f>IF(COUNTIF(tbl_clean_sales[Invoice_ID],tbl_clean_sales[[#This Row],[Invoice_ID]])&gt;1,"Duplicate","Unique")</f>
        <v>Unique</v>
      </c>
      <c r="I287" s="25"/>
      <c r="J28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7" s="25" t="str">
        <f>IFERROR(VLOOKUP(tbl_clean_sales[[#This Row],[Employee_ID]],'02_Employee_Master'!$A$1:$C$12,2,FALSE),"Employee Name Missing")</f>
        <v>Meena V</v>
      </c>
      <c r="L287" s="25" t="str">
        <f>IFERROR(VLOOKUP(tbl_clean_sales[[#This Row],[Employee_ID]],'02_Employee_Master'!$A$1:$C$12,3,FALSE),"Department Name Missing")</f>
        <v>Sales</v>
      </c>
      <c r="M287" s="25" t="str">
        <f>IF('03_Clean_data'!D287="","Missing",IFERROR(IF(VLOOKUP(D287,'03_Product_Master'!$A$1:$D$14,1,FALSE)='03_Clean_data'!D287,"Valid","Invalid"),"Invalid"))</f>
        <v>Valid</v>
      </c>
      <c r="N287" s="25" t="str">
        <f>IFERROR(VLOOKUP(tbl_clean_sales[[#This Row],[Product_ID]],'03_Product_Master'!$A$1:$D$14,2,FALSE),"Missing")</f>
        <v>Laundry Liquid</v>
      </c>
      <c r="O287" s="25" t="str">
        <f>IFERROR(VLOOKUP(tbl_clean_sales[[#This Row],[Product_ID]],'03_Product_Master'!$A$1:$D$14,3,FALSE),"Missing")</f>
        <v>Home Care</v>
      </c>
      <c r="P287" s="25">
        <f>IFERROR(VLOOKUP(tbl_clean_sales[[#This Row],[Product_ID]],'03_Product_Master'!$A$1:$D$14,4,FALSE),"Missing")</f>
        <v>340</v>
      </c>
      <c r="Q287" s="25" t="str">
        <f>IF('03_Clean_data'!E287="","Missing",IFERROR(IF(VLOOKUP(E287,'04_Branch_Master'!$A$1:$C$7,1,FALSE)='03_Clean_data'!E287,"Valid","Invalid"),"Invalid"))</f>
        <v>Valid</v>
      </c>
      <c r="R287" s="25" t="str">
        <f>IFERROR(VLOOKUP(tbl_clean_sales[[#This Row],[Branch_ID]],'04_Branch_Master'!$A$1:$C$7,2,FALSE),"Missing")</f>
        <v>Palladam</v>
      </c>
      <c r="S287" s="25" t="str">
        <f>IFERROR(VLOOKUP(tbl_clean_sales[[#This Row],[Branch_ID]],'04_Branch_Master'!$A$1:$C$7,3,FALSE),"Missing")</f>
        <v>South</v>
      </c>
      <c r="T287" s="25" t="str">
        <f>C287&amp;"|"&amp;TEXT(tbl_clean_sales[[#This Row],[Date]],"yyyymm")</f>
        <v>E006|202606</v>
      </c>
      <c r="U287" s="25">
        <f>IFERROR(INDEX('05_Target_Master'!$A$1:$F$32,MATCH(tbl_clean_sales[[#This Row],[target key]],'05_Target_Master'!$F$1:$F$32,0),3),"Missing")</f>
        <v>125800</v>
      </c>
    </row>
    <row r="288" spans="1:21" x14ac:dyDescent="0.3">
      <c r="A288" s="21">
        <v>46202</v>
      </c>
      <c r="B288" s="22" t="s">
        <v>319</v>
      </c>
      <c r="C288" s="22" t="s">
        <v>38</v>
      </c>
      <c r="D288" s="22" t="s">
        <v>43</v>
      </c>
      <c r="E288" s="22" t="s">
        <v>32</v>
      </c>
      <c r="F288" s="22">
        <v>3</v>
      </c>
      <c r="G288" s="23">
        <v>1012.28</v>
      </c>
      <c r="H288" s="25" t="str">
        <f>IF(COUNTIF(tbl_clean_sales[Invoice_ID],tbl_clean_sales[[#This Row],[Invoice_ID]])&gt;1,"Duplicate","Unique")</f>
        <v>Unique</v>
      </c>
      <c r="I288" s="25"/>
      <c r="J28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8" s="25" t="str">
        <f>IFERROR(VLOOKUP(tbl_clean_sales[[#This Row],[Employee_ID]],'02_Employee_Master'!$A$1:$C$12,2,FALSE),"Employee Name Missing")</f>
        <v>Nandhini K</v>
      </c>
      <c r="L288" s="25" t="str">
        <f>IFERROR(VLOOKUP(tbl_clean_sales[[#This Row],[Employee_ID]],'02_Employee_Master'!$A$1:$C$12,3,FALSE),"Department Name Missing")</f>
        <v>Sales</v>
      </c>
      <c r="M288" s="25" t="str">
        <f>IF('03_Clean_data'!D288="","Missing",IFERROR(IF(VLOOKUP(D288,'03_Product_Master'!$A$1:$D$14,1,FALSE)='03_Clean_data'!D288,"Valid","Invalid"),"Invalid"))</f>
        <v>Valid</v>
      </c>
      <c r="N288" s="25" t="str">
        <f>IFERROR(VLOOKUP(tbl_clean_sales[[#This Row],[Product_ID]],'03_Product_Master'!$A$1:$D$14,2,FALSE),"Missing")</f>
        <v>Laundry Liquid</v>
      </c>
      <c r="O288" s="25" t="str">
        <f>IFERROR(VLOOKUP(tbl_clean_sales[[#This Row],[Product_ID]],'03_Product_Master'!$A$1:$D$14,3,FALSE),"Missing")</f>
        <v>Home Care</v>
      </c>
      <c r="P288" s="25">
        <f>IFERROR(VLOOKUP(tbl_clean_sales[[#This Row],[Product_ID]],'03_Product_Master'!$A$1:$D$14,4,FALSE),"Missing")</f>
        <v>340</v>
      </c>
      <c r="Q288" s="25" t="str">
        <f>IF('03_Clean_data'!E288="","Missing",IFERROR(IF(VLOOKUP(E288,'04_Branch_Master'!$A$1:$C$7,1,FALSE)='03_Clean_data'!E288,"Valid","Invalid"),"Invalid"))</f>
        <v>Valid</v>
      </c>
      <c r="R288" s="25" t="str">
        <f>IFERROR(VLOOKUP(tbl_clean_sales[[#This Row],[Branch_ID]],'04_Branch_Master'!$A$1:$C$7,2,FALSE),"Missing")</f>
        <v>Kangeyam</v>
      </c>
      <c r="S288" s="25" t="str">
        <f>IFERROR(VLOOKUP(tbl_clean_sales[[#This Row],[Branch_ID]],'04_Branch_Master'!$A$1:$C$7,3,FALSE),"Missing")</f>
        <v>East</v>
      </c>
      <c r="T288" s="25" t="str">
        <f>C288&amp;"|"&amp;TEXT(tbl_clean_sales[[#This Row],[Date]],"yyyymm")</f>
        <v>E008|202606</v>
      </c>
      <c r="U288" s="25">
        <f>IFERROR(INDEX('05_Target_Master'!$A$1:$F$32,MATCH(tbl_clean_sales[[#This Row],[target key]],'05_Target_Master'!$F$1:$F$32,0),3),"Missing")</f>
        <v>119200</v>
      </c>
    </row>
    <row r="289" spans="1:21" x14ac:dyDescent="0.3">
      <c r="A289" s="21">
        <v>46171</v>
      </c>
      <c r="B289" s="22" t="s">
        <v>320</v>
      </c>
      <c r="C289" s="22" t="s">
        <v>74</v>
      </c>
      <c r="D289" s="22" t="s">
        <v>82</v>
      </c>
      <c r="E289" s="22" t="s">
        <v>22</v>
      </c>
      <c r="F289" s="22">
        <v>4</v>
      </c>
      <c r="G289" s="23">
        <v>428.98</v>
      </c>
      <c r="H289" s="25" t="str">
        <f>IF(COUNTIF(tbl_clean_sales[Invoice_ID],tbl_clean_sales[[#This Row],[Invoice_ID]])&gt;1,"Duplicate","Unique")</f>
        <v>Unique</v>
      </c>
      <c r="I289" s="25"/>
      <c r="J28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89" s="25" t="str">
        <f>IFERROR(VLOOKUP(tbl_clean_sales[[#This Row],[Employee_ID]],'02_Employee_Master'!$A$1:$C$12,2,FALSE),"Employee Name Missing")</f>
        <v>Arun Kumar</v>
      </c>
      <c r="L289" s="25" t="str">
        <f>IFERROR(VLOOKUP(tbl_clean_sales[[#This Row],[Employee_ID]],'02_Employee_Master'!$A$1:$C$12,3,FALSE),"Department Name Missing")</f>
        <v>Sales</v>
      </c>
      <c r="M289" s="25" t="str">
        <f>IF('03_Clean_data'!D289="","Missing",IFERROR(IF(VLOOKUP(D289,'03_Product_Master'!$A$1:$D$14,1,FALSE)='03_Clean_data'!D289,"Valid","Invalid"),"Invalid"))</f>
        <v>Valid</v>
      </c>
      <c r="N289" s="25" t="str">
        <f>IFERROR(VLOOKUP(tbl_clean_sales[[#This Row],[Product_ID]],'03_Product_Master'!$A$1:$D$14,2,FALSE),"Missing")</f>
        <v>Chocolate Bar</v>
      </c>
      <c r="O289" s="25" t="str">
        <f>IFERROR(VLOOKUP(tbl_clean_sales[[#This Row],[Product_ID]],'03_Product_Master'!$A$1:$D$14,3,FALSE),"Missing")</f>
        <v>Snacks</v>
      </c>
      <c r="P289" s="25">
        <f>IFERROR(VLOOKUP(tbl_clean_sales[[#This Row],[Product_ID]],'03_Product_Master'!$A$1:$D$14,4,FALSE),"Missing")</f>
        <v>120</v>
      </c>
      <c r="Q289" s="25" t="str">
        <f>IF('03_Clean_data'!E289="","Missing",IFERROR(IF(VLOOKUP(E289,'04_Branch_Master'!$A$1:$C$7,1,FALSE)='03_Clean_data'!E289,"Valid","Invalid"),"Invalid"))</f>
        <v>Valid</v>
      </c>
      <c r="R289" s="25" t="str">
        <f>IFERROR(VLOOKUP(tbl_clean_sales[[#This Row],[Branch_ID]],'04_Branch_Master'!$A$1:$C$7,2,FALSE),"Missing")</f>
        <v>Tirupur Central</v>
      </c>
      <c r="S289" s="25" t="str">
        <f>IFERROR(VLOOKUP(tbl_clean_sales[[#This Row],[Branch_ID]],'04_Branch_Master'!$A$1:$C$7,3,FALSE),"Missing")</f>
        <v>North</v>
      </c>
      <c r="T289" s="25" t="str">
        <f>C289&amp;"|"&amp;TEXT(tbl_clean_sales[[#This Row],[Date]],"yyyymm")</f>
        <v>E001|202605</v>
      </c>
      <c r="U289" s="25">
        <f>IFERROR(INDEX('05_Target_Master'!$A$1:$F$32,MATCH(tbl_clean_sales[[#This Row],[target key]],'05_Target_Master'!$F$1:$F$32,0),3),"Missing")</f>
        <v>169500</v>
      </c>
    </row>
    <row r="290" spans="1:21" x14ac:dyDescent="0.3">
      <c r="A290" s="21">
        <v>46153</v>
      </c>
      <c r="B290" s="22" t="s">
        <v>321</v>
      </c>
      <c r="C290" s="22" t="s">
        <v>24</v>
      </c>
      <c r="D290" s="22" t="s">
        <v>13</v>
      </c>
      <c r="E290" s="22" t="s">
        <v>322</v>
      </c>
      <c r="F290" s="22">
        <v>9</v>
      </c>
      <c r="G290" s="23">
        <v>3310.6</v>
      </c>
      <c r="H290" s="25" t="str">
        <f>IF(COUNTIF(tbl_clean_sales[Invoice_ID],tbl_clean_sales[[#This Row],[Invoice_ID]])&gt;1,"Duplicate","Unique")</f>
        <v>Unique</v>
      </c>
      <c r="I290" s="25"/>
      <c r="J29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0" s="25" t="str">
        <f>IFERROR(VLOOKUP(tbl_clean_sales[[#This Row],[Employee_ID]],'02_Employee_Master'!$A$1:$C$12,2,FALSE),"Employee Name Missing")</f>
        <v>Karthik P</v>
      </c>
      <c r="L290" s="25" t="str">
        <f>IFERROR(VLOOKUP(tbl_clean_sales[[#This Row],[Employee_ID]],'02_Employee_Master'!$A$1:$C$12,3,FALSE),"Department Name Missing")</f>
        <v>Sales</v>
      </c>
      <c r="M290" s="25" t="str">
        <f>IF('03_Clean_data'!D290="","Missing",IFERROR(IF(VLOOKUP(D290,'03_Product_Master'!$A$1:$D$14,1,FALSE)='03_Clean_data'!D290,"Valid","Invalid"),"Invalid"))</f>
        <v>Valid</v>
      </c>
      <c r="N290" s="25" t="str">
        <f>IFERROR(VLOOKUP(tbl_clean_sales[[#This Row],[Product_ID]],'03_Product_Master'!$A$1:$D$14,2,FALSE),"Missing")</f>
        <v>Body Lotion</v>
      </c>
      <c r="O290" s="25" t="str">
        <f>IFERROR(VLOOKUP(tbl_clean_sales[[#This Row],[Product_ID]],'03_Product_Master'!$A$1:$D$14,3,FALSE),"Missing")</f>
        <v>Personal Care</v>
      </c>
      <c r="P290" s="25">
        <f>IFERROR(VLOOKUP(tbl_clean_sales[[#This Row],[Product_ID]],'03_Product_Master'!$A$1:$D$14,4,FALSE),"Missing")</f>
        <v>390</v>
      </c>
      <c r="Q290" s="25" t="str">
        <f>IF('03_Clean_data'!E290="","Missing",IFERROR(IF(VLOOKUP(E290,'04_Branch_Master'!$A$1:$C$7,1,FALSE)='03_Clean_data'!E290,"Valid","Invalid"),"Invalid"))</f>
        <v>Invalid</v>
      </c>
      <c r="R290" s="25" t="str">
        <f>IFERROR(VLOOKUP(tbl_clean_sales[[#This Row],[Branch_ID]],'04_Branch_Master'!$A$1:$C$7,2,FALSE),"Missing")</f>
        <v>Missing</v>
      </c>
      <c r="S290" s="25" t="str">
        <f>IFERROR(VLOOKUP(tbl_clean_sales[[#This Row],[Branch_ID]],'04_Branch_Master'!$A$1:$C$7,3,FALSE),"Missing")</f>
        <v>Missing</v>
      </c>
      <c r="T290" s="25" t="str">
        <f>C290&amp;"|"&amp;TEXT(tbl_clean_sales[[#This Row],[Date]],"yyyymm")</f>
        <v>E005|202605</v>
      </c>
      <c r="U290" s="25">
        <f>IFERROR(INDEX('05_Target_Master'!$A$1:$F$32,MATCH(tbl_clean_sales[[#This Row],[target key]],'05_Target_Master'!$F$1:$F$32,0),3),"Missing")</f>
        <v>143700</v>
      </c>
    </row>
    <row r="291" spans="1:21" x14ac:dyDescent="0.3">
      <c r="A291" s="21">
        <v>46117</v>
      </c>
      <c r="B291" s="22" t="s">
        <v>323</v>
      </c>
      <c r="C291" s="22" t="s">
        <v>12</v>
      </c>
      <c r="D291" s="22" t="s">
        <v>82</v>
      </c>
      <c r="E291" s="22" t="s">
        <v>14</v>
      </c>
      <c r="F291" s="22">
        <v>1</v>
      </c>
      <c r="G291" s="23">
        <v>107.53</v>
      </c>
      <c r="H291" s="25" t="str">
        <f>IF(COUNTIF(tbl_clean_sales[Invoice_ID],tbl_clean_sales[[#This Row],[Invoice_ID]])&gt;1,"Duplicate","Unique")</f>
        <v>Unique</v>
      </c>
      <c r="I291" s="25"/>
      <c r="J29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1" s="25" t="str">
        <f>IFERROR(VLOOKUP(tbl_clean_sales[[#This Row],[Employee_ID]],'02_Employee_Master'!$A$1:$C$12,2,FALSE),"Employee Name Missing")</f>
        <v>Divya R</v>
      </c>
      <c r="L291" s="25" t="str">
        <f>IFERROR(VLOOKUP(tbl_clean_sales[[#This Row],[Employee_ID]],'02_Employee_Master'!$A$1:$C$12,3,FALSE),"Department Name Missing")</f>
        <v>Sales</v>
      </c>
      <c r="M291" s="25" t="str">
        <f>IF('03_Clean_data'!D291="","Missing",IFERROR(IF(VLOOKUP(D291,'03_Product_Master'!$A$1:$D$14,1,FALSE)='03_Clean_data'!D291,"Valid","Invalid"),"Invalid"))</f>
        <v>Valid</v>
      </c>
      <c r="N291" s="25" t="str">
        <f>IFERROR(VLOOKUP(tbl_clean_sales[[#This Row],[Product_ID]],'03_Product_Master'!$A$1:$D$14,2,FALSE),"Missing")</f>
        <v>Chocolate Bar</v>
      </c>
      <c r="O291" s="25" t="str">
        <f>IFERROR(VLOOKUP(tbl_clean_sales[[#This Row],[Product_ID]],'03_Product_Master'!$A$1:$D$14,3,FALSE),"Missing")</f>
        <v>Snacks</v>
      </c>
      <c r="P291" s="25">
        <f>IFERROR(VLOOKUP(tbl_clean_sales[[#This Row],[Product_ID]],'03_Product_Master'!$A$1:$D$14,4,FALSE),"Missing")</f>
        <v>120</v>
      </c>
      <c r="Q291" s="25" t="str">
        <f>IF('03_Clean_data'!E291="","Missing",IFERROR(IF(VLOOKUP(E291,'04_Branch_Master'!$A$1:$C$7,1,FALSE)='03_Clean_data'!E291,"Valid","Invalid"),"Invalid"))</f>
        <v>Valid</v>
      </c>
      <c r="R291" s="25" t="str">
        <f>IFERROR(VLOOKUP(tbl_clean_sales[[#This Row],[Branch_ID]],'04_Branch_Master'!$A$1:$C$7,2,FALSE),"Missing")</f>
        <v>Avinashi Road</v>
      </c>
      <c r="S291" s="25" t="str">
        <f>IFERROR(VLOOKUP(tbl_clean_sales[[#This Row],[Branch_ID]],'04_Branch_Master'!$A$1:$C$7,3,FALSE),"Missing")</f>
        <v>North</v>
      </c>
      <c r="T291" s="25" t="str">
        <f>C291&amp;"|"&amp;TEXT(tbl_clean_sales[[#This Row],[Date]],"yyyymm")</f>
        <v>E004|202604</v>
      </c>
      <c r="U291" s="25">
        <f>IFERROR(INDEX('05_Target_Master'!$A$1:$F$32,MATCH(tbl_clean_sales[[#This Row],[target key]],'05_Target_Master'!$F$1:$F$32,0),3),"Missing")</f>
        <v>163600</v>
      </c>
    </row>
    <row r="292" spans="1:21" x14ac:dyDescent="0.3">
      <c r="A292" s="21">
        <v>46155</v>
      </c>
      <c r="B292" s="22" t="s">
        <v>324</v>
      </c>
      <c r="C292" s="22" t="s">
        <v>24</v>
      </c>
      <c r="D292" s="22" t="s">
        <v>9</v>
      </c>
      <c r="E292" s="22" t="s">
        <v>32</v>
      </c>
      <c r="F292" s="22">
        <v>7</v>
      </c>
      <c r="G292" s="23">
        <v>1785.17</v>
      </c>
      <c r="H292" s="25" t="str">
        <f>IF(COUNTIF(tbl_clean_sales[Invoice_ID],tbl_clean_sales[[#This Row],[Invoice_ID]])&gt;1,"Duplicate","Unique")</f>
        <v>Unique</v>
      </c>
      <c r="I292" s="25"/>
      <c r="J29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2" s="25" t="str">
        <f>IFERROR(VLOOKUP(tbl_clean_sales[[#This Row],[Employee_ID]],'02_Employee_Master'!$A$1:$C$12,2,FALSE),"Employee Name Missing")</f>
        <v>Karthik P</v>
      </c>
      <c r="L292" s="25" t="str">
        <f>IFERROR(VLOOKUP(tbl_clean_sales[[#This Row],[Employee_ID]],'02_Employee_Master'!$A$1:$C$12,3,FALSE),"Department Name Missing")</f>
        <v>Sales</v>
      </c>
      <c r="M292" s="25" t="str">
        <f>IF('03_Clean_data'!D292="","Missing",IFERROR(IF(VLOOKUP(D292,'03_Product_Master'!$A$1:$D$14,1,FALSE)='03_Clean_data'!D292,"Valid","Invalid"),"Invalid"))</f>
        <v>Valid</v>
      </c>
      <c r="N292" s="25" t="str">
        <f>IFERROR(VLOOKUP(tbl_clean_sales[[#This Row],[Product_ID]],'03_Product_Master'!$A$1:$D$14,2,FALSE),"Missing")</f>
        <v>Green Tea</v>
      </c>
      <c r="O292" s="25" t="str">
        <f>IFERROR(VLOOKUP(tbl_clean_sales[[#This Row],[Product_ID]],'03_Product_Master'!$A$1:$D$14,3,FALSE),"Missing")</f>
        <v>Beverages</v>
      </c>
      <c r="P292" s="25">
        <f>IFERROR(VLOOKUP(tbl_clean_sales[[#This Row],[Product_ID]],'03_Product_Master'!$A$1:$D$14,4,FALSE),"Missing")</f>
        <v>280</v>
      </c>
      <c r="Q292" s="25" t="str">
        <f>IF('03_Clean_data'!E292="","Missing",IFERROR(IF(VLOOKUP(E292,'04_Branch_Master'!$A$1:$C$7,1,FALSE)='03_Clean_data'!E292,"Valid","Invalid"),"Invalid"))</f>
        <v>Valid</v>
      </c>
      <c r="R292" s="25" t="str">
        <f>IFERROR(VLOOKUP(tbl_clean_sales[[#This Row],[Branch_ID]],'04_Branch_Master'!$A$1:$C$7,2,FALSE),"Missing")</f>
        <v>Kangeyam</v>
      </c>
      <c r="S292" s="25" t="str">
        <f>IFERROR(VLOOKUP(tbl_clean_sales[[#This Row],[Branch_ID]],'04_Branch_Master'!$A$1:$C$7,3,FALSE),"Missing")</f>
        <v>East</v>
      </c>
      <c r="T292" s="25" t="str">
        <f>C292&amp;"|"&amp;TEXT(tbl_clean_sales[[#This Row],[Date]],"yyyymm")</f>
        <v>E005|202605</v>
      </c>
      <c r="U292" s="25">
        <f>IFERROR(INDEX('05_Target_Master'!$A$1:$F$32,MATCH(tbl_clean_sales[[#This Row],[target key]],'05_Target_Master'!$F$1:$F$32,0),3),"Missing")</f>
        <v>143700</v>
      </c>
    </row>
    <row r="293" spans="1:21" x14ac:dyDescent="0.3">
      <c r="A293" s="21">
        <v>46162</v>
      </c>
      <c r="B293" s="22" t="s">
        <v>325</v>
      </c>
      <c r="C293" s="22" t="s">
        <v>40</v>
      </c>
      <c r="D293" s="22" t="s">
        <v>53</v>
      </c>
      <c r="E293" s="22" t="s">
        <v>26</v>
      </c>
      <c r="F293" s="22">
        <v>8</v>
      </c>
      <c r="G293" s="23">
        <v>2676.57</v>
      </c>
      <c r="H293" s="25" t="str">
        <f>IF(COUNTIF(tbl_clean_sales[Invoice_ID],tbl_clean_sales[[#This Row],[Invoice_ID]])&gt;1,"Duplicate","Unique")</f>
        <v>Unique</v>
      </c>
      <c r="I293" s="25"/>
      <c r="J29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3" s="25" t="str">
        <f>IFERROR(VLOOKUP(tbl_clean_sales[[#This Row],[Employee_ID]],'02_Employee_Master'!$A$1:$C$12,2,FALSE),"Employee Name Missing")</f>
        <v>Meena V</v>
      </c>
      <c r="L293" s="25" t="str">
        <f>IFERROR(VLOOKUP(tbl_clean_sales[[#This Row],[Employee_ID]],'02_Employee_Master'!$A$1:$C$12,3,FALSE),"Department Name Missing")</f>
        <v>Sales</v>
      </c>
      <c r="M293" s="25" t="str">
        <f>IF('03_Clean_data'!D293="","Missing",IFERROR(IF(VLOOKUP(D293,'03_Product_Master'!$A$1:$D$14,1,FALSE)='03_Clean_data'!D293,"Valid","Invalid"),"Invalid"))</f>
        <v>Valid</v>
      </c>
      <c r="N293" s="25" t="str">
        <f>IFERROR(VLOOKUP(tbl_clean_sales[[#This Row],[Product_ID]],'03_Product_Master'!$A$1:$D$14,2,FALSE),"Missing")</f>
        <v>Instant Coffee</v>
      </c>
      <c r="O293" s="25" t="str">
        <f>IFERROR(VLOOKUP(tbl_clean_sales[[#This Row],[Product_ID]],'03_Product_Master'!$A$1:$D$14,3,FALSE),"Missing")</f>
        <v>Beverages</v>
      </c>
      <c r="P293" s="25">
        <f>IFERROR(VLOOKUP(tbl_clean_sales[[#This Row],[Product_ID]],'03_Product_Master'!$A$1:$D$14,4,FALSE),"Missing")</f>
        <v>350</v>
      </c>
      <c r="Q293" s="25" t="str">
        <f>IF('03_Clean_data'!E293="","Missing",IFERROR(IF(VLOOKUP(E293,'04_Branch_Master'!$A$1:$C$7,1,FALSE)='03_Clean_data'!E293,"Valid","Invalid"),"Invalid"))</f>
        <v>Valid</v>
      </c>
      <c r="R293" s="25" t="str">
        <f>IFERROR(VLOOKUP(tbl_clean_sales[[#This Row],[Branch_ID]],'04_Branch_Master'!$A$1:$C$7,2,FALSE),"Missing")</f>
        <v>Palladam</v>
      </c>
      <c r="S293" s="25" t="str">
        <f>IFERROR(VLOOKUP(tbl_clean_sales[[#This Row],[Branch_ID]],'04_Branch_Master'!$A$1:$C$7,3,FALSE),"Missing")</f>
        <v>South</v>
      </c>
      <c r="T293" s="25" t="str">
        <f>C293&amp;"|"&amp;TEXT(tbl_clean_sales[[#This Row],[Date]],"yyyymm")</f>
        <v>E006|202605</v>
      </c>
      <c r="U293" s="25">
        <f>IFERROR(INDEX('05_Target_Master'!$A$1:$F$32,MATCH(tbl_clean_sales[[#This Row],[target key]],'05_Target_Master'!$F$1:$F$32,0),3),"Missing")</f>
        <v>141500</v>
      </c>
    </row>
    <row r="294" spans="1:21" x14ac:dyDescent="0.3">
      <c r="A294" s="21">
        <v>46179</v>
      </c>
      <c r="B294" s="22" t="s">
        <v>326</v>
      </c>
      <c r="C294" s="22" t="s">
        <v>24</v>
      </c>
      <c r="D294" s="22" t="s">
        <v>9</v>
      </c>
      <c r="E294" s="22" t="s">
        <v>26</v>
      </c>
      <c r="F294" s="22">
        <v>2</v>
      </c>
      <c r="G294" s="23">
        <v>531.05999999999995</v>
      </c>
      <c r="H294" s="25" t="str">
        <f>IF(COUNTIF(tbl_clean_sales[Invoice_ID],tbl_clean_sales[[#This Row],[Invoice_ID]])&gt;1,"Duplicate","Unique")</f>
        <v>Unique</v>
      </c>
      <c r="I294" s="25"/>
      <c r="J29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4" s="25" t="str">
        <f>IFERROR(VLOOKUP(tbl_clean_sales[[#This Row],[Employee_ID]],'02_Employee_Master'!$A$1:$C$12,2,FALSE),"Employee Name Missing")</f>
        <v>Karthik P</v>
      </c>
      <c r="L294" s="25" t="str">
        <f>IFERROR(VLOOKUP(tbl_clean_sales[[#This Row],[Employee_ID]],'02_Employee_Master'!$A$1:$C$12,3,FALSE),"Department Name Missing")</f>
        <v>Sales</v>
      </c>
      <c r="M294" s="25" t="str">
        <f>IF('03_Clean_data'!D294="","Missing",IFERROR(IF(VLOOKUP(D294,'03_Product_Master'!$A$1:$D$14,1,FALSE)='03_Clean_data'!D294,"Valid","Invalid"),"Invalid"))</f>
        <v>Valid</v>
      </c>
      <c r="N294" s="25" t="str">
        <f>IFERROR(VLOOKUP(tbl_clean_sales[[#This Row],[Product_ID]],'03_Product_Master'!$A$1:$D$14,2,FALSE),"Missing")</f>
        <v>Green Tea</v>
      </c>
      <c r="O294" s="25" t="str">
        <f>IFERROR(VLOOKUP(tbl_clean_sales[[#This Row],[Product_ID]],'03_Product_Master'!$A$1:$D$14,3,FALSE),"Missing")</f>
        <v>Beverages</v>
      </c>
      <c r="P294" s="25">
        <f>IFERROR(VLOOKUP(tbl_clean_sales[[#This Row],[Product_ID]],'03_Product_Master'!$A$1:$D$14,4,FALSE),"Missing")</f>
        <v>280</v>
      </c>
      <c r="Q294" s="25" t="str">
        <f>IF('03_Clean_data'!E294="","Missing",IFERROR(IF(VLOOKUP(E294,'04_Branch_Master'!$A$1:$C$7,1,FALSE)='03_Clean_data'!E294,"Valid","Invalid"),"Invalid"))</f>
        <v>Valid</v>
      </c>
      <c r="R294" s="25" t="str">
        <f>IFERROR(VLOOKUP(tbl_clean_sales[[#This Row],[Branch_ID]],'04_Branch_Master'!$A$1:$C$7,2,FALSE),"Missing")</f>
        <v>Palladam</v>
      </c>
      <c r="S294" s="25" t="str">
        <f>IFERROR(VLOOKUP(tbl_clean_sales[[#This Row],[Branch_ID]],'04_Branch_Master'!$A$1:$C$7,3,FALSE),"Missing")</f>
        <v>South</v>
      </c>
      <c r="T294" s="25" t="str">
        <f>C294&amp;"|"&amp;TEXT(tbl_clean_sales[[#This Row],[Date]],"yyyymm")</f>
        <v>E005|202606</v>
      </c>
      <c r="U294" s="25">
        <f>IFERROR(INDEX('05_Target_Master'!$A$1:$F$32,MATCH(tbl_clean_sales[[#This Row],[target key]],'05_Target_Master'!$F$1:$F$32,0),3),"Missing")</f>
        <v>127700</v>
      </c>
    </row>
    <row r="295" spans="1:21" x14ac:dyDescent="0.3">
      <c r="A295" s="21">
        <v>46136</v>
      </c>
      <c r="B295" s="22" t="s">
        <v>327</v>
      </c>
      <c r="C295" s="22" t="s">
        <v>8</v>
      </c>
      <c r="D295" s="22" t="s">
        <v>82</v>
      </c>
      <c r="E295" s="22" t="s">
        <v>10</v>
      </c>
      <c r="F295" s="22">
        <v>2</v>
      </c>
      <c r="G295" s="23">
        <v>230.56</v>
      </c>
      <c r="H295" s="25" t="str">
        <f>IF(COUNTIF(tbl_clean_sales[Invoice_ID],tbl_clean_sales[[#This Row],[Invoice_ID]])&gt;1,"Duplicate","Unique")</f>
        <v>Unique</v>
      </c>
      <c r="I295" s="25"/>
      <c r="J29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5" s="25" t="str">
        <f>IFERROR(VLOOKUP(tbl_clean_sales[[#This Row],[Employee_ID]],'02_Employee_Master'!$A$1:$C$12,2,FALSE),"Employee Name Missing")</f>
        <v>Vignesh R</v>
      </c>
      <c r="L295" s="25" t="str">
        <f>IFERROR(VLOOKUP(tbl_clean_sales[[#This Row],[Employee_ID]],'02_Employee_Master'!$A$1:$C$12,3,FALSE),"Department Name Missing")</f>
        <v>Sales</v>
      </c>
      <c r="M295" s="25" t="str">
        <f>IF('03_Clean_data'!D295="","Missing",IFERROR(IF(VLOOKUP(D295,'03_Product_Master'!$A$1:$D$14,1,FALSE)='03_Clean_data'!D295,"Valid","Invalid"),"Invalid"))</f>
        <v>Valid</v>
      </c>
      <c r="N295" s="25" t="str">
        <f>IFERROR(VLOOKUP(tbl_clean_sales[[#This Row],[Product_ID]],'03_Product_Master'!$A$1:$D$14,2,FALSE),"Missing")</f>
        <v>Chocolate Bar</v>
      </c>
      <c r="O295" s="25" t="str">
        <f>IFERROR(VLOOKUP(tbl_clean_sales[[#This Row],[Product_ID]],'03_Product_Master'!$A$1:$D$14,3,FALSE),"Missing")</f>
        <v>Snacks</v>
      </c>
      <c r="P295" s="25">
        <f>IFERROR(VLOOKUP(tbl_clean_sales[[#This Row],[Product_ID]],'03_Product_Master'!$A$1:$D$14,4,FALSE),"Missing")</f>
        <v>120</v>
      </c>
      <c r="Q295" s="25" t="str">
        <f>IF('03_Clean_data'!E295="","Missing",IFERROR(IF(VLOOKUP(E295,'04_Branch_Master'!$A$1:$C$7,1,FALSE)='03_Clean_data'!E295,"Valid","Invalid"),"Invalid"))</f>
        <v>Valid</v>
      </c>
      <c r="R295" s="25" t="str">
        <f>IFERROR(VLOOKUP(tbl_clean_sales[[#This Row],[Branch_ID]],'04_Branch_Master'!$A$1:$C$7,2,FALSE),"Missing")</f>
        <v>Dharapuram</v>
      </c>
      <c r="S295" s="25" t="str">
        <f>IFERROR(VLOOKUP(tbl_clean_sales[[#This Row],[Branch_ID]],'04_Branch_Master'!$A$1:$C$7,3,FALSE),"Missing")</f>
        <v>South</v>
      </c>
      <c r="T295" s="25" t="str">
        <f>C295&amp;"|"&amp;TEXT(tbl_clean_sales[[#This Row],[Date]],"yyyymm")</f>
        <v>E009|202604</v>
      </c>
      <c r="U295" s="25">
        <f>IFERROR(INDEX('05_Target_Master'!$A$1:$F$32,MATCH(tbl_clean_sales[[#This Row],[target key]],'05_Target_Master'!$F$1:$F$32,0),3),"Missing")</f>
        <v>163300</v>
      </c>
    </row>
    <row r="296" spans="1:21" x14ac:dyDescent="0.3">
      <c r="A296" s="21">
        <v>46150</v>
      </c>
      <c r="B296" s="22" t="s">
        <v>328</v>
      </c>
      <c r="C296" s="22" t="s">
        <v>24</v>
      </c>
      <c r="D296" s="22" t="s">
        <v>48</v>
      </c>
      <c r="E296" s="22" t="s">
        <v>26</v>
      </c>
      <c r="F296" s="22">
        <v>7</v>
      </c>
      <c r="G296" s="23">
        <v>1783.6</v>
      </c>
      <c r="H296" s="25" t="str">
        <f>IF(COUNTIF(tbl_clean_sales[Invoice_ID],tbl_clean_sales[[#This Row],[Invoice_ID]])&gt;1,"Duplicate","Unique")</f>
        <v>Unique</v>
      </c>
      <c r="I296" s="25"/>
      <c r="J29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6" s="25" t="str">
        <f>IFERROR(VLOOKUP(tbl_clean_sales[[#This Row],[Employee_ID]],'02_Employee_Master'!$A$1:$C$12,2,FALSE),"Employee Name Missing")</f>
        <v>Karthik P</v>
      </c>
      <c r="L296" s="25" t="str">
        <f>IFERROR(VLOOKUP(tbl_clean_sales[[#This Row],[Employee_ID]],'02_Employee_Master'!$A$1:$C$12,3,FALSE),"Department Name Missing")</f>
        <v>Sales</v>
      </c>
      <c r="M296" s="25" t="str">
        <f>IF('03_Clean_data'!D296="","Missing",IFERROR(IF(VLOOKUP(D296,'03_Product_Master'!$A$1:$D$14,1,FALSE)='03_Clean_data'!D296,"Valid","Invalid"),"Invalid"))</f>
        <v>Valid</v>
      </c>
      <c r="N296" s="25" t="str">
        <f>IFERROR(VLOOKUP(tbl_clean_sales[[#This Row],[Product_ID]],'03_Product_Master'!$A$1:$D$14,2,FALSE),"Missing")</f>
        <v>Face Wash</v>
      </c>
      <c r="O296" s="25" t="str">
        <f>IFERROR(VLOOKUP(tbl_clean_sales[[#This Row],[Product_ID]],'03_Product_Master'!$A$1:$D$14,3,FALSE),"Missing")</f>
        <v>Personal Care</v>
      </c>
      <c r="P296" s="25">
        <f>IFERROR(VLOOKUP(tbl_clean_sales[[#This Row],[Product_ID]],'03_Product_Master'!$A$1:$D$14,4,FALSE),"Missing")</f>
        <v>260</v>
      </c>
      <c r="Q296" s="25" t="str">
        <f>IF('03_Clean_data'!E296="","Missing",IFERROR(IF(VLOOKUP(E296,'04_Branch_Master'!$A$1:$C$7,1,FALSE)='03_Clean_data'!E296,"Valid","Invalid"),"Invalid"))</f>
        <v>Valid</v>
      </c>
      <c r="R296" s="25" t="str">
        <f>IFERROR(VLOOKUP(tbl_clean_sales[[#This Row],[Branch_ID]],'04_Branch_Master'!$A$1:$C$7,2,FALSE),"Missing")</f>
        <v>Palladam</v>
      </c>
      <c r="S296" s="25" t="str">
        <f>IFERROR(VLOOKUP(tbl_clean_sales[[#This Row],[Branch_ID]],'04_Branch_Master'!$A$1:$C$7,3,FALSE),"Missing")</f>
        <v>South</v>
      </c>
      <c r="T296" s="25" t="str">
        <f>C296&amp;"|"&amp;TEXT(tbl_clean_sales[[#This Row],[Date]],"yyyymm")</f>
        <v>E005|202605</v>
      </c>
      <c r="U296" s="25">
        <f>IFERROR(INDEX('05_Target_Master'!$A$1:$F$32,MATCH(tbl_clean_sales[[#This Row],[target key]],'05_Target_Master'!$F$1:$F$32,0),3),"Missing")</f>
        <v>143700</v>
      </c>
    </row>
    <row r="297" spans="1:21" x14ac:dyDescent="0.3">
      <c r="A297" s="21">
        <v>46169</v>
      </c>
      <c r="B297" s="22" t="s">
        <v>329</v>
      </c>
      <c r="C297" s="22" t="s">
        <v>40</v>
      </c>
      <c r="D297" s="22" t="s">
        <v>48</v>
      </c>
      <c r="E297" s="22" t="s">
        <v>26</v>
      </c>
      <c r="F297" s="22">
        <v>6</v>
      </c>
      <c r="G297" s="23">
        <v>1444.9</v>
      </c>
      <c r="H297" s="25" t="str">
        <f>IF(COUNTIF(tbl_clean_sales[Invoice_ID],tbl_clean_sales[[#This Row],[Invoice_ID]])&gt;1,"Duplicate","Unique")</f>
        <v>Unique</v>
      </c>
      <c r="I297" s="25"/>
      <c r="J29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7" s="25" t="str">
        <f>IFERROR(VLOOKUP(tbl_clean_sales[[#This Row],[Employee_ID]],'02_Employee_Master'!$A$1:$C$12,2,FALSE),"Employee Name Missing")</f>
        <v>Meena V</v>
      </c>
      <c r="L297" s="25" t="str">
        <f>IFERROR(VLOOKUP(tbl_clean_sales[[#This Row],[Employee_ID]],'02_Employee_Master'!$A$1:$C$12,3,FALSE),"Department Name Missing")</f>
        <v>Sales</v>
      </c>
      <c r="M297" s="25" t="str">
        <f>IF('03_Clean_data'!D297="","Missing",IFERROR(IF(VLOOKUP(D297,'03_Product_Master'!$A$1:$D$14,1,FALSE)='03_Clean_data'!D297,"Valid","Invalid"),"Invalid"))</f>
        <v>Valid</v>
      </c>
      <c r="N297" s="25" t="str">
        <f>IFERROR(VLOOKUP(tbl_clean_sales[[#This Row],[Product_ID]],'03_Product_Master'!$A$1:$D$14,2,FALSE),"Missing")</f>
        <v>Face Wash</v>
      </c>
      <c r="O297" s="25" t="str">
        <f>IFERROR(VLOOKUP(tbl_clean_sales[[#This Row],[Product_ID]],'03_Product_Master'!$A$1:$D$14,3,FALSE),"Missing")</f>
        <v>Personal Care</v>
      </c>
      <c r="P297" s="25">
        <f>IFERROR(VLOOKUP(tbl_clean_sales[[#This Row],[Product_ID]],'03_Product_Master'!$A$1:$D$14,4,FALSE),"Missing")</f>
        <v>260</v>
      </c>
      <c r="Q297" s="25" t="str">
        <f>IF('03_Clean_data'!E297="","Missing",IFERROR(IF(VLOOKUP(E297,'04_Branch_Master'!$A$1:$C$7,1,FALSE)='03_Clean_data'!E297,"Valid","Invalid"),"Invalid"))</f>
        <v>Valid</v>
      </c>
      <c r="R297" s="25" t="str">
        <f>IFERROR(VLOOKUP(tbl_clean_sales[[#This Row],[Branch_ID]],'04_Branch_Master'!$A$1:$C$7,2,FALSE),"Missing")</f>
        <v>Palladam</v>
      </c>
      <c r="S297" s="25" t="str">
        <f>IFERROR(VLOOKUP(tbl_clean_sales[[#This Row],[Branch_ID]],'04_Branch_Master'!$A$1:$C$7,3,FALSE),"Missing")</f>
        <v>South</v>
      </c>
      <c r="T297" s="25" t="str">
        <f>C297&amp;"|"&amp;TEXT(tbl_clean_sales[[#This Row],[Date]],"yyyymm")</f>
        <v>E006|202605</v>
      </c>
      <c r="U297" s="25">
        <f>IFERROR(INDEX('05_Target_Master'!$A$1:$F$32,MATCH(tbl_clean_sales[[#This Row],[target key]],'05_Target_Master'!$F$1:$F$32,0),3),"Missing")</f>
        <v>141500</v>
      </c>
    </row>
    <row r="298" spans="1:21" x14ac:dyDescent="0.3">
      <c r="A298" s="21">
        <v>46168</v>
      </c>
      <c r="B298" s="22" t="s">
        <v>330</v>
      </c>
      <c r="C298" s="22" t="s">
        <v>24</v>
      </c>
      <c r="D298" s="22" t="s">
        <v>43</v>
      </c>
      <c r="E298" s="22" t="s">
        <v>22</v>
      </c>
      <c r="F298" s="22">
        <v>2</v>
      </c>
      <c r="G298" s="23">
        <v>625.23</v>
      </c>
      <c r="H298" s="25" t="str">
        <f>IF(COUNTIF(tbl_clean_sales[Invoice_ID],tbl_clean_sales[[#This Row],[Invoice_ID]])&gt;1,"Duplicate","Unique")</f>
        <v>Unique</v>
      </c>
      <c r="I298" s="25"/>
      <c r="J29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8" s="25" t="str">
        <f>IFERROR(VLOOKUP(tbl_clean_sales[[#This Row],[Employee_ID]],'02_Employee_Master'!$A$1:$C$12,2,FALSE),"Employee Name Missing")</f>
        <v>Karthik P</v>
      </c>
      <c r="L298" s="25" t="str">
        <f>IFERROR(VLOOKUP(tbl_clean_sales[[#This Row],[Employee_ID]],'02_Employee_Master'!$A$1:$C$12,3,FALSE),"Department Name Missing")</f>
        <v>Sales</v>
      </c>
      <c r="M298" s="25" t="str">
        <f>IF('03_Clean_data'!D298="","Missing",IFERROR(IF(VLOOKUP(D298,'03_Product_Master'!$A$1:$D$14,1,FALSE)='03_Clean_data'!D298,"Valid","Invalid"),"Invalid"))</f>
        <v>Valid</v>
      </c>
      <c r="N298" s="25" t="str">
        <f>IFERROR(VLOOKUP(tbl_clean_sales[[#This Row],[Product_ID]],'03_Product_Master'!$A$1:$D$14,2,FALSE),"Missing")</f>
        <v>Laundry Liquid</v>
      </c>
      <c r="O298" s="25" t="str">
        <f>IFERROR(VLOOKUP(tbl_clean_sales[[#This Row],[Product_ID]],'03_Product_Master'!$A$1:$D$14,3,FALSE),"Missing")</f>
        <v>Home Care</v>
      </c>
      <c r="P298" s="25">
        <f>IFERROR(VLOOKUP(tbl_clean_sales[[#This Row],[Product_ID]],'03_Product_Master'!$A$1:$D$14,4,FALSE),"Missing")</f>
        <v>340</v>
      </c>
      <c r="Q298" s="25" t="str">
        <f>IF('03_Clean_data'!E298="","Missing",IFERROR(IF(VLOOKUP(E298,'04_Branch_Master'!$A$1:$C$7,1,FALSE)='03_Clean_data'!E298,"Valid","Invalid"),"Invalid"))</f>
        <v>Valid</v>
      </c>
      <c r="R298" s="25" t="str">
        <f>IFERROR(VLOOKUP(tbl_clean_sales[[#This Row],[Branch_ID]],'04_Branch_Master'!$A$1:$C$7,2,FALSE),"Missing")</f>
        <v>Tirupur Central</v>
      </c>
      <c r="S298" s="25" t="str">
        <f>IFERROR(VLOOKUP(tbl_clean_sales[[#This Row],[Branch_ID]],'04_Branch_Master'!$A$1:$C$7,3,FALSE),"Missing")</f>
        <v>North</v>
      </c>
      <c r="T298" s="25" t="str">
        <f>C298&amp;"|"&amp;TEXT(tbl_clean_sales[[#This Row],[Date]],"yyyymm")</f>
        <v>E005|202605</v>
      </c>
      <c r="U298" s="25">
        <f>IFERROR(INDEX('05_Target_Master'!$A$1:$F$32,MATCH(tbl_clean_sales[[#This Row],[target key]],'05_Target_Master'!$F$1:$F$32,0),3),"Missing")</f>
        <v>143700</v>
      </c>
    </row>
    <row r="299" spans="1:21" x14ac:dyDescent="0.3">
      <c r="A299" s="21">
        <v>46164</v>
      </c>
      <c r="B299" s="22" t="s">
        <v>331</v>
      </c>
      <c r="C299" s="22" t="s">
        <v>40</v>
      </c>
      <c r="D299" s="22" t="s">
        <v>13</v>
      </c>
      <c r="E299" s="22" t="s">
        <v>14</v>
      </c>
      <c r="F299" s="22">
        <v>1</v>
      </c>
      <c r="G299" s="23">
        <v>383.32</v>
      </c>
      <c r="H299" s="25" t="str">
        <f>IF(COUNTIF(tbl_clean_sales[Invoice_ID],tbl_clean_sales[[#This Row],[Invoice_ID]])&gt;1,"Duplicate","Unique")</f>
        <v>Unique</v>
      </c>
      <c r="I299" s="25"/>
      <c r="J29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299" s="25" t="str">
        <f>IFERROR(VLOOKUP(tbl_clean_sales[[#This Row],[Employee_ID]],'02_Employee_Master'!$A$1:$C$12,2,FALSE),"Employee Name Missing")</f>
        <v>Meena V</v>
      </c>
      <c r="L299" s="25" t="str">
        <f>IFERROR(VLOOKUP(tbl_clean_sales[[#This Row],[Employee_ID]],'02_Employee_Master'!$A$1:$C$12,3,FALSE),"Department Name Missing")</f>
        <v>Sales</v>
      </c>
      <c r="M299" s="25" t="str">
        <f>IF('03_Clean_data'!D299="","Missing",IFERROR(IF(VLOOKUP(D299,'03_Product_Master'!$A$1:$D$14,1,FALSE)='03_Clean_data'!D299,"Valid","Invalid"),"Invalid"))</f>
        <v>Valid</v>
      </c>
      <c r="N299" s="25" t="str">
        <f>IFERROR(VLOOKUP(tbl_clean_sales[[#This Row],[Product_ID]],'03_Product_Master'!$A$1:$D$14,2,FALSE),"Missing")</f>
        <v>Body Lotion</v>
      </c>
      <c r="O299" s="25" t="str">
        <f>IFERROR(VLOOKUP(tbl_clean_sales[[#This Row],[Product_ID]],'03_Product_Master'!$A$1:$D$14,3,FALSE),"Missing")</f>
        <v>Personal Care</v>
      </c>
      <c r="P299" s="25">
        <f>IFERROR(VLOOKUP(tbl_clean_sales[[#This Row],[Product_ID]],'03_Product_Master'!$A$1:$D$14,4,FALSE),"Missing")</f>
        <v>390</v>
      </c>
      <c r="Q299" s="25" t="str">
        <f>IF('03_Clean_data'!E299="","Missing",IFERROR(IF(VLOOKUP(E299,'04_Branch_Master'!$A$1:$C$7,1,FALSE)='03_Clean_data'!E299,"Valid","Invalid"),"Invalid"))</f>
        <v>Valid</v>
      </c>
      <c r="R299" s="25" t="str">
        <f>IFERROR(VLOOKUP(tbl_clean_sales[[#This Row],[Branch_ID]],'04_Branch_Master'!$A$1:$C$7,2,FALSE),"Missing")</f>
        <v>Avinashi Road</v>
      </c>
      <c r="S299" s="25" t="str">
        <f>IFERROR(VLOOKUP(tbl_clean_sales[[#This Row],[Branch_ID]],'04_Branch_Master'!$A$1:$C$7,3,FALSE),"Missing")</f>
        <v>North</v>
      </c>
      <c r="T299" s="25" t="str">
        <f>C299&amp;"|"&amp;TEXT(tbl_clean_sales[[#This Row],[Date]],"yyyymm")</f>
        <v>E006|202605</v>
      </c>
      <c r="U299" s="25">
        <f>IFERROR(INDEX('05_Target_Master'!$A$1:$F$32,MATCH(tbl_clean_sales[[#This Row],[target key]],'05_Target_Master'!$F$1:$F$32,0),3),"Missing")</f>
        <v>141500</v>
      </c>
    </row>
    <row r="300" spans="1:21" x14ac:dyDescent="0.3">
      <c r="A300" s="21">
        <v>46190</v>
      </c>
      <c r="B300" s="22" t="s">
        <v>332</v>
      </c>
      <c r="C300" s="22" t="s">
        <v>38</v>
      </c>
      <c r="D300" s="22" t="s">
        <v>25</v>
      </c>
      <c r="E300" s="22" t="s">
        <v>32</v>
      </c>
      <c r="F300" s="22">
        <v>4</v>
      </c>
      <c r="G300" s="23">
        <v>1523.05</v>
      </c>
      <c r="H300" s="25" t="str">
        <f>IF(COUNTIF(tbl_clean_sales[Invoice_ID],tbl_clean_sales[[#This Row],[Invoice_ID]])&gt;1,"Duplicate","Unique")</f>
        <v>Unique</v>
      </c>
      <c r="I300" s="25"/>
      <c r="J30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0" s="25" t="str">
        <f>IFERROR(VLOOKUP(tbl_clean_sales[[#This Row],[Employee_ID]],'02_Employee_Master'!$A$1:$C$12,2,FALSE),"Employee Name Missing")</f>
        <v>Nandhini K</v>
      </c>
      <c r="L300" s="25" t="str">
        <f>IFERROR(VLOOKUP(tbl_clean_sales[[#This Row],[Employee_ID]],'02_Employee_Master'!$A$1:$C$12,3,FALSE),"Department Name Missing")</f>
        <v>Sales</v>
      </c>
      <c r="M300" s="25" t="str">
        <f>IF('03_Clean_data'!D300="","Missing",IFERROR(IF(VLOOKUP(D300,'03_Product_Master'!$A$1:$D$14,1,FALSE)='03_Clean_data'!D300,"Valid","Invalid"),"Invalid"))</f>
        <v>Valid</v>
      </c>
      <c r="N300" s="25" t="str">
        <f>IFERROR(VLOOKUP(tbl_clean_sales[[#This Row],[Product_ID]],'03_Product_Master'!$A$1:$D$14,2,FALSE),"Missing")</f>
        <v>Premium Coffee</v>
      </c>
      <c r="O300" s="25" t="str">
        <f>IFERROR(VLOOKUP(tbl_clean_sales[[#This Row],[Product_ID]],'03_Product_Master'!$A$1:$D$14,3,FALSE),"Missing")</f>
        <v>Beverages</v>
      </c>
      <c r="P300" s="25">
        <f>IFERROR(VLOOKUP(tbl_clean_sales[[#This Row],[Product_ID]],'03_Product_Master'!$A$1:$D$14,4,FALSE),"Missing")</f>
        <v>420</v>
      </c>
      <c r="Q300" s="25" t="str">
        <f>IF('03_Clean_data'!E300="","Missing",IFERROR(IF(VLOOKUP(E300,'04_Branch_Master'!$A$1:$C$7,1,FALSE)='03_Clean_data'!E300,"Valid","Invalid"),"Invalid"))</f>
        <v>Valid</v>
      </c>
      <c r="R300" s="25" t="str">
        <f>IFERROR(VLOOKUP(tbl_clean_sales[[#This Row],[Branch_ID]],'04_Branch_Master'!$A$1:$C$7,2,FALSE),"Missing")</f>
        <v>Kangeyam</v>
      </c>
      <c r="S300" s="25" t="str">
        <f>IFERROR(VLOOKUP(tbl_clean_sales[[#This Row],[Branch_ID]],'04_Branch_Master'!$A$1:$C$7,3,FALSE),"Missing")</f>
        <v>East</v>
      </c>
      <c r="T300" s="25" t="str">
        <f>C300&amp;"|"&amp;TEXT(tbl_clean_sales[[#This Row],[Date]],"yyyymm")</f>
        <v>E008|202606</v>
      </c>
      <c r="U300" s="25">
        <f>IFERROR(INDEX('05_Target_Master'!$A$1:$F$32,MATCH(tbl_clean_sales[[#This Row],[target key]],'05_Target_Master'!$F$1:$F$32,0),3),"Missing")</f>
        <v>119200</v>
      </c>
    </row>
    <row r="301" spans="1:21" x14ac:dyDescent="0.3">
      <c r="A301" s="21">
        <v>46159</v>
      </c>
      <c r="B301" s="22" t="s">
        <v>333</v>
      </c>
      <c r="C301" s="22" t="s">
        <v>40</v>
      </c>
      <c r="D301" s="22" t="s">
        <v>16</v>
      </c>
      <c r="E301" s="22" t="s">
        <v>22</v>
      </c>
      <c r="F301" s="22">
        <v>10</v>
      </c>
      <c r="G301" s="23">
        <v>3042.92</v>
      </c>
      <c r="H301" s="25" t="str">
        <f>IF(COUNTIF(tbl_clean_sales[Invoice_ID],tbl_clean_sales[[#This Row],[Invoice_ID]])&gt;1,"Duplicate","Unique")</f>
        <v>Unique</v>
      </c>
      <c r="I301" s="25"/>
      <c r="J30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1" s="25" t="str">
        <f>IFERROR(VLOOKUP(tbl_clean_sales[[#This Row],[Employee_ID]],'02_Employee_Master'!$A$1:$C$12,2,FALSE),"Employee Name Missing")</f>
        <v>Meena V</v>
      </c>
      <c r="L301" s="25" t="str">
        <f>IFERROR(VLOOKUP(tbl_clean_sales[[#This Row],[Employee_ID]],'02_Employee_Master'!$A$1:$C$12,3,FALSE),"Department Name Missing")</f>
        <v>Sales</v>
      </c>
      <c r="M301" s="25" t="str">
        <f>IF('03_Clean_data'!D301="","Missing",IFERROR(IF(VLOOKUP(D301,'03_Product_Master'!$A$1:$D$14,1,FALSE)='03_Clean_data'!D301,"Valid","Invalid"),"Invalid"))</f>
        <v>Valid</v>
      </c>
      <c r="N301" s="25" t="str">
        <f>IFERROR(VLOOKUP(tbl_clean_sales[[#This Row],[Product_ID]],'03_Product_Master'!$A$1:$D$14,2,FALSE),"Missing")</f>
        <v>Shampoo</v>
      </c>
      <c r="O301" s="25" t="str">
        <f>IFERROR(VLOOKUP(tbl_clean_sales[[#This Row],[Product_ID]],'03_Product_Master'!$A$1:$D$14,3,FALSE),"Missing")</f>
        <v>Personal Care</v>
      </c>
      <c r="P301" s="25">
        <f>IFERROR(VLOOKUP(tbl_clean_sales[[#This Row],[Product_ID]],'03_Product_Master'!$A$1:$D$14,4,FALSE),"Missing")</f>
        <v>310</v>
      </c>
      <c r="Q301" s="25" t="str">
        <f>IF('03_Clean_data'!E301="","Missing",IFERROR(IF(VLOOKUP(E301,'04_Branch_Master'!$A$1:$C$7,1,FALSE)='03_Clean_data'!E301,"Valid","Invalid"),"Invalid"))</f>
        <v>Valid</v>
      </c>
      <c r="R301" s="25" t="str">
        <f>IFERROR(VLOOKUP(tbl_clean_sales[[#This Row],[Branch_ID]],'04_Branch_Master'!$A$1:$C$7,2,FALSE),"Missing")</f>
        <v>Tirupur Central</v>
      </c>
      <c r="S301" s="25" t="str">
        <f>IFERROR(VLOOKUP(tbl_clean_sales[[#This Row],[Branch_ID]],'04_Branch_Master'!$A$1:$C$7,3,FALSE),"Missing")</f>
        <v>North</v>
      </c>
      <c r="T301" s="25" t="str">
        <f>C301&amp;"|"&amp;TEXT(tbl_clean_sales[[#This Row],[Date]],"yyyymm")</f>
        <v>E006|202605</v>
      </c>
      <c r="U301" s="25">
        <f>IFERROR(INDEX('05_Target_Master'!$A$1:$F$32,MATCH(tbl_clean_sales[[#This Row],[target key]],'05_Target_Master'!$F$1:$F$32,0),3),"Missing")</f>
        <v>141500</v>
      </c>
    </row>
    <row r="302" spans="1:21" x14ac:dyDescent="0.3">
      <c r="A302" s="21">
        <v>46170</v>
      </c>
      <c r="B302" s="22" t="s">
        <v>334</v>
      </c>
      <c r="C302" s="22" t="s">
        <v>40</v>
      </c>
      <c r="D302" s="22" t="s">
        <v>34</v>
      </c>
      <c r="E302" s="22" t="s">
        <v>26</v>
      </c>
      <c r="F302" s="22">
        <v>2</v>
      </c>
      <c r="G302" s="23">
        <v>204.85</v>
      </c>
      <c r="H302" s="25" t="str">
        <f>IF(COUNTIF(tbl_clean_sales[Invoice_ID],tbl_clean_sales[[#This Row],[Invoice_ID]])&gt;1,"Duplicate","Unique")</f>
        <v>Unique</v>
      </c>
      <c r="I302" s="25"/>
      <c r="J30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2" s="25" t="str">
        <f>IFERROR(VLOOKUP(tbl_clean_sales[[#This Row],[Employee_ID]],'02_Employee_Master'!$A$1:$C$12,2,FALSE),"Employee Name Missing")</f>
        <v>Meena V</v>
      </c>
      <c r="L302" s="25" t="str">
        <f>IFERROR(VLOOKUP(tbl_clean_sales[[#This Row],[Employee_ID]],'02_Employee_Master'!$A$1:$C$12,3,FALSE),"Department Name Missing")</f>
        <v>Sales</v>
      </c>
      <c r="M302" s="25" t="str">
        <f>IF('03_Clean_data'!D302="","Missing",IFERROR(IF(VLOOKUP(D302,'03_Product_Master'!$A$1:$D$14,1,FALSE)='03_Clean_data'!D302,"Valid","Invalid"),"Invalid"))</f>
        <v>Valid</v>
      </c>
      <c r="N302" s="25" t="str">
        <f>IFERROR(VLOOKUP(tbl_clean_sales[[#This Row],[Product_ID]],'03_Product_Master'!$A$1:$D$14,2,FALSE),"Missing")</f>
        <v>Potato Chips</v>
      </c>
      <c r="O302" s="25" t="str">
        <f>IFERROR(VLOOKUP(tbl_clean_sales[[#This Row],[Product_ID]],'03_Product_Master'!$A$1:$D$14,3,FALSE),"Missing")</f>
        <v>Snacks</v>
      </c>
      <c r="P302" s="25">
        <f>IFERROR(VLOOKUP(tbl_clean_sales[[#This Row],[Product_ID]],'03_Product_Master'!$A$1:$D$14,4,FALSE),"Missing")</f>
        <v>110</v>
      </c>
      <c r="Q302" s="25" t="str">
        <f>IF('03_Clean_data'!E302="","Missing",IFERROR(IF(VLOOKUP(E302,'04_Branch_Master'!$A$1:$C$7,1,FALSE)='03_Clean_data'!E302,"Valid","Invalid"),"Invalid"))</f>
        <v>Valid</v>
      </c>
      <c r="R302" s="25" t="str">
        <f>IFERROR(VLOOKUP(tbl_clean_sales[[#This Row],[Branch_ID]],'04_Branch_Master'!$A$1:$C$7,2,FALSE),"Missing")</f>
        <v>Palladam</v>
      </c>
      <c r="S302" s="25" t="str">
        <f>IFERROR(VLOOKUP(tbl_clean_sales[[#This Row],[Branch_ID]],'04_Branch_Master'!$A$1:$C$7,3,FALSE),"Missing")</f>
        <v>South</v>
      </c>
      <c r="T302" s="25" t="str">
        <f>C302&amp;"|"&amp;TEXT(tbl_clean_sales[[#This Row],[Date]],"yyyymm")</f>
        <v>E006|202605</v>
      </c>
      <c r="U302" s="25">
        <f>IFERROR(INDEX('05_Target_Master'!$A$1:$F$32,MATCH(tbl_clean_sales[[#This Row],[target key]],'05_Target_Master'!$F$1:$F$32,0),3),"Missing")</f>
        <v>141500</v>
      </c>
    </row>
    <row r="303" spans="1:21" x14ac:dyDescent="0.3">
      <c r="A303" s="21">
        <v>46180</v>
      </c>
      <c r="B303" s="22" t="s">
        <v>335</v>
      </c>
      <c r="C303" s="22" t="s">
        <v>40</v>
      </c>
      <c r="D303" s="22" t="s">
        <v>16</v>
      </c>
      <c r="E303" s="22" t="s">
        <v>26</v>
      </c>
      <c r="F303" s="22">
        <v>5</v>
      </c>
      <c r="G303" s="23">
        <v>1503.57</v>
      </c>
      <c r="H303" s="25" t="str">
        <f>IF(COUNTIF(tbl_clean_sales[Invoice_ID],tbl_clean_sales[[#This Row],[Invoice_ID]])&gt;1,"Duplicate","Unique")</f>
        <v>Unique</v>
      </c>
      <c r="I303" s="25"/>
      <c r="J30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3" s="25" t="str">
        <f>IFERROR(VLOOKUP(tbl_clean_sales[[#This Row],[Employee_ID]],'02_Employee_Master'!$A$1:$C$12,2,FALSE),"Employee Name Missing")</f>
        <v>Meena V</v>
      </c>
      <c r="L303" s="25" t="str">
        <f>IFERROR(VLOOKUP(tbl_clean_sales[[#This Row],[Employee_ID]],'02_Employee_Master'!$A$1:$C$12,3,FALSE),"Department Name Missing")</f>
        <v>Sales</v>
      </c>
      <c r="M303" s="25" t="str">
        <f>IF('03_Clean_data'!D303="","Missing",IFERROR(IF(VLOOKUP(D303,'03_Product_Master'!$A$1:$D$14,1,FALSE)='03_Clean_data'!D303,"Valid","Invalid"),"Invalid"))</f>
        <v>Valid</v>
      </c>
      <c r="N303" s="25" t="str">
        <f>IFERROR(VLOOKUP(tbl_clean_sales[[#This Row],[Product_ID]],'03_Product_Master'!$A$1:$D$14,2,FALSE),"Missing")</f>
        <v>Shampoo</v>
      </c>
      <c r="O303" s="25" t="str">
        <f>IFERROR(VLOOKUP(tbl_clean_sales[[#This Row],[Product_ID]],'03_Product_Master'!$A$1:$D$14,3,FALSE),"Missing")</f>
        <v>Personal Care</v>
      </c>
      <c r="P303" s="25">
        <f>IFERROR(VLOOKUP(tbl_clean_sales[[#This Row],[Product_ID]],'03_Product_Master'!$A$1:$D$14,4,FALSE),"Missing")</f>
        <v>310</v>
      </c>
      <c r="Q303" s="25" t="str">
        <f>IF('03_Clean_data'!E303="","Missing",IFERROR(IF(VLOOKUP(E303,'04_Branch_Master'!$A$1:$C$7,1,FALSE)='03_Clean_data'!E303,"Valid","Invalid"),"Invalid"))</f>
        <v>Valid</v>
      </c>
      <c r="R303" s="25" t="str">
        <f>IFERROR(VLOOKUP(tbl_clean_sales[[#This Row],[Branch_ID]],'04_Branch_Master'!$A$1:$C$7,2,FALSE),"Missing")</f>
        <v>Palladam</v>
      </c>
      <c r="S303" s="25" t="str">
        <f>IFERROR(VLOOKUP(tbl_clean_sales[[#This Row],[Branch_ID]],'04_Branch_Master'!$A$1:$C$7,3,FALSE),"Missing")</f>
        <v>South</v>
      </c>
      <c r="T303" s="25" t="str">
        <f>C303&amp;"|"&amp;TEXT(tbl_clean_sales[[#This Row],[Date]],"yyyymm")</f>
        <v>E006|202606</v>
      </c>
      <c r="U303" s="25">
        <f>IFERROR(INDEX('05_Target_Master'!$A$1:$F$32,MATCH(tbl_clean_sales[[#This Row],[target key]],'05_Target_Master'!$F$1:$F$32,0),3),"Missing")</f>
        <v>125800</v>
      </c>
    </row>
    <row r="304" spans="1:21" x14ac:dyDescent="0.3">
      <c r="A304" s="21">
        <v>46127</v>
      </c>
      <c r="B304" s="22" t="s">
        <v>336</v>
      </c>
      <c r="C304" s="22" t="s">
        <v>74</v>
      </c>
      <c r="D304" s="22" t="s">
        <v>19</v>
      </c>
      <c r="E304" s="22" t="s">
        <v>22</v>
      </c>
      <c r="F304" s="22">
        <v>9</v>
      </c>
      <c r="G304" s="22"/>
      <c r="H304" s="25" t="str">
        <f>IF(COUNTIF(tbl_clean_sales[Invoice_ID],tbl_clean_sales[[#This Row],[Invoice_ID]])&gt;1,"Duplicate","Unique")</f>
        <v>Unique</v>
      </c>
      <c r="I304" s="25"/>
      <c r="J30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4" s="25" t="str">
        <f>IFERROR(VLOOKUP(tbl_clean_sales[[#This Row],[Employee_ID]],'02_Employee_Master'!$A$1:$C$12,2,FALSE),"Employee Name Missing")</f>
        <v>Arun Kumar</v>
      </c>
      <c r="L304" s="25" t="str">
        <f>IFERROR(VLOOKUP(tbl_clean_sales[[#This Row],[Employee_ID]],'02_Employee_Master'!$A$1:$C$12,3,FALSE),"Department Name Missing")</f>
        <v>Sales</v>
      </c>
      <c r="M304" s="25" t="str">
        <f>IF('03_Clean_data'!D304="","Missing",IFERROR(IF(VLOOKUP(D304,'03_Product_Master'!$A$1:$D$14,1,FALSE)='03_Clean_data'!D304,"Valid","Invalid"),"Invalid"))</f>
        <v>Valid</v>
      </c>
      <c r="N304" s="25" t="str">
        <f>IFERROR(VLOOKUP(tbl_clean_sales[[#This Row],[Product_ID]],'03_Product_Master'!$A$1:$D$14,2,FALSE),"Missing")</f>
        <v>Floor Cleaner</v>
      </c>
      <c r="O304" s="25" t="str">
        <f>IFERROR(VLOOKUP(tbl_clean_sales[[#This Row],[Product_ID]],'03_Product_Master'!$A$1:$D$14,3,FALSE),"Missing")</f>
        <v>Home Care</v>
      </c>
      <c r="P304" s="25">
        <f>IFERROR(VLOOKUP(tbl_clean_sales[[#This Row],[Product_ID]],'03_Product_Master'!$A$1:$D$14,4,FALSE),"Missing")</f>
        <v>230</v>
      </c>
      <c r="Q304" s="25" t="str">
        <f>IF('03_Clean_data'!E304="","Missing",IFERROR(IF(VLOOKUP(E304,'04_Branch_Master'!$A$1:$C$7,1,FALSE)='03_Clean_data'!E304,"Valid","Invalid"),"Invalid"))</f>
        <v>Valid</v>
      </c>
      <c r="R304" s="25" t="str">
        <f>IFERROR(VLOOKUP(tbl_clean_sales[[#This Row],[Branch_ID]],'04_Branch_Master'!$A$1:$C$7,2,FALSE),"Missing")</f>
        <v>Tirupur Central</v>
      </c>
      <c r="S304" s="25" t="str">
        <f>IFERROR(VLOOKUP(tbl_clean_sales[[#This Row],[Branch_ID]],'04_Branch_Master'!$A$1:$C$7,3,FALSE),"Missing")</f>
        <v>North</v>
      </c>
      <c r="T304" s="25" t="str">
        <f>C304&amp;"|"&amp;TEXT(tbl_clean_sales[[#This Row],[Date]],"yyyymm")</f>
        <v>E001|202604</v>
      </c>
      <c r="U304" s="25">
        <f>IFERROR(INDEX('05_Target_Master'!$A$1:$F$32,MATCH(tbl_clean_sales[[#This Row],[target key]],'05_Target_Master'!$F$1:$F$32,0),3),"Missing")</f>
        <v>156900</v>
      </c>
    </row>
    <row r="305" spans="1:21" x14ac:dyDescent="0.3">
      <c r="A305" s="21">
        <v>46184</v>
      </c>
      <c r="B305" s="22" t="s">
        <v>337</v>
      </c>
      <c r="C305" s="22" t="s">
        <v>21</v>
      </c>
      <c r="D305" s="22" t="s">
        <v>82</v>
      </c>
      <c r="E305" s="22" t="s">
        <v>22</v>
      </c>
      <c r="F305" s="22">
        <v>12</v>
      </c>
      <c r="G305" s="23">
        <v>1362.88</v>
      </c>
      <c r="H305" s="25" t="str">
        <f>IF(COUNTIF(tbl_clean_sales[Invoice_ID],tbl_clean_sales[[#This Row],[Invoice_ID]])&gt;1,"Duplicate","Unique")</f>
        <v>Unique</v>
      </c>
      <c r="I305" s="25"/>
      <c r="J30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5" s="25" t="str">
        <f>IFERROR(VLOOKUP(tbl_clean_sales[[#This Row],[Employee_ID]],'02_Employee_Master'!$A$1:$C$12,2,FALSE),"Employee Name Missing")</f>
        <v>Priya S</v>
      </c>
      <c r="L305" s="25" t="str">
        <f>IFERROR(VLOOKUP(tbl_clean_sales[[#This Row],[Employee_ID]],'02_Employee_Master'!$A$1:$C$12,3,FALSE),"Department Name Missing")</f>
        <v>Sales</v>
      </c>
      <c r="M305" s="25" t="str">
        <f>IF('03_Clean_data'!D305="","Missing",IFERROR(IF(VLOOKUP(D305,'03_Product_Master'!$A$1:$D$14,1,FALSE)='03_Clean_data'!D305,"Valid","Invalid"),"Invalid"))</f>
        <v>Valid</v>
      </c>
      <c r="N305" s="25" t="str">
        <f>IFERROR(VLOOKUP(tbl_clean_sales[[#This Row],[Product_ID]],'03_Product_Master'!$A$1:$D$14,2,FALSE),"Missing")</f>
        <v>Chocolate Bar</v>
      </c>
      <c r="O305" s="25" t="str">
        <f>IFERROR(VLOOKUP(tbl_clean_sales[[#This Row],[Product_ID]],'03_Product_Master'!$A$1:$D$14,3,FALSE),"Missing")</f>
        <v>Snacks</v>
      </c>
      <c r="P305" s="25">
        <f>IFERROR(VLOOKUP(tbl_clean_sales[[#This Row],[Product_ID]],'03_Product_Master'!$A$1:$D$14,4,FALSE),"Missing")</f>
        <v>120</v>
      </c>
      <c r="Q305" s="25" t="str">
        <f>IF('03_Clean_data'!E305="","Missing",IFERROR(IF(VLOOKUP(E305,'04_Branch_Master'!$A$1:$C$7,1,FALSE)='03_Clean_data'!E305,"Valid","Invalid"),"Invalid"))</f>
        <v>Valid</v>
      </c>
      <c r="R305" s="25" t="str">
        <f>IFERROR(VLOOKUP(tbl_clean_sales[[#This Row],[Branch_ID]],'04_Branch_Master'!$A$1:$C$7,2,FALSE),"Missing")</f>
        <v>Tirupur Central</v>
      </c>
      <c r="S305" s="25" t="str">
        <f>IFERROR(VLOOKUP(tbl_clean_sales[[#This Row],[Branch_ID]],'04_Branch_Master'!$A$1:$C$7,3,FALSE),"Missing")</f>
        <v>North</v>
      </c>
      <c r="T305" s="25" t="str">
        <f>C305&amp;"|"&amp;TEXT(tbl_clean_sales[[#This Row],[Date]],"yyyymm")</f>
        <v>E002|202606</v>
      </c>
      <c r="U305" s="25">
        <f>IFERROR(INDEX('05_Target_Master'!$A$1:$F$32,MATCH(tbl_clean_sales[[#This Row],[target key]],'05_Target_Master'!$F$1:$F$32,0),3),"Missing")</f>
        <v>117400</v>
      </c>
    </row>
    <row r="306" spans="1:21" x14ac:dyDescent="0.3">
      <c r="A306" s="21">
        <v>46191</v>
      </c>
      <c r="B306" s="22" t="s">
        <v>338</v>
      </c>
      <c r="C306" s="22" t="s">
        <v>24</v>
      </c>
      <c r="D306" s="22" t="s">
        <v>19</v>
      </c>
      <c r="E306" s="22" t="s">
        <v>32</v>
      </c>
      <c r="F306" s="22">
        <v>4</v>
      </c>
      <c r="G306" s="23">
        <v>906.46</v>
      </c>
      <c r="H306" s="25" t="str">
        <f>IF(COUNTIF(tbl_clean_sales[Invoice_ID],tbl_clean_sales[[#This Row],[Invoice_ID]])&gt;1,"Duplicate","Unique")</f>
        <v>Unique</v>
      </c>
      <c r="I306" s="25"/>
      <c r="J30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6" s="25" t="str">
        <f>IFERROR(VLOOKUP(tbl_clean_sales[[#This Row],[Employee_ID]],'02_Employee_Master'!$A$1:$C$12,2,FALSE),"Employee Name Missing")</f>
        <v>Karthik P</v>
      </c>
      <c r="L306" s="25" t="str">
        <f>IFERROR(VLOOKUP(tbl_clean_sales[[#This Row],[Employee_ID]],'02_Employee_Master'!$A$1:$C$12,3,FALSE),"Department Name Missing")</f>
        <v>Sales</v>
      </c>
      <c r="M306" s="25" t="str">
        <f>IF('03_Clean_data'!D306="","Missing",IFERROR(IF(VLOOKUP(D306,'03_Product_Master'!$A$1:$D$14,1,FALSE)='03_Clean_data'!D306,"Valid","Invalid"),"Invalid"))</f>
        <v>Valid</v>
      </c>
      <c r="N306" s="25" t="str">
        <f>IFERROR(VLOOKUP(tbl_clean_sales[[#This Row],[Product_ID]],'03_Product_Master'!$A$1:$D$14,2,FALSE),"Missing")</f>
        <v>Floor Cleaner</v>
      </c>
      <c r="O306" s="25" t="str">
        <f>IFERROR(VLOOKUP(tbl_clean_sales[[#This Row],[Product_ID]],'03_Product_Master'!$A$1:$D$14,3,FALSE),"Missing")</f>
        <v>Home Care</v>
      </c>
      <c r="P306" s="25">
        <f>IFERROR(VLOOKUP(tbl_clean_sales[[#This Row],[Product_ID]],'03_Product_Master'!$A$1:$D$14,4,FALSE),"Missing")</f>
        <v>230</v>
      </c>
      <c r="Q306" s="25" t="str">
        <f>IF('03_Clean_data'!E306="","Missing",IFERROR(IF(VLOOKUP(E306,'04_Branch_Master'!$A$1:$C$7,1,FALSE)='03_Clean_data'!E306,"Valid","Invalid"),"Invalid"))</f>
        <v>Valid</v>
      </c>
      <c r="R306" s="25" t="str">
        <f>IFERROR(VLOOKUP(tbl_clean_sales[[#This Row],[Branch_ID]],'04_Branch_Master'!$A$1:$C$7,2,FALSE),"Missing")</f>
        <v>Kangeyam</v>
      </c>
      <c r="S306" s="25" t="str">
        <f>IFERROR(VLOOKUP(tbl_clean_sales[[#This Row],[Branch_ID]],'04_Branch_Master'!$A$1:$C$7,3,FALSE),"Missing")</f>
        <v>East</v>
      </c>
      <c r="T306" s="25" t="str">
        <f>C306&amp;"|"&amp;TEXT(tbl_clean_sales[[#This Row],[Date]],"yyyymm")</f>
        <v>E005|202606</v>
      </c>
      <c r="U306" s="25">
        <f>IFERROR(INDEX('05_Target_Master'!$A$1:$F$32,MATCH(tbl_clean_sales[[#This Row],[target key]],'05_Target_Master'!$F$1:$F$32,0),3),"Missing")</f>
        <v>127700</v>
      </c>
    </row>
    <row r="307" spans="1:21" x14ac:dyDescent="0.3">
      <c r="A307" s="21">
        <v>46122</v>
      </c>
      <c r="B307" s="22" t="s">
        <v>339</v>
      </c>
      <c r="C307" s="22" t="s">
        <v>38</v>
      </c>
      <c r="D307" s="22" t="s">
        <v>53</v>
      </c>
      <c r="E307" s="22" t="s">
        <v>32</v>
      </c>
      <c r="F307" s="22">
        <v>2</v>
      </c>
      <c r="G307" s="23">
        <v>631.91999999999996</v>
      </c>
      <c r="H307" s="25" t="str">
        <f>IF(COUNTIF(tbl_clean_sales[Invoice_ID],tbl_clean_sales[[#This Row],[Invoice_ID]])&gt;1,"Duplicate","Unique")</f>
        <v>Unique</v>
      </c>
      <c r="I307" s="25"/>
      <c r="J30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7" s="25" t="str">
        <f>IFERROR(VLOOKUP(tbl_clean_sales[[#This Row],[Employee_ID]],'02_Employee_Master'!$A$1:$C$12,2,FALSE),"Employee Name Missing")</f>
        <v>Nandhini K</v>
      </c>
      <c r="L307" s="25" t="str">
        <f>IFERROR(VLOOKUP(tbl_clean_sales[[#This Row],[Employee_ID]],'02_Employee_Master'!$A$1:$C$12,3,FALSE),"Department Name Missing")</f>
        <v>Sales</v>
      </c>
      <c r="M307" s="25" t="str">
        <f>IF('03_Clean_data'!D307="","Missing",IFERROR(IF(VLOOKUP(D307,'03_Product_Master'!$A$1:$D$14,1,FALSE)='03_Clean_data'!D307,"Valid","Invalid"),"Invalid"))</f>
        <v>Valid</v>
      </c>
      <c r="N307" s="25" t="str">
        <f>IFERROR(VLOOKUP(tbl_clean_sales[[#This Row],[Product_ID]],'03_Product_Master'!$A$1:$D$14,2,FALSE),"Missing")</f>
        <v>Instant Coffee</v>
      </c>
      <c r="O307" s="25" t="str">
        <f>IFERROR(VLOOKUP(tbl_clean_sales[[#This Row],[Product_ID]],'03_Product_Master'!$A$1:$D$14,3,FALSE),"Missing")</f>
        <v>Beverages</v>
      </c>
      <c r="P307" s="25">
        <f>IFERROR(VLOOKUP(tbl_clean_sales[[#This Row],[Product_ID]],'03_Product_Master'!$A$1:$D$14,4,FALSE),"Missing")</f>
        <v>350</v>
      </c>
      <c r="Q307" s="25" t="str">
        <f>IF('03_Clean_data'!E307="","Missing",IFERROR(IF(VLOOKUP(E307,'04_Branch_Master'!$A$1:$C$7,1,FALSE)='03_Clean_data'!E307,"Valid","Invalid"),"Invalid"))</f>
        <v>Valid</v>
      </c>
      <c r="R307" s="25" t="str">
        <f>IFERROR(VLOOKUP(tbl_clean_sales[[#This Row],[Branch_ID]],'04_Branch_Master'!$A$1:$C$7,2,FALSE),"Missing")</f>
        <v>Kangeyam</v>
      </c>
      <c r="S307" s="25" t="str">
        <f>IFERROR(VLOOKUP(tbl_clean_sales[[#This Row],[Branch_ID]],'04_Branch_Master'!$A$1:$C$7,3,FALSE),"Missing")</f>
        <v>East</v>
      </c>
      <c r="T307" s="25" t="str">
        <f>C307&amp;"|"&amp;TEXT(tbl_clean_sales[[#This Row],[Date]],"yyyymm")</f>
        <v>E008|202604</v>
      </c>
      <c r="U307" s="25">
        <f>IFERROR(INDEX('05_Target_Master'!$A$1:$F$32,MATCH(tbl_clean_sales[[#This Row],[target key]],'05_Target_Master'!$F$1:$F$32,0),3),"Missing")</f>
        <v>124100</v>
      </c>
    </row>
    <row r="308" spans="1:21" x14ac:dyDescent="0.3">
      <c r="A308" s="21">
        <v>46153</v>
      </c>
      <c r="B308" s="22" t="s">
        <v>340</v>
      </c>
      <c r="C308" s="22" t="s">
        <v>40</v>
      </c>
      <c r="D308" s="22" t="s">
        <v>19</v>
      </c>
      <c r="E308" s="22" t="s">
        <v>26</v>
      </c>
      <c r="F308" s="22">
        <v>9</v>
      </c>
      <c r="G308" s="23">
        <v>1997.87</v>
      </c>
      <c r="H308" s="25" t="str">
        <f>IF(COUNTIF(tbl_clean_sales[Invoice_ID],tbl_clean_sales[[#This Row],[Invoice_ID]])&gt;1,"Duplicate","Unique")</f>
        <v>Unique</v>
      </c>
      <c r="I308" s="25"/>
      <c r="J30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8" s="25" t="str">
        <f>IFERROR(VLOOKUP(tbl_clean_sales[[#This Row],[Employee_ID]],'02_Employee_Master'!$A$1:$C$12,2,FALSE),"Employee Name Missing")</f>
        <v>Meena V</v>
      </c>
      <c r="L308" s="25" t="str">
        <f>IFERROR(VLOOKUP(tbl_clean_sales[[#This Row],[Employee_ID]],'02_Employee_Master'!$A$1:$C$12,3,FALSE),"Department Name Missing")</f>
        <v>Sales</v>
      </c>
      <c r="M308" s="25" t="str">
        <f>IF('03_Clean_data'!D308="","Missing",IFERROR(IF(VLOOKUP(D308,'03_Product_Master'!$A$1:$D$14,1,FALSE)='03_Clean_data'!D308,"Valid","Invalid"),"Invalid"))</f>
        <v>Valid</v>
      </c>
      <c r="N308" s="25" t="str">
        <f>IFERROR(VLOOKUP(tbl_clean_sales[[#This Row],[Product_ID]],'03_Product_Master'!$A$1:$D$14,2,FALSE),"Missing")</f>
        <v>Floor Cleaner</v>
      </c>
      <c r="O308" s="25" t="str">
        <f>IFERROR(VLOOKUP(tbl_clean_sales[[#This Row],[Product_ID]],'03_Product_Master'!$A$1:$D$14,3,FALSE),"Missing")</f>
        <v>Home Care</v>
      </c>
      <c r="P308" s="25">
        <f>IFERROR(VLOOKUP(tbl_clean_sales[[#This Row],[Product_ID]],'03_Product_Master'!$A$1:$D$14,4,FALSE),"Missing")</f>
        <v>230</v>
      </c>
      <c r="Q308" s="25" t="str">
        <f>IF('03_Clean_data'!E308="","Missing",IFERROR(IF(VLOOKUP(E308,'04_Branch_Master'!$A$1:$C$7,1,FALSE)='03_Clean_data'!E308,"Valid","Invalid"),"Invalid"))</f>
        <v>Valid</v>
      </c>
      <c r="R308" s="25" t="str">
        <f>IFERROR(VLOOKUP(tbl_clean_sales[[#This Row],[Branch_ID]],'04_Branch_Master'!$A$1:$C$7,2,FALSE),"Missing")</f>
        <v>Palladam</v>
      </c>
      <c r="S308" s="25" t="str">
        <f>IFERROR(VLOOKUP(tbl_clean_sales[[#This Row],[Branch_ID]],'04_Branch_Master'!$A$1:$C$7,3,FALSE),"Missing")</f>
        <v>South</v>
      </c>
      <c r="T308" s="25" t="str">
        <f>C308&amp;"|"&amp;TEXT(tbl_clean_sales[[#This Row],[Date]],"yyyymm")</f>
        <v>E006|202605</v>
      </c>
      <c r="U308" s="25">
        <f>IFERROR(INDEX('05_Target_Master'!$A$1:$F$32,MATCH(tbl_clean_sales[[#This Row],[target key]],'05_Target_Master'!$F$1:$F$32,0),3),"Missing")</f>
        <v>141500</v>
      </c>
    </row>
    <row r="309" spans="1:21" x14ac:dyDescent="0.3">
      <c r="A309" s="21">
        <v>46151</v>
      </c>
      <c r="B309" s="22" t="s">
        <v>341</v>
      </c>
      <c r="C309" s="22" t="s">
        <v>18</v>
      </c>
      <c r="D309" s="22" t="s">
        <v>19</v>
      </c>
      <c r="E309" s="22" t="s">
        <v>14</v>
      </c>
      <c r="F309" s="22">
        <v>12</v>
      </c>
      <c r="G309" s="23">
        <v>2548.79</v>
      </c>
      <c r="H309" s="25" t="str">
        <f>IF(COUNTIF(tbl_clean_sales[Invoice_ID],tbl_clean_sales[[#This Row],[Invoice_ID]])&gt;1,"Duplicate","Unique")</f>
        <v>Unique</v>
      </c>
      <c r="I309" s="25"/>
      <c r="J30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09" s="25" t="str">
        <f>IFERROR(VLOOKUP(tbl_clean_sales[[#This Row],[Employee_ID]],'02_Employee_Master'!$A$1:$C$12,2,FALSE),"Employee Name Missing")</f>
        <v>Rahul M</v>
      </c>
      <c r="L309" s="25" t="str">
        <f>IFERROR(VLOOKUP(tbl_clean_sales[[#This Row],[Employee_ID]],'02_Employee_Master'!$A$1:$C$12,3,FALSE),"Department Name Missing")</f>
        <v>Sales</v>
      </c>
      <c r="M309" s="25" t="str">
        <f>IF('03_Clean_data'!D309="","Missing",IFERROR(IF(VLOOKUP(D309,'03_Product_Master'!$A$1:$D$14,1,FALSE)='03_Clean_data'!D309,"Valid","Invalid"),"Invalid"))</f>
        <v>Valid</v>
      </c>
      <c r="N309" s="25" t="str">
        <f>IFERROR(VLOOKUP(tbl_clean_sales[[#This Row],[Product_ID]],'03_Product_Master'!$A$1:$D$14,2,FALSE),"Missing")</f>
        <v>Floor Cleaner</v>
      </c>
      <c r="O309" s="25" t="str">
        <f>IFERROR(VLOOKUP(tbl_clean_sales[[#This Row],[Product_ID]],'03_Product_Master'!$A$1:$D$14,3,FALSE),"Missing")</f>
        <v>Home Care</v>
      </c>
      <c r="P309" s="25">
        <f>IFERROR(VLOOKUP(tbl_clean_sales[[#This Row],[Product_ID]],'03_Product_Master'!$A$1:$D$14,4,FALSE),"Missing")</f>
        <v>230</v>
      </c>
      <c r="Q309" s="25" t="str">
        <f>IF('03_Clean_data'!E309="","Missing",IFERROR(IF(VLOOKUP(E309,'04_Branch_Master'!$A$1:$C$7,1,FALSE)='03_Clean_data'!E309,"Valid","Invalid"),"Invalid"))</f>
        <v>Valid</v>
      </c>
      <c r="R309" s="25" t="str">
        <f>IFERROR(VLOOKUP(tbl_clean_sales[[#This Row],[Branch_ID]],'04_Branch_Master'!$A$1:$C$7,2,FALSE),"Missing")</f>
        <v>Avinashi Road</v>
      </c>
      <c r="S309" s="25" t="str">
        <f>IFERROR(VLOOKUP(tbl_clean_sales[[#This Row],[Branch_ID]],'04_Branch_Master'!$A$1:$C$7,3,FALSE),"Missing")</f>
        <v>North</v>
      </c>
      <c r="T309" s="25" t="str">
        <f>C309&amp;"|"&amp;TEXT(tbl_clean_sales[[#This Row],[Date]],"yyyymm")</f>
        <v>E003|202605</v>
      </c>
      <c r="U309" s="25">
        <f>IFERROR(INDEX('05_Target_Master'!$A$1:$F$32,MATCH(tbl_clean_sales[[#This Row],[target key]],'05_Target_Master'!$F$1:$F$32,0),3),"Missing")</f>
        <v>126000</v>
      </c>
    </row>
    <row r="310" spans="1:21" x14ac:dyDescent="0.3">
      <c r="A310" s="21">
        <v>46159</v>
      </c>
      <c r="B310" s="22" t="s">
        <v>342</v>
      </c>
      <c r="C310" s="22" t="s">
        <v>8</v>
      </c>
      <c r="D310" s="22" t="s">
        <v>30</v>
      </c>
      <c r="E310" s="22" t="s">
        <v>10</v>
      </c>
      <c r="F310" s="22">
        <v>4</v>
      </c>
      <c r="G310" s="23">
        <v>579.16999999999996</v>
      </c>
      <c r="H310" s="25" t="str">
        <f>IF(COUNTIF(tbl_clean_sales[Invoice_ID],tbl_clean_sales[[#This Row],[Invoice_ID]])&gt;1,"Duplicate","Unique")</f>
        <v>Unique</v>
      </c>
      <c r="I310" s="25"/>
      <c r="J3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0" s="25" t="str">
        <f>IFERROR(VLOOKUP(tbl_clean_sales[[#This Row],[Employee_ID]],'02_Employee_Master'!$A$1:$C$12,2,FALSE),"Employee Name Missing")</f>
        <v>Vignesh R</v>
      </c>
      <c r="L310" s="25" t="str">
        <f>IFERROR(VLOOKUP(tbl_clean_sales[[#This Row],[Employee_ID]],'02_Employee_Master'!$A$1:$C$12,3,FALSE),"Department Name Missing")</f>
        <v>Sales</v>
      </c>
      <c r="M310" s="25" t="str">
        <f>IF('03_Clean_data'!D310="","Missing",IFERROR(IF(VLOOKUP(D310,'03_Product_Master'!$A$1:$D$14,1,FALSE)='03_Clean_data'!D310,"Valid","Invalid"),"Invalid"))</f>
        <v>Valid</v>
      </c>
      <c r="N310" s="25" t="str">
        <f>IFERROR(VLOOKUP(tbl_clean_sales[[#This Row],[Product_ID]],'03_Product_Master'!$A$1:$D$14,2,FALSE),"Missing")</f>
        <v>Cookies Pack</v>
      </c>
      <c r="O310" s="25" t="str">
        <f>IFERROR(VLOOKUP(tbl_clean_sales[[#This Row],[Product_ID]],'03_Product_Master'!$A$1:$D$14,3,FALSE),"Missing")</f>
        <v>Snacks</v>
      </c>
      <c r="P310" s="25">
        <f>IFERROR(VLOOKUP(tbl_clean_sales[[#This Row],[Product_ID]],'03_Product_Master'!$A$1:$D$14,4,FALSE),"Missing")</f>
        <v>160</v>
      </c>
      <c r="Q310" s="25" t="str">
        <f>IF('03_Clean_data'!E310="","Missing",IFERROR(IF(VLOOKUP(E310,'04_Branch_Master'!$A$1:$C$7,1,FALSE)='03_Clean_data'!E310,"Valid","Invalid"),"Invalid"))</f>
        <v>Valid</v>
      </c>
      <c r="R310" s="25" t="str">
        <f>IFERROR(VLOOKUP(tbl_clean_sales[[#This Row],[Branch_ID]],'04_Branch_Master'!$A$1:$C$7,2,FALSE),"Missing")</f>
        <v>Dharapuram</v>
      </c>
      <c r="S310" s="25" t="str">
        <f>IFERROR(VLOOKUP(tbl_clean_sales[[#This Row],[Branch_ID]],'04_Branch_Master'!$A$1:$C$7,3,FALSE),"Missing")</f>
        <v>South</v>
      </c>
      <c r="T310" s="25" t="str">
        <f>C310&amp;"|"&amp;TEXT(tbl_clean_sales[[#This Row],[Date]],"yyyymm")</f>
        <v>E009|202605</v>
      </c>
      <c r="U310" s="25">
        <f>IFERROR(INDEX('05_Target_Master'!$A$1:$F$32,MATCH(tbl_clean_sales[[#This Row],[target key]],'05_Target_Master'!$F$1:$F$32,0),3),"Missing")</f>
        <v>176300</v>
      </c>
    </row>
    <row r="311" spans="1:21" x14ac:dyDescent="0.3">
      <c r="A311" s="21">
        <v>46143</v>
      </c>
      <c r="B311" s="22" t="s">
        <v>343</v>
      </c>
      <c r="C311" s="22" t="s">
        <v>38</v>
      </c>
      <c r="D311" s="22" t="s">
        <v>25</v>
      </c>
      <c r="E311" s="22" t="s">
        <v>32</v>
      </c>
      <c r="F311" s="22">
        <v>10</v>
      </c>
      <c r="G311" s="23">
        <v>4014.07</v>
      </c>
      <c r="H311" s="25" t="str">
        <f>IF(COUNTIF(tbl_clean_sales[Invoice_ID],tbl_clean_sales[[#This Row],[Invoice_ID]])&gt;1,"Duplicate","Unique")</f>
        <v>Unique</v>
      </c>
      <c r="I311" s="25"/>
      <c r="J3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1" s="25" t="str">
        <f>IFERROR(VLOOKUP(tbl_clean_sales[[#This Row],[Employee_ID]],'02_Employee_Master'!$A$1:$C$12,2,FALSE),"Employee Name Missing")</f>
        <v>Nandhini K</v>
      </c>
      <c r="L311" s="25" t="str">
        <f>IFERROR(VLOOKUP(tbl_clean_sales[[#This Row],[Employee_ID]],'02_Employee_Master'!$A$1:$C$12,3,FALSE),"Department Name Missing")</f>
        <v>Sales</v>
      </c>
      <c r="M311" s="25" t="str">
        <f>IF('03_Clean_data'!D311="","Missing",IFERROR(IF(VLOOKUP(D311,'03_Product_Master'!$A$1:$D$14,1,FALSE)='03_Clean_data'!D311,"Valid","Invalid"),"Invalid"))</f>
        <v>Valid</v>
      </c>
      <c r="N311" s="25" t="str">
        <f>IFERROR(VLOOKUP(tbl_clean_sales[[#This Row],[Product_ID]],'03_Product_Master'!$A$1:$D$14,2,FALSE),"Missing")</f>
        <v>Premium Coffee</v>
      </c>
      <c r="O311" s="25" t="str">
        <f>IFERROR(VLOOKUP(tbl_clean_sales[[#This Row],[Product_ID]],'03_Product_Master'!$A$1:$D$14,3,FALSE),"Missing")</f>
        <v>Beverages</v>
      </c>
      <c r="P311" s="25">
        <f>IFERROR(VLOOKUP(tbl_clean_sales[[#This Row],[Product_ID]],'03_Product_Master'!$A$1:$D$14,4,FALSE),"Missing")</f>
        <v>420</v>
      </c>
      <c r="Q311" s="25" t="str">
        <f>IF('03_Clean_data'!E311="","Missing",IFERROR(IF(VLOOKUP(E311,'04_Branch_Master'!$A$1:$C$7,1,FALSE)='03_Clean_data'!E311,"Valid","Invalid"),"Invalid"))</f>
        <v>Valid</v>
      </c>
      <c r="R311" s="25" t="str">
        <f>IFERROR(VLOOKUP(tbl_clean_sales[[#This Row],[Branch_ID]],'04_Branch_Master'!$A$1:$C$7,2,FALSE),"Missing")</f>
        <v>Kangeyam</v>
      </c>
      <c r="S311" s="25" t="str">
        <f>IFERROR(VLOOKUP(tbl_clean_sales[[#This Row],[Branch_ID]],'04_Branch_Master'!$A$1:$C$7,3,FALSE),"Missing")</f>
        <v>East</v>
      </c>
      <c r="T311" s="25" t="str">
        <f>C311&amp;"|"&amp;TEXT(tbl_clean_sales[[#This Row],[Date]],"yyyymm")</f>
        <v>E008|202605</v>
      </c>
      <c r="U311" s="25">
        <f>IFERROR(INDEX('05_Target_Master'!$A$1:$F$32,MATCH(tbl_clean_sales[[#This Row],[target key]],'05_Target_Master'!$F$1:$F$32,0),3),"Missing")</f>
        <v>134100</v>
      </c>
    </row>
    <row r="312" spans="1:21" x14ac:dyDescent="0.3">
      <c r="A312" s="21">
        <v>46183</v>
      </c>
      <c r="B312" s="22" t="s">
        <v>344</v>
      </c>
      <c r="C312" s="22" t="s">
        <v>18</v>
      </c>
      <c r="D312" s="22" t="s">
        <v>36</v>
      </c>
      <c r="E312" s="22" t="s">
        <v>22</v>
      </c>
      <c r="F312" s="22">
        <v>5</v>
      </c>
      <c r="G312" s="23">
        <v>904.61</v>
      </c>
      <c r="H312" s="25" t="str">
        <f>IF(COUNTIF(tbl_clean_sales[Invoice_ID],tbl_clean_sales[[#This Row],[Invoice_ID]])&gt;1,"Duplicate","Unique")</f>
        <v>Unique</v>
      </c>
      <c r="I312" s="25"/>
      <c r="J3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2" s="25" t="str">
        <f>IFERROR(VLOOKUP(tbl_clean_sales[[#This Row],[Employee_ID]],'02_Employee_Master'!$A$1:$C$12,2,FALSE),"Employee Name Missing")</f>
        <v>Rahul M</v>
      </c>
      <c r="L312" s="25" t="str">
        <f>IFERROR(VLOOKUP(tbl_clean_sales[[#This Row],[Employee_ID]],'02_Employee_Master'!$A$1:$C$12,3,FALSE),"Department Name Missing")</f>
        <v>Sales</v>
      </c>
      <c r="M312" s="25" t="str">
        <f>IF('03_Clean_data'!D312="","Missing",IFERROR(IF(VLOOKUP(D312,'03_Product_Master'!$A$1:$D$14,1,FALSE)='03_Clean_data'!D312,"Valid","Invalid"),"Invalid"))</f>
        <v>Valid</v>
      </c>
      <c r="N312" s="25" t="str">
        <f>IFERROR(VLOOKUP(tbl_clean_sales[[#This Row],[Product_ID]],'03_Product_Master'!$A$1:$D$14,2,FALSE),"Missing")</f>
        <v>Dish Wash</v>
      </c>
      <c r="O312" s="25" t="str">
        <f>IFERROR(VLOOKUP(tbl_clean_sales[[#This Row],[Product_ID]],'03_Product_Master'!$A$1:$D$14,3,FALSE),"Missing")</f>
        <v>Home Care</v>
      </c>
      <c r="P312" s="25">
        <f>IFERROR(VLOOKUP(tbl_clean_sales[[#This Row],[Product_ID]],'03_Product_Master'!$A$1:$D$14,4,FALSE),"Missing")</f>
        <v>190</v>
      </c>
      <c r="Q312" s="25" t="str">
        <f>IF('03_Clean_data'!E312="","Missing",IFERROR(IF(VLOOKUP(E312,'04_Branch_Master'!$A$1:$C$7,1,FALSE)='03_Clean_data'!E312,"Valid","Invalid"),"Invalid"))</f>
        <v>Valid</v>
      </c>
      <c r="R312" s="25" t="str">
        <f>IFERROR(VLOOKUP(tbl_clean_sales[[#This Row],[Branch_ID]],'04_Branch_Master'!$A$1:$C$7,2,FALSE),"Missing")</f>
        <v>Tirupur Central</v>
      </c>
      <c r="S312" s="25" t="str">
        <f>IFERROR(VLOOKUP(tbl_clean_sales[[#This Row],[Branch_ID]],'04_Branch_Master'!$A$1:$C$7,3,FALSE),"Missing")</f>
        <v>North</v>
      </c>
      <c r="T312" s="25" t="str">
        <f>C312&amp;"|"&amp;TEXT(tbl_clean_sales[[#This Row],[Date]],"yyyymm")</f>
        <v>E003|202606</v>
      </c>
      <c r="U312" s="25">
        <f>IFERROR(INDEX('05_Target_Master'!$A$1:$F$32,MATCH(tbl_clean_sales[[#This Row],[target key]],'05_Target_Master'!$F$1:$F$32,0),3),"Missing")</f>
        <v>112000</v>
      </c>
    </row>
    <row r="313" spans="1:21" x14ac:dyDescent="0.3">
      <c r="A313" s="21">
        <v>46174</v>
      </c>
      <c r="B313" s="22" t="s">
        <v>345</v>
      </c>
      <c r="C313" s="22" t="s">
        <v>8</v>
      </c>
      <c r="D313" s="22" t="s">
        <v>16</v>
      </c>
      <c r="E313" s="22" t="s">
        <v>10</v>
      </c>
      <c r="F313" s="22">
        <v>10</v>
      </c>
      <c r="G313" s="23">
        <v>3072.56</v>
      </c>
      <c r="H313" s="25" t="str">
        <f>IF(COUNTIF(tbl_clean_sales[Invoice_ID],tbl_clean_sales[[#This Row],[Invoice_ID]])&gt;1,"Duplicate","Unique")</f>
        <v>Unique</v>
      </c>
      <c r="I313" s="25"/>
      <c r="J3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3" s="25" t="str">
        <f>IFERROR(VLOOKUP(tbl_clean_sales[[#This Row],[Employee_ID]],'02_Employee_Master'!$A$1:$C$12,2,FALSE),"Employee Name Missing")</f>
        <v>Vignesh R</v>
      </c>
      <c r="L313" s="25" t="str">
        <f>IFERROR(VLOOKUP(tbl_clean_sales[[#This Row],[Employee_ID]],'02_Employee_Master'!$A$1:$C$12,3,FALSE),"Department Name Missing")</f>
        <v>Sales</v>
      </c>
      <c r="M313" s="25" t="str">
        <f>IF('03_Clean_data'!D313="","Missing",IFERROR(IF(VLOOKUP(D313,'03_Product_Master'!$A$1:$D$14,1,FALSE)='03_Clean_data'!D313,"Valid","Invalid"),"Invalid"))</f>
        <v>Valid</v>
      </c>
      <c r="N313" s="25" t="str">
        <f>IFERROR(VLOOKUP(tbl_clean_sales[[#This Row],[Product_ID]],'03_Product_Master'!$A$1:$D$14,2,FALSE),"Missing")</f>
        <v>Shampoo</v>
      </c>
      <c r="O313" s="25" t="str">
        <f>IFERROR(VLOOKUP(tbl_clean_sales[[#This Row],[Product_ID]],'03_Product_Master'!$A$1:$D$14,3,FALSE),"Missing")</f>
        <v>Personal Care</v>
      </c>
      <c r="P313" s="25">
        <f>IFERROR(VLOOKUP(tbl_clean_sales[[#This Row],[Product_ID]],'03_Product_Master'!$A$1:$D$14,4,FALSE),"Missing")</f>
        <v>310</v>
      </c>
      <c r="Q313" s="25" t="str">
        <f>IF('03_Clean_data'!E313="","Missing",IFERROR(IF(VLOOKUP(E313,'04_Branch_Master'!$A$1:$C$7,1,FALSE)='03_Clean_data'!E313,"Valid","Invalid"),"Invalid"))</f>
        <v>Valid</v>
      </c>
      <c r="R313" s="25" t="str">
        <f>IFERROR(VLOOKUP(tbl_clean_sales[[#This Row],[Branch_ID]],'04_Branch_Master'!$A$1:$C$7,2,FALSE),"Missing")</f>
        <v>Dharapuram</v>
      </c>
      <c r="S313" s="25" t="str">
        <f>IFERROR(VLOOKUP(tbl_clean_sales[[#This Row],[Branch_ID]],'04_Branch_Master'!$A$1:$C$7,3,FALSE),"Missing")</f>
        <v>South</v>
      </c>
      <c r="T313" s="25" t="str">
        <f>C313&amp;"|"&amp;TEXT(tbl_clean_sales[[#This Row],[Date]],"yyyymm")</f>
        <v>E009|202606</v>
      </c>
      <c r="U313" s="25">
        <f>IFERROR(INDEX('05_Target_Master'!$A$1:$F$32,MATCH(tbl_clean_sales[[#This Row],[target key]],'05_Target_Master'!$F$1:$F$32,0),3),"Missing")</f>
        <v>156700</v>
      </c>
    </row>
    <row r="314" spans="1:21" x14ac:dyDescent="0.3">
      <c r="A314" s="21">
        <v>46153</v>
      </c>
      <c r="B314" s="22" t="s">
        <v>346</v>
      </c>
      <c r="C314" s="22" t="s">
        <v>21</v>
      </c>
      <c r="D314" s="22" t="s">
        <v>48</v>
      </c>
      <c r="E314" s="22" t="s">
        <v>22</v>
      </c>
      <c r="F314" s="22">
        <v>9</v>
      </c>
      <c r="G314" s="23">
        <v>2243.2600000000002</v>
      </c>
      <c r="H314" s="25" t="str">
        <f>IF(COUNTIF(tbl_clean_sales[Invoice_ID],tbl_clean_sales[[#This Row],[Invoice_ID]])&gt;1,"Duplicate","Unique")</f>
        <v>Unique</v>
      </c>
      <c r="I314" s="25"/>
      <c r="J3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4" s="25" t="str">
        <f>IFERROR(VLOOKUP(tbl_clean_sales[[#This Row],[Employee_ID]],'02_Employee_Master'!$A$1:$C$12,2,FALSE),"Employee Name Missing")</f>
        <v>Priya S</v>
      </c>
      <c r="L314" s="25" t="str">
        <f>IFERROR(VLOOKUP(tbl_clean_sales[[#This Row],[Employee_ID]],'02_Employee_Master'!$A$1:$C$12,3,FALSE),"Department Name Missing")</f>
        <v>Sales</v>
      </c>
      <c r="M314" s="25" t="str">
        <f>IF('03_Clean_data'!D314="","Missing",IFERROR(IF(VLOOKUP(D314,'03_Product_Master'!$A$1:$D$14,1,FALSE)='03_Clean_data'!D314,"Valid","Invalid"),"Invalid"))</f>
        <v>Valid</v>
      </c>
      <c r="N314" s="25" t="str">
        <f>IFERROR(VLOOKUP(tbl_clean_sales[[#This Row],[Product_ID]],'03_Product_Master'!$A$1:$D$14,2,FALSE),"Missing")</f>
        <v>Face Wash</v>
      </c>
      <c r="O314" s="25" t="str">
        <f>IFERROR(VLOOKUP(tbl_clean_sales[[#This Row],[Product_ID]],'03_Product_Master'!$A$1:$D$14,3,FALSE),"Missing")</f>
        <v>Personal Care</v>
      </c>
      <c r="P314" s="25">
        <f>IFERROR(VLOOKUP(tbl_clean_sales[[#This Row],[Product_ID]],'03_Product_Master'!$A$1:$D$14,4,FALSE),"Missing")</f>
        <v>260</v>
      </c>
      <c r="Q314" s="25" t="str">
        <f>IF('03_Clean_data'!E314="","Missing",IFERROR(IF(VLOOKUP(E314,'04_Branch_Master'!$A$1:$C$7,1,FALSE)='03_Clean_data'!E314,"Valid","Invalid"),"Invalid"))</f>
        <v>Valid</v>
      </c>
      <c r="R314" s="25" t="str">
        <f>IFERROR(VLOOKUP(tbl_clean_sales[[#This Row],[Branch_ID]],'04_Branch_Master'!$A$1:$C$7,2,FALSE),"Missing")</f>
        <v>Tirupur Central</v>
      </c>
      <c r="S314" s="25" t="str">
        <f>IFERROR(VLOOKUP(tbl_clean_sales[[#This Row],[Branch_ID]],'04_Branch_Master'!$A$1:$C$7,3,FALSE),"Missing")</f>
        <v>North</v>
      </c>
      <c r="T314" s="25" t="str">
        <f>C314&amp;"|"&amp;TEXT(tbl_clean_sales[[#This Row],[Date]],"yyyymm")</f>
        <v>E002|202605</v>
      </c>
      <c r="U314" s="25">
        <f>IFERROR(INDEX('05_Target_Master'!$A$1:$F$32,MATCH(tbl_clean_sales[[#This Row],[target key]],'05_Target_Master'!$F$1:$F$32,0),3),"Missing")</f>
        <v>132100</v>
      </c>
    </row>
    <row r="315" spans="1:21" x14ac:dyDescent="0.3">
      <c r="A315" s="21">
        <v>46183</v>
      </c>
      <c r="B315" s="22" t="s">
        <v>347</v>
      </c>
      <c r="C315" s="22" t="s">
        <v>29</v>
      </c>
      <c r="D315" s="22" t="s">
        <v>53</v>
      </c>
      <c r="E315" s="22" t="s">
        <v>10</v>
      </c>
      <c r="F315" s="22">
        <v>3</v>
      </c>
      <c r="G315" s="23">
        <v>995.49</v>
      </c>
      <c r="H315" s="25" t="str">
        <f>IF(COUNTIF(tbl_clean_sales[Invoice_ID],tbl_clean_sales[[#This Row],[Invoice_ID]])&gt;1,"Duplicate","Unique")</f>
        <v>Unique</v>
      </c>
      <c r="I315" s="25"/>
      <c r="J3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5" s="25" t="str">
        <f>IFERROR(VLOOKUP(tbl_clean_sales[[#This Row],[Employee_ID]],'02_Employee_Master'!$A$1:$C$12,2,FALSE),"Employee Name Missing")</f>
        <v>Swetha L</v>
      </c>
      <c r="L315" s="25" t="str">
        <f>IFERROR(VLOOKUP(tbl_clean_sales[[#This Row],[Employee_ID]],'02_Employee_Master'!$A$1:$C$12,3,FALSE),"Department Name Missing")</f>
        <v>Sales</v>
      </c>
      <c r="M315" s="25" t="str">
        <f>IF('03_Clean_data'!D315="","Missing",IFERROR(IF(VLOOKUP(D315,'03_Product_Master'!$A$1:$D$14,1,FALSE)='03_Clean_data'!D315,"Valid","Invalid"),"Invalid"))</f>
        <v>Valid</v>
      </c>
      <c r="N315" s="25" t="str">
        <f>IFERROR(VLOOKUP(tbl_clean_sales[[#This Row],[Product_ID]],'03_Product_Master'!$A$1:$D$14,2,FALSE),"Missing")</f>
        <v>Instant Coffee</v>
      </c>
      <c r="O315" s="25" t="str">
        <f>IFERROR(VLOOKUP(tbl_clean_sales[[#This Row],[Product_ID]],'03_Product_Master'!$A$1:$D$14,3,FALSE),"Missing")</f>
        <v>Beverages</v>
      </c>
      <c r="P315" s="25">
        <f>IFERROR(VLOOKUP(tbl_clean_sales[[#This Row],[Product_ID]],'03_Product_Master'!$A$1:$D$14,4,FALSE),"Missing")</f>
        <v>350</v>
      </c>
      <c r="Q315" s="25" t="str">
        <f>IF('03_Clean_data'!E315="","Missing",IFERROR(IF(VLOOKUP(E315,'04_Branch_Master'!$A$1:$C$7,1,FALSE)='03_Clean_data'!E315,"Valid","Invalid"),"Invalid"))</f>
        <v>Valid</v>
      </c>
      <c r="R315" s="25" t="str">
        <f>IFERROR(VLOOKUP(tbl_clean_sales[[#This Row],[Branch_ID]],'04_Branch_Master'!$A$1:$C$7,2,FALSE),"Missing")</f>
        <v>Dharapuram</v>
      </c>
      <c r="S315" s="25" t="str">
        <f>IFERROR(VLOOKUP(tbl_clean_sales[[#This Row],[Branch_ID]],'04_Branch_Master'!$A$1:$C$7,3,FALSE),"Missing")</f>
        <v>South</v>
      </c>
      <c r="T315" s="25" t="str">
        <f>C315&amp;"|"&amp;TEXT(tbl_clean_sales[[#This Row],[Date]],"yyyymm")</f>
        <v>E010|202606</v>
      </c>
      <c r="U315" s="25">
        <f>IFERROR(INDEX('05_Target_Master'!$A$1:$F$32,MATCH(tbl_clean_sales[[#This Row],[target key]],'05_Target_Master'!$F$1:$F$32,0),3),"Missing")</f>
        <v>116800</v>
      </c>
    </row>
    <row r="316" spans="1:21" x14ac:dyDescent="0.3">
      <c r="A316" s="21">
        <v>46120</v>
      </c>
      <c r="B316" s="22" t="s">
        <v>348</v>
      </c>
      <c r="C316" s="22" t="s">
        <v>21</v>
      </c>
      <c r="D316" s="22" t="s">
        <v>13</v>
      </c>
      <c r="E316" s="22" t="s">
        <v>22</v>
      </c>
      <c r="F316" s="22">
        <v>3</v>
      </c>
      <c r="G316" s="23">
        <v>1147.26</v>
      </c>
      <c r="H316" s="25" t="str">
        <f>IF(COUNTIF(tbl_clean_sales[Invoice_ID],tbl_clean_sales[[#This Row],[Invoice_ID]])&gt;1,"Duplicate","Unique")</f>
        <v>Unique</v>
      </c>
      <c r="I316" s="25"/>
      <c r="J3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6" s="25" t="str">
        <f>IFERROR(VLOOKUP(tbl_clean_sales[[#This Row],[Employee_ID]],'02_Employee_Master'!$A$1:$C$12,2,FALSE),"Employee Name Missing")</f>
        <v>Priya S</v>
      </c>
      <c r="L316" s="25" t="str">
        <f>IFERROR(VLOOKUP(tbl_clean_sales[[#This Row],[Employee_ID]],'02_Employee_Master'!$A$1:$C$12,3,FALSE),"Department Name Missing")</f>
        <v>Sales</v>
      </c>
      <c r="M316" s="25" t="str">
        <f>IF('03_Clean_data'!D316="","Missing",IFERROR(IF(VLOOKUP(D316,'03_Product_Master'!$A$1:$D$14,1,FALSE)='03_Clean_data'!D316,"Valid","Invalid"),"Invalid"))</f>
        <v>Valid</v>
      </c>
      <c r="N316" s="25" t="str">
        <f>IFERROR(VLOOKUP(tbl_clean_sales[[#This Row],[Product_ID]],'03_Product_Master'!$A$1:$D$14,2,FALSE),"Missing")</f>
        <v>Body Lotion</v>
      </c>
      <c r="O316" s="25" t="str">
        <f>IFERROR(VLOOKUP(tbl_clean_sales[[#This Row],[Product_ID]],'03_Product_Master'!$A$1:$D$14,3,FALSE),"Missing")</f>
        <v>Personal Care</v>
      </c>
      <c r="P316" s="25">
        <f>IFERROR(VLOOKUP(tbl_clean_sales[[#This Row],[Product_ID]],'03_Product_Master'!$A$1:$D$14,4,FALSE),"Missing")</f>
        <v>390</v>
      </c>
      <c r="Q316" s="25" t="str">
        <f>IF('03_Clean_data'!E316="","Missing",IFERROR(IF(VLOOKUP(E316,'04_Branch_Master'!$A$1:$C$7,1,FALSE)='03_Clean_data'!E316,"Valid","Invalid"),"Invalid"))</f>
        <v>Valid</v>
      </c>
      <c r="R316" s="25" t="str">
        <f>IFERROR(VLOOKUP(tbl_clean_sales[[#This Row],[Branch_ID]],'04_Branch_Master'!$A$1:$C$7,2,FALSE),"Missing")</f>
        <v>Tirupur Central</v>
      </c>
      <c r="S316" s="25" t="str">
        <f>IFERROR(VLOOKUP(tbl_clean_sales[[#This Row],[Branch_ID]],'04_Branch_Master'!$A$1:$C$7,3,FALSE),"Missing")</f>
        <v>North</v>
      </c>
      <c r="T316" s="25" t="str">
        <f>C316&amp;"|"&amp;TEXT(tbl_clean_sales[[#This Row],[Date]],"yyyymm")</f>
        <v>E002|202604</v>
      </c>
      <c r="U316" s="25">
        <f>IFERROR(INDEX('05_Target_Master'!$A$1:$F$32,MATCH(tbl_clean_sales[[#This Row],[target key]],'05_Target_Master'!$F$1:$F$32,0),3),"Missing")</f>
        <v>122300</v>
      </c>
    </row>
    <row r="317" spans="1:21" x14ac:dyDescent="0.3">
      <c r="A317" s="21">
        <v>46203</v>
      </c>
      <c r="B317" s="22" t="s">
        <v>349</v>
      </c>
      <c r="C317" s="22" t="s">
        <v>12</v>
      </c>
      <c r="D317" s="22" t="s">
        <v>34</v>
      </c>
      <c r="E317" s="22" t="s">
        <v>10</v>
      </c>
      <c r="F317" s="22">
        <v>5</v>
      </c>
      <c r="G317" s="23">
        <v>494.17</v>
      </c>
      <c r="H317" s="25" t="str">
        <f>IF(COUNTIF(tbl_clean_sales[Invoice_ID],tbl_clean_sales[[#This Row],[Invoice_ID]])&gt;1,"Duplicate","Unique")</f>
        <v>Unique</v>
      </c>
      <c r="I317" s="25"/>
      <c r="J3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7" s="25" t="str">
        <f>IFERROR(VLOOKUP(tbl_clean_sales[[#This Row],[Employee_ID]],'02_Employee_Master'!$A$1:$C$12,2,FALSE),"Employee Name Missing")</f>
        <v>Divya R</v>
      </c>
      <c r="L317" s="25" t="str">
        <f>IFERROR(VLOOKUP(tbl_clean_sales[[#This Row],[Employee_ID]],'02_Employee_Master'!$A$1:$C$12,3,FALSE),"Department Name Missing")</f>
        <v>Sales</v>
      </c>
      <c r="M317" s="25" t="str">
        <f>IF('03_Clean_data'!D317="","Missing",IFERROR(IF(VLOOKUP(D317,'03_Product_Master'!$A$1:$D$14,1,FALSE)='03_Clean_data'!D317,"Valid","Invalid"),"Invalid"))</f>
        <v>Valid</v>
      </c>
      <c r="N317" s="25" t="str">
        <f>IFERROR(VLOOKUP(tbl_clean_sales[[#This Row],[Product_ID]],'03_Product_Master'!$A$1:$D$14,2,FALSE),"Missing")</f>
        <v>Potato Chips</v>
      </c>
      <c r="O317" s="25" t="str">
        <f>IFERROR(VLOOKUP(tbl_clean_sales[[#This Row],[Product_ID]],'03_Product_Master'!$A$1:$D$14,3,FALSE),"Missing")</f>
        <v>Snacks</v>
      </c>
      <c r="P317" s="25">
        <f>IFERROR(VLOOKUP(tbl_clean_sales[[#This Row],[Product_ID]],'03_Product_Master'!$A$1:$D$14,4,FALSE),"Missing")</f>
        <v>110</v>
      </c>
      <c r="Q317" s="25" t="str">
        <f>IF('03_Clean_data'!E317="","Missing",IFERROR(IF(VLOOKUP(E317,'04_Branch_Master'!$A$1:$C$7,1,FALSE)='03_Clean_data'!E317,"Valid","Invalid"),"Invalid"))</f>
        <v>Valid</v>
      </c>
      <c r="R317" s="25" t="str">
        <f>IFERROR(VLOOKUP(tbl_clean_sales[[#This Row],[Branch_ID]],'04_Branch_Master'!$A$1:$C$7,2,FALSE),"Missing")</f>
        <v>Dharapuram</v>
      </c>
      <c r="S317" s="25" t="str">
        <f>IFERROR(VLOOKUP(tbl_clean_sales[[#This Row],[Branch_ID]],'04_Branch_Master'!$A$1:$C$7,3,FALSE),"Missing")</f>
        <v>South</v>
      </c>
      <c r="T317" s="25" t="str">
        <f>C317&amp;"|"&amp;TEXT(tbl_clean_sales[[#This Row],[Date]],"yyyymm")</f>
        <v>E004|202606</v>
      </c>
      <c r="U317" s="25">
        <f>IFERROR(INDEX('05_Target_Master'!$A$1:$F$32,MATCH(tbl_clean_sales[[#This Row],[target key]],'05_Target_Master'!$F$1:$F$32,0),3),"Missing")</f>
        <v>157100</v>
      </c>
    </row>
    <row r="318" spans="1:21" x14ac:dyDescent="0.3">
      <c r="A318" s="21">
        <v>46145</v>
      </c>
      <c r="B318" s="22" t="s">
        <v>350</v>
      </c>
      <c r="C318" s="22" t="s">
        <v>12</v>
      </c>
      <c r="D318" s="22" t="s">
        <v>43</v>
      </c>
      <c r="E318" s="22" t="s">
        <v>26</v>
      </c>
      <c r="F318" s="22">
        <v>3</v>
      </c>
      <c r="G318" s="23">
        <v>943.5</v>
      </c>
      <c r="H318" s="25" t="str">
        <f>IF(COUNTIF(tbl_clean_sales[Invoice_ID],tbl_clean_sales[[#This Row],[Invoice_ID]])&gt;1,"Duplicate","Unique")</f>
        <v>Unique</v>
      </c>
      <c r="I318" s="25"/>
      <c r="J3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8" s="25" t="str">
        <f>IFERROR(VLOOKUP(tbl_clean_sales[[#This Row],[Employee_ID]],'02_Employee_Master'!$A$1:$C$12,2,FALSE),"Employee Name Missing")</f>
        <v>Divya R</v>
      </c>
      <c r="L318" s="25" t="str">
        <f>IFERROR(VLOOKUP(tbl_clean_sales[[#This Row],[Employee_ID]],'02_Employee_Master'!$A$1:$C$12,3,FALSE),"Department Name Missing")</f>
        <v>Sales</v>
      </c>
      <c r="M318" s="25" t="str">
        <f>IF('03_Clean_data'!D318="","Missing",IFERROR(IF(VLOOKUP(D318,'03_Product_Master'!$A$1:$D$14,1,FALSE)='03_Clean_data'!D318,"Valid","Invalid"),"Invalid"))</f>
        <v>Valid</v>
      </c>
      <c r="N318" s="25" t="str">
        <f>IFERROR(VLOOKUP(tbl_clean_sales[[#This Row],[Product_ID]],'03_Product_Master'!$A$1:$D$14,2,FALSE),"Missing")</f>
        <v>Laundry Liquid</v>
      </c>
      <c r="O318" s="25" t="str">
        <f>IFERROR(VLOOKUP(tbl_clean_sales[[#This Row],[Product_ID]],'03_Product_Master'!$A$1:$D$14,3,FALSE),"Missing")</f>
        <v>Home Care</v>
      </c>
      <c r="P318" s="25">
        <f>IFERROR(VLOOKUP(tbl_clean_sales[[#This Row],[Product_ID]],'03_Product_Master'!$A$1:$D$14,4,FALSE),"Missing")</f>
        <v>340</v>
      </c>
      <c r="Q318" s="25" t="str">
        <f>IF('03_Clean_data'!E318="","Missing",IFERROR(IF(VLOOKUP(E318,'04_Branch_Master'!$A$1:$C$7,1,FALSE)='03_Clean_data'!E318,"Valid","Invalid"),"Invalid"))</f>
        <v>Valid</v>
      </c>
      <c r="R318" s="25" t="str">
        <f>IFERROR(VLOOKUP(tbl_clean_sales[[#This Row],[Branch_ID]],'04_Branch_Master'!$A$1:$C$7,2,FALSE),"Missing")</f>
        <v>Palladam</v>
      </c>
      <c r="S318" s="25" t="str">
        <f>IFERROR(VLOOKUP(tbl_clean_sales[[#This Row],[Branch_ID]],'04_Branch_Master'!$A$1:$C$7,3,FALSE),"Missing")</f>
        <v>South</v>
      </c>
      <c r="T318" s="25" t="str">
        <f>C318&amp;"|"&amp;TEXT(tbl_clean_sales[[#This Row],[Date]],"yyyymm")</f>
        <v>E004|202605</v>
      </c>
      <c r="U318" s="25">
        <f>IFERROR(INDEX('05_Target_Master'!$A$1:$F$32,MATCH(tbl_clean_sales[[#This Row],[target key]],'05_Target_Master'!$F$1:$F$32,0),3),"Missing")</f>
        <v>176700</v>
      </c>
    </row>
    <row r="319" spans="1:21" x14ac:dyDescent="0.3">
      <c r="A319" s="21">
        <v>46191</v>
      </c>
      <c r="B319" s="22" t="s">
        <v>351</v>
      </c>
      <c r="C319" s="22" t="s">
        <v>8</v>
      </c>
      <c r="D319" s="22" t="s">
        <v>9</v>
      </c>
      <c r="E319" s="22" t="s">
        <v>10</v>
      </c>
      <c r="F319" s="22">
        <v>3</v>
      </c>
      <c r="G319" s="23">
        <v>780.35</v>
      </c>
      <c r="H319" s="25" t="str">
        <f>IF(COUNTIF(tbl_clean_sales[Invoice_ID],tbl_clean_sales[[#This Row],[Invoice_ID]])&gt;1,"Duplicate","Unique")</f>
        <v>Unique</v>
      </c>
      <c r="I319" s="25"/>
      <c r="J3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19" s="25" t="str">
        <f>IFERROR(VLOOKUP(tbl_clean_sales[[#This Row],[Employee_ID]],'02_Employee_Master'!$A$1:$C$12,2,FALSE),"Employee Name Missing")</f>
        <v>Vignesh R</v>
      </c>
      <c r="L319" s="25" t="str">
        <f>IFERROR(VLOOKUP(tbl_clean_sales[[#This Row],[Employee_ID]],'02_Employee_Master'!$A$1:$C$12,3,FALSE),"Department Name Missing")</f>
        <v>Sales</v>
      </c>
      <c r="M319" s="25" t="str">
        <f>IF('03_Clean_data'!D319="","Missing",IFERROR(IF(VLOOKUP(D319,'03_Product_Master'!$A$1:$D$14,1,FALSE)='03_Clean_data'!D319,"Valid","Invalid"),"Invalid"))</f>
        <v>Valid</v>
      </c>
      <c r="N319" s="25" t="str">
        <f>IFERROR(VLOOKUP(tbl_clean_sales[[#This Row],[Product_ID]],'03_Product_Master'!$A$1:$D$14,2,FALSE),"Missing")</f>
        <v>Green Tea</v>
      </c>
      <c r="O319" s="25" t="str">
        <f>IFERROR(VLOOKUP(tbl_clean_sales[[#This Row],[Product_ID]],'03_Product_Master'!$A$1:$D$14,3,FALSE),"Missing")</f>
        <v>Beverages</v>
      </c>
      <c r="P319" s="25">
        <f>IFERROR(VLOOKUP(tbl_clean_sales[[#This Row],[Product_ID]],'03_Product_Master'!$A$1:$D$14,4,FALSE),"Missing")</f>
        <v>280</v>
      </c>
      <c r="Q319" s="25" t="str">
        <f>IF('03_Clean_data'!E319="","Missing",IFERROR(IF(VLOOKUP(E319,'04_Branch_Master'!$A$1:$C$7,1,FALSE)='03_Clean_data'!E319,"Valid","Invalid"),"Invalid"))</f>
        <v>Valid</v>
      </c>
      <c r="R319" s="25" t="str">
        <f>IFERROR(VLOOKUP(tbl_clean_sales[[#This Row],[Branch_ID]],'04_Branch_Master'!$A$1:$C$7,2,FALSE),"Missing")</f>
        <v>Dharapuram</v>
      </c>
      <c r="S319" s="25" t="str">
        <f>IFERROR(VLOOKUP(tbl_clean_sales[[#This Row],[Branch_ID]],'04_Branch_Master'!$A$1:$C$7,3,FALSE),"Missing")</f>
        <v>South</v>
      </c>
      <c r="T319" s="25" t="str">
        <f>C319&amp;"|"&amp;TEXT(tbl_clean_sales[[#This Row],[Date]],"yyyymm")</f>
        <v>E009|202606</v>
      </c>
      <c r="U319" s="25">
        <f>IFERROR(INDEX('05_Target_Master'!$A$1:$F$32,MATCH(tbl_clean_sales[[#This Row],[target key]],'05_Target_Master'!$F$1:$F$32,0),3),"Missing")</f>
        <v>156700</v>
      </c>
    </row>
    <row r="320" spans="1:21" x14ac:dyDescent="0.3">
      <c r="A320" s="21">
        <v>46187</v>
      </c>
      <c r="B320" s="22" t="s">
        <v>352</v>
      </c>
      <c r="C320" s="22" t="s">
        <v>18</v>
      </c>
      <c r="D320" s="22" t="s">
        <v>53</v>
      </c>
      <c r="E320" s="22" t="s">
        <v>14</v>
      </c>
      <c r="F320" s="22">
        <v>12</v>
      </c>
      <c r="G320" s="23">
        <v>3745.39</v>
      </c>
      <c r="H320" s="25" t="str">
        <f>IF(COUNTIF(tbl_clean_sales[Invoice_ID],tbl_clean_sales[[#This Row],[Invoice_ID]])&gt;1,"Duplicate","Unique")</f>
        <v>Unique</v>
      </c>
      <c r="I320" s="25"/>
      <c r="J3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0" s="25" t="str">
        <f>IFERROR(VLOOKUP(tbl_clean_sales[[#This Row],[Employee_ID]],'02_Employee_Master'!$A$1:$C$12,2,FALSE),"Employee Name Missing")</f>
        <v>Rahul M</v>
      </c>
      <c r="L320" s="25" t="str">
        <f>IFERROR(VLOOKUP(tbl_clean_sales[[#This Row],[Employee_ID]],'02_Employee_Master'!$A$1:$C$12,3,FALSE),"Department Name Missing")</f>
        <v>Sales</v>
      </c>
      <c r="M320" s="25" t="str">
        <f>IF('03_Clean_data'!D320="","Missing",IFERROR(IF(VLOOKUP(D320,'03_Product_Master'!$A$1:$D$14,1,FALSE)='03_Clean_data'!D320,"Valid","Invalid"),"Invalid"))</f>
        <v>Valid</v>
      </c>
      <c r="N320" s="25" t="str">
        <f>IFERROR(VLOOKUP(tbl_clean_sales[[#This Row],[Product_ID]],'03_Product_Master'!$A$1:$D$14,2,FALSE),"Missing")</f>
        <v>Instant Coffee</v>
      </c>
      <c r="O320" s="25" t="str">
        <f>IFERROR(VLOOKUP(tbl_clean_sales[[#This Row],[Product_ID]],'03_Product_Master'!$A$1:$D$14,3,FALSE),"Missing")</f>
        <v>Beverages</v>
      </c>
      <c r="P320" s="25">
        <f>IFERROR(VLOOKUP(tbl_clean_sales[[#This Row],[Product_ID]],'03_Product_Master'!$A$1:$D$14,4,FALSE),"Missing")</f>
        <v>350</v>
      </c>
      <c r="Q320" s="25" t="str">
        <f>IF('03_Clean_data'!E320="","Missing",IFERROR(IF(VLOOKUP(E320,'04_Branch_Master'!$A$1:$C$7,1,FALSE)='03_Clean_data'!E320,"Valid","Invalid"),"Invalid"))</f>
        <v>Valid</v>
      </c>
      <c r="R320" s="25" t="str">
        <f>IFERROR(VLOOKUP(tbl_clean_sales[[#This Row],[Branch_ID]],'04_Branch_Master'!$A$1:$C$7,2,FALSE),"Missing")</f>
        <v>Avinashi Road</v>
      </c>
      <c r="S320" s="25" t="str">
        <f>IFERROR(VLOOKUP(tbl_clean_sales[[#This Row],[Branch_ID]],'04_Branch_Master'!$A$1:$C$7,3,FALSE),"Missing")</f>
        <v>North</v>
      </c>
      <c r="T320" s="25" t="str">
        <f>C320&amp;"|"&amp;TEXT(tbl_clean_sales[[#This Row],[Date]],"yyyymm")</f>
        <v>E003|202606</v>
      </c>
      <c r="U320" s="25">
        <f>IFERROR(INDEX('05_Target_Master'!$A$1:$F$32,MATCH(tbl_clean_sales[[#This Row],[target key]],'05_Target_Master'!$F$1:$F$32,0),3),"Missing")</f>
        <v>112000</v>
      </c>
    </row>
    <row r="321" spans="1:21" x14ac:dyDescent="0.3">
      <c r="A321" s="21">
        <v>46156</v>
      </c>
      <c r="B321" s="22" t="s">
        <v>353</v>
      </c>
      <c r="C321" s="22" t="s">
        <v>29</v>
      </c>
      <c r="D321" s="22" t="s">
        <v>25</v>
      </c>
      <c r="E321" s="22" t="s">
        <v>22</v>
      </c>
      <c r="F321" s="22">
        <v>2</v>
      </c>
      <c r="G321" s="23">
        <v>835.42</v>
      </c>
      <c r="H321" s="25" t="str">
        <f>IF(COUNTIF(tbl_clean_sales[Invoice_ID],tbl_clean_sales[[#This Row],[Invoice_ID]])&gt;1,"Duplicate","Unique")</f>
        <v>Unique</v>
      </c>
      <c r="I321" s="25"/>
      <c r="J3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1" s="25" t="str">
        <f>IFERROR(VLOOKUP(tbl_clean_sales[[#This Row],[Employee_ID]],'02_Employee_Master'!$A$1:$C$12,2,FALSE),"Employee Name Missing")</f>
        <v>Swetha L</v>
      </c>
      <c r="L321" s="25" t="str">
        <f>IFERROR(VLOOKUP(tbl_clean_sales[[#This Row],[Employee_ID]],'02_Employee_Master'!$A$1:$C$12,3,FALSE),"Department Name Missing")</f>
        <v>Sales</v>
      </c>
      <c r="M321" s="25" t="str">
        <f>IF('03_Clean_data'!D321="","Missing",IFERROR(IF(VLOOKUP(D321,'03_Product_Master'!$A$1:$D$14,1,FALSE)='03_Clean_data'!D321,"Valid","Invalid"),"Invalid"))</f>
        <v>Valid</v>
      </c>
      <c r="N321" s="25" t="str">
        <f>IFERROR(VLOOKUP(tbl_clean_sales[[#This Row],[Product_ID]],'03_Product_Master'!$A$1:$D$14,2,FALSE),"Missing")</f>
        <v>Premium Coffee</v>
      </c>
      <c r="O321" s="25" t="str">
        <f>IFERROR(VLOOKUP(tbl_clean_sales[[#This Row],[Product_ID]],'03_Product_Master'!$A$1:$D$14,3,FALSE),"Missing")</f>
        <v>Beverages</v>
      </c>
      <c r="P321" s="25">
        <f>IFERROR(VLOOKUP(tbl_clean_sales[[#This Row],[Product_ID]],'03_Product_Master'!$A$1:$D$14,4,FALSE),"Missing")</f>
        <v>420</v>
      </c>
      <c r="Q321" s="25" t="str">
        <f>IF('03_Clean_data'!E321="","Missing",IFERROR(IF(VLOOKUP(E321,'04_Branch_Master'!$A$1:$C$7,1,FALSE)='03_Clean_data'!E321,"Valid","Invalid"),"Invalid"))</f>
        <v>Valid</v>
      </c>
      <c r="R321" s="25" t="str">
        <f>IFERROR(VLOOKUP(tbl_clean_sales[[#This Row],[Branch_ID]],'04_Branch_Master'!$A$1:$C$7,2,FALSE),"Missing")</f>
        <v>Tirupur Central</v>
      </c>
      <c r="S321" s="25" t="str">
        <f>IFERROR(VLOOKUP(tbl_clean_sales[[#This Row],[Branch_ID]],'04_Branch_Master'!$A$1:$C$7,3,FALSE),"Missing")</f>
        <v>North</v>
      </c>
      <c r="T321" s="25" t="str">
        <f>C321&amp;"|"&amp;TEXT(tbl_clean_sales[[#This Row],[Date]],"yyyymm")</f>
        <v>E010|202605</v>
      </c>
      <c r="U321" s="25">
        <f>IFERROR(INDEX('05_Target_Master'!$A$1:$F$32,MATCH(tbl_clean_sales[[#This Row],[target key]],'05_Target_Master'!$F$1:$F$32,0),3),"Missing")</f>
        <v>131500</v>
      </c>
    </row>
    <row r="322" spans="1:21" x14ac:dyDescent="0.3">
      <c r="A322" s="21">
        <v>46195</v>
      </c>
      <c r="B322" s="22" t="s">
        <v>354</v>
      </c>
      <c r="C322" s="22" t="s">
        <v>29</v>
      </c>
      <c r="D322" s="22" t="s">
        <v>82</v>
      </c>
      <c r="E322" s="22" t="s">
        <v>10</v>
      </c>
      <c r="F322" s="22">
        <v>10</v>
      </c>
      <c r="G322" s="23">
        <v>1140.01</v>
      </c>
      <c r="H322" s="25" t="str">
        <f>IF(COUNTIF(tbl_clean_sales[Invoice_ID],tbl_clean_sales[[#This Row],[Invoice_ID]])&gt;1,"Duplicate","Unique")</f>
        <v>Unique</v>
      </c>
      <c r="I322" s="25"/>
      <c r="J3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2" s="25" t="str">
        <f>IFERROR(VLOOKUP(tbl_clean_sales[[#This Row],[Employee_ID]],'02_Employee_Master'!$A$1:$C$12,2,FALSE),"Employee Name Missing")</f>
        <v>Swetha L</v>
      </c>
      <c r="L322" s="25" t="str">
        <f>IFERROR(VLOOKUP(tbl_clean_sales[[#This Row],[Employee_ID]],'02_Employee_Master'!$A$1:$C$12,3,FALSE),"Department Name Missing")</f>
        <v>Sales</v>
      </c>
      <c r="M322" s="25" t="str">
        <f>IF('03_Clean_data'!D322="","Missing",IFERROR(IF(VLOOKUP(D322,'03_Product_Master'!$A$1:$D$14,1,FALSE)='03_Clean_data'!D322,"Valid","Invalid"),"Invalid"))</f>
        <v>Valid</v>
      </c>
      <c r="N322" s="25" t="str">
        <f>IFERROR(VLOOKUP(tbl_clean_sales[[#This Row],[Product_ID]],'03_Product_Master'!$A$1:$D$14,2,FALSE),"Missing")</f>
        <v>Chocolate Bar</v>
      </c>
      <c r="O322" s="25" t="str">
        <f>IFERROR(VLOOKUP(tbl_clean_sales[[#This Row],[Product_ID]],'03_Product_Master'!$A$1:$D$14,3,FALSE),"Missing")</f>
        <v>Snacks</v>
      </c>
      <c r="P322" s="25">
        <f>IFERROR(VLOOKUP(tbl_clean_sales[[#This Row],[Product_ID]],'03_Product_Master'!$A$1:$D$14,4,FALSE),"Missing")</f>
        <v>120</v>
      </c>
      <c r="Q322" s="25" t="str">
        <f>IF('03_Clean_data'!E322="","Missing",IFERROR(IF(VLOOKUP(E322,'04_Branch_Master'!$A$1:$C$7,1,FALSE)='03_Clean_data'!E322,"Valid","Invalid"),"Invalid"))</f>
        <v>Valid</v>
      </c>
      <c r="R322" s="25" t="str">
        <f>IFERROR(VLOOKUP(tbl_clean_sales[[#This Row],[Branch_ID]],'04_Branch_Master'!$A$1:$C$7,2,FALSE),"Missing")</f>
        <v>Dharapuram</v>
      </c>
      <c r="S322" s="25" t="str">
        <f>IFERROR(VLOOKUP(tbl_clean_sales[[#This Row],[Branch_ID]],'04_Branch_Master'!$A$1:$C$7,3,FALSE),"Missing")</f>
        <v>South</v>
      </c>
      <c r="T322" s="25" t="str">
        <f>C322&amp;"|"&amp;TEXT(tbl_clean_sales[[#This Row],[Date]],"yyyymm")</f>
        <v>E010|202606</v>
      </c>
      <c r="U322" s="25">
        <f>IFERROR(INDEX('05_Target_Master'!$A$1:$F$32,MATCH(tbl_clean_sales[[#This Row],[target key]],'05_Target_Master'!$F$1:$F$32,0),3),"Missing")</f>
        <v>116800</v>
      </c>
    </row>
    <row r="323" spans="1:21" x14ac:dyDescent="0.3">
      <c r="A323" s="21">
        <v>46194</v>
      </c>
      <c r="B323" s="22" t="s">
        <v>355</v>
      </c>
      <c r="C323" s="22" t="s">
        <v>74</v>
      </c>
      <c r="D323" s="22" t="s">
        <v>48</v>
      </c>
      <c r="E323" s="22" t="s">
        <v>10</v>
      </c>
      <c r="F323" s="22">
        <v>5</v>
      </c>
      <c r="G323" s="23">
        <v>1199.8599999999999</v>
      </c>
      <c r="H323" s="25" t="str">
        <f>IF(COUNTIF(tbl_clean_sales[Invoice_ID],tbl_clean_sales[[#This Row],[Invoice_ID]])&gt;1,"Duplicate","Unique")</f>
        <v>Unique</v>
      </c>
      <c r="I323" s="25"/>
      <c r="J3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3" s="25" t="str">
        <f>IFERROR(VLOOKUP(tbl_clean_sales[[#This Row],[Employee_ID]],'02_Employee_Master'!$A$1:$C$12,2,FALSE),"Employee Name Missing")</f>
        <v>Arun Kumar</v>
      </c>
      <c r="L323" s="25" t="str">
        <f>IFERROR(VLOOKUP(tbl_clean_sales[[#This Row],[Employee_ID]],'02_Employee_Master'!$A$1:$C$12,3,FALSE),"Department Name Missing")</f>
        <v>Sales</v>
      </c>
      <c r="M323" s="25" t="str">
        <f>IF('03_Clean_data'!D323="","Missing",IFERROR(IF(VLOOKUP(D323,'03_Product_Master'!$A$1:$D$14,1,FALSE)='03_Clean_data'!D323,"Valid","Invalid"),"Invalid"))</f>
        <v>Valid</v>
      </c>
      <c r="N323" s="25" t="str">
        <f>IFERROR(VLOOKUP(tbl_clean_sales[[#This Row],[Product_ID]],'03_Product_Master'!$A$1:$D$14,2,FALSE),"Missing")</f>
        <v>Face Wash</v>
      </c>
      <c r="O323" s="25" t="str">
        <f>IFERROR(VLOOKUP(tbl_clean_sales[[#This Row],[Product_ID]],'03_Product_Master'!$A$1:$D$14,3,FALSE),"Missing")</f>
        <v>Personal Care</v>
      </c>
      <c r="P323" s="25">
        <f>IFERROR(VLOOKUP(tbl_clean_sales[[#This Row],[Product_ID]],'03_Product_Master'!$A$1:$D$14,4,FALSE),"Missing")</f>
        <v>260</v>
      </c>
      <c r="Q323" s="25" t="str">
        <f>IF('03_Clean_data'!E323="","Missing",IFERROR(IF(VLOOKUP(E323,'04_Branch_Master'!$A$1:$C$7,1,FALSE)='03_Clean_data'!E323,"Valid","Invalid"),"Invalid"))</f>
        <v>Valid</v>
      </c>
      <c r="R323" s="25" t="str">
        <f>IFERROR(VLOOKUP(tbl_clean_sales[[#This Row],[Branch_ID]],'04_Branch_Master'!$A$1:$C$7,2,FALSE),"Missing")</f>
        <v>Dharapuram</v>
      </c>
      <c r="S323" s="25" t="str">
        <f>IFERROR(VLOOKUP(tbl_clean_sales[[#This Row],[Branch_ID]],'04_Branch_Master'!$A$1:$C$7,3,FALSE),"Missing")</f>
        <v>South</v>
      </c>
      <c r="T323" s="25" t="str">
        <f>C323&amp;"|"&amp;TEXT(tbl_clean_sales[[#This Row],[Date]],"yyyymm")</f>
        <v>E001|202606</v>
      </c>
      <c r="U323" s="25">
        <f>IFERROR(INDEX('05_Target_Master'!$A$1:$F$32,MATCH(tbl_clean_sales[[#This Row],[target key]],'05_Target_Master'!$F$1:$F$32,0),3),"Missing")</f>
        <v>150600</v>
      </c>
    </row>
    <row r="324" spans="1:21" x14ac:dyDescent="0.3">
      <c r="A324" s="21">
        <v>46151</v>
      </c>
      <c r="B324" s="22" t="s">
        <v>356</v>
      </c>
      <c r="C324" s="22" t="s">
        <v>38</v>
      </c>
      <c r="D324" s="22" t="s">
        <v>30</v>
      </c>
      <c r="E324" s="22" t="s">
        <v>32</v>
      </c>
      <c r="F324" s="22">
        <v>5</v>
      </c>
      <c r="G324" s="23">
        <v>756.46</v>
      </c>
      <c r="H324" s="25" t="str">
        <f>IF(COUNTIF(tbl_clean_sales[Invoice_ID],tbl_clean_sales[[#This Row],[Invoice_ID]])&gt;1,"Duplicate","Unique")</f>
        <v>Unique</v>
      </c>
      <c r="I324" s="25"/>
      <c r="J3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4" s="25" t="str">
        <f>IFERROR(VLOOKUP(tbl_clean_sales[[#This Row],[Employee_ID]],'02_Employee_Master'!$A$1:$C$12,2,FALSE),"Employee Name Missing")</f>
        <v>Nandhini K</v>
      </c>
      <c r="L324" s="25" t="str">
        <f>IFERROR(VLOOKUP(tbl_clean_sales[[#This Row],[Employee_ID]],'02_Employee_Master'!$A$1:$C$12,3,FALSE),"Department Name Missing")</f>
        <v>Sales</v>
      </c>
      <c r="M324" s="25" t="str">
        <f>IF('03_Clean_data'!D324="","Missing",IFERROR(IF(VLOOKUP(D324,'03_Product_Master'!$A$1:$D$14,1,FALSE)='03_Clean_data'!D324,"Valid","Invalid"),"Invalid"))</f>
        <v>Valid</v>
      </c>
      <c r="N324" s="25" t="str">
        <f>IFERROR(VLOOKUP(tbl_clean_sales[[#This Row],[Product_ID]],'03_Product_Master'!$A$1:$D$14,2,FALSE),"Missing")</f>
        <v>Cookies Pack</v>
      </c>
      <c r="O324" s="25" t="str">
        <f>IFERROR(VLOOKUP(tbl_clean_sales[[#This Row],[Product_ID]],'03_Product_Master'!$A$1:$D$14,3,FALSE),"Missing")</f>
        <v>Snacks</v>
      </c>
      <c r="P324" s="25">
        <f>IFERROR(VLOOKUP(tbl_clean_sales[[#This Row],[Product_ID]],'03_Product_Master'!$A$1:$D$14,4,FALSE),"Missing")</f>
        <v>160</v>
      </c>
      <c r="Q324" s="25" t="str">
        <f>IF('03_Clean_data'!E324="","Missing",IFERROR(IF(VLOOKUP(E324,'04_Branch_Master'!$A$1:$C$7,1,FALSE)='03_Clean_data'!E324,"Valid","Invalid"),"Invalid"))</f>
        <v>Valid</v>
      </c>
      <c r="R324" s="25" t="str">
        <f>IFERROR(VLOOKUP(tbl_clean_sales[[#This Row],[Branch_ID]],'04_Branch_Master'!$A$1:$C$7,2,FALSE),"Missing")</f>
        <v>Kangeyam</v>
      </c>
      <c r="S324" s="25" t="str">
        <f>IFERROR(VLOOKUP(tbl_clean_sales[[#This Row],[Branch_ID]],'04_Branch_Master'!$A$1:$C$7,3,FALSE),"Missing")</f>
        <v>East</v>
      </c>
      <c r="T324" s="25" t="str">
        <f>C324&amp;"|"&amp;TEXT(tbl_clean_sales[[#This Row],[Date]],"yyyymm")</f>
        <v>E008|202605</v>
      </c>
      <c r="U324" s="25">
        <f>IFERROR(INDEX('05_Target_Master'!$A$1:$F$32,MATCH(tbl_clean_sales[[#This Row],[target key]],'05_Target_Master'!$F$1:$F$32,0),3),"Missing")</f>
        <v>134100</v>
      </c>
    </row>
    <row r="325" spans="1:21" x14ac:dyDescent="0.3">
      <c r="A325" s="21">
        <v>46201</v>
      </c>
      <c r="B325" s="22" t="s">
        <v>357</v>
      </c>
      <c r="C325" s="22" t="s">
        <v>74</v>
      </c>
      <c r="D325" s="22" t="s">
        <v>53</v>
      </c>
      <c r="E325" s="22" t="s">
        <v>22</v>
      </c>
      <c r="F325" s="22">
        <v>8</v>
      </c>
      <c r="G325" s="23">
        <v>2643.95</v>
      </c>
      <c r="H325" s="25" t="str">
        <f>IF(COUNTIF(tbl_clean_sales[Invoice_ID],tbl_clean_sales[[#This Row],[Invoice_ID]])&gt;1,"Duplicate","Unique")</f>
        <v>Unique</v>
      </c>
      <c r="I325" s="25"/>
      <c r="J3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5" s="25" t="str">
        <f>IFERROR(VLOOKUP(tbl_clean_sales[[#This Row],[Employee_ID]],'02_Employee_Master'!$A$1:$C$12,2,FALSE),"Employee Name Missing")</f>
        <v>Arun Kumar</v>
      </c>
      <c r="L325" s="25" t="str">
        <f>IFERROR(VLOOKUP(tbl_clean_sales[[#This Row],[Employee_ID]],'02_Employee_Master'!$A$1:$C$12,3,FALSE),"Department Name Missing")</f>
        <v>Sales</v>
      </c>
      <c r="M325" s="25" t="str">
        <f>IF('03_Clean_data'!D325="","Missing",IFERROR(IF(VLOOKUP(D325,'03_Product_Master'!$A$1:$D$14,1,FALSE)='03_Clean_data'!D325,"Valid","Invalid"),"Invalid"))</f>
        <v>Valid</v>
      </c>
      <c r="N325" s="25" t="str">
        <f>IFERROR(VLOOKUP(tbl_clean_sales[[#This Row],[Product_ID]],'03_Product_Master'!$A$1:$D$14,2,FALSE),"Missing")</f>
        <v>Instant Coffee</v>
      </c>
      <c r="O325" s="25" t="str">
        <f>IFERROR(VLOOKUP(tbl_clean_sales[[#This Row],[Product_ID]],'03_Product_Master'!$A$1:$D$14,3,FALSE),"Missing")</f>
        <v>Beverages</v>
      </c>
      <c r="P325" s="25">
        <f>IFERROR(VLOOKUP(tbl_clean_sales[[#This Row],[Product_ID]],'03_Product_Master'!$A$1:$D$14,4,FALSE),"Missing")</f>
        <v>350</v>
      </c>
      <c r="Q325" s="25" t="str">
        <f>IF('03_Clean_data'!E325="","Missing",IFERROR(IF(VLOOKUP(E325,'04_Branch_Master'!$A$1:$C$7,1,FALSE)='03_Clean_data'!E325,"Valid","Invalid"),"Invalid"))</f>
        <v>Valid</v>
      </c>
      <c r="R325" s="25" t="str">
        <f>IFERROR(VLOOKUP(tbl_clean_sales[[#This Row],[Branch_ID]],'04_Branch_Master'!$A$1:$C$7,2,FALSE),"Missing")</f>
        <v>Tirupur Central</v>
      </c>
      <c r="S325" s="25" t="str">
        <f>IFERROR(VLOOKUP(tbl_clean_sales[[#This Row],[Branch_ID]],'04_Branch_Master'!$A$1:$C$7,3,FALSE),"Missing")</f>
        <v>North</v>
      </c>
      <c r="T325" s="25" t="str">
        <f>C325&amp;"|"&amp;TEXT(tbl_clean_sales[[#This Row],[Date]],"yyyymm")</f>
        <v>E001|202606</v>
      </c>
      <c r="U325" s="25">
        <f>IFERROR(INDEX('05_Target_Master'!$A$1:$F$32,MATCH(tbl_clean_sales[[#This Row],[target key]],'05_Target_Master'!$F$1:$F$32,0),3),"Missing")</f>
        <v>150600</v>
      </c>
    </row>
    <row r="326" spans="1:21" x14ac:dyDescent="0.3">
      <c r="A326" s="21">
        <v>46156</v>
      </c>
      <c r="B326" s="22" t="s">
        <v>358</v>
      </c>
      <c r="C326" s="22" t="s">
        <v>29</v>
      </c>
      <c r="D326" s="22" t="s">
        <v>53</v>
      </c>
      <c r="E326" s="22" t="s">
        <v>10</v>
      </c>
      <c r="F326" s="22">
        <v>12</v>
      </c>
      <c r="G326" s="23">
        <v>4039.06</v>
      </c>
      <c r="H326" s="25" t="str">
        <f>IF(COUNTIF(tbl_clean_sales[Invoice_ID],tbl_clean_sales[[#This Row],[Invoice_ID]])&gt;1,"Duplicate","Unique")</f>
        <v>Unique</v>
      </c>
      <c r="I326" s="25"/>
      <c r="J3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6" s="25" t="str">
        <f>IFERROR(VLOOKUP(tbl_clean_sales[[#This Row],[Employee_ID]],'02_Employee_Master'!$A$1:$C$12,2,FALSE),"Employee Name Missing")</f>
        <v>Swetha L</v>
      </c>
      <c r="L326" s="25" t="str">
        <f>IFERROR(VLOOKUP(tbl_clean_sales[[#This Row],[Employee_ID]],'02_Employee_Master'!$A$1:$C$12,3,FALSE),"Department Name Missing")</f>
        <v>Sales</v>
      </c>
      <c r="M326" s="25" t="str">
        <f>IF('03_Clean_data'!D326="","Missing",IFERROR(IF(VLOOKUP(D326,'03_Product_Master'!$A$1:$D$14,1,FALSE)='03_Clean_data'!D326,"Valid","Invalid"),"Invalid"))</f>
        <v>Valid</v>
      </c>
      <c r="N326" s="25" t="str">
        <f>IFERROR(VLOOKUP(tbl_clean_sales[[#This Row],[Product_ID]],'03_Product_Master'!$A$1:$D$14,2,FALSE),"Missing")</f>
        <v>Instant Coffee</v>
      </c>
      <c r="O326" s="25" t="str">
        <f>IFERROR(VLOOKUP(tbl_clean_sales[[#This Row],[Product_ID]],'03_Product_Master'!$A$1:$D$14,3,FALSE),"Missing")</f>
        <v>Beverages</v>
      </c>
      <c r="P326" s="25">
        <f>IFERROR(VLOOKUP(tbl_clean_sales[[#This Row],[Product_ID]],'03_Product_Master'!$A$1:$D$14,4,FALSE),"Missing")</f>
        <v>350</v>
      </c>
      <c r="Q326" s="25" t="str">
        <f>IF('03_Clean_data'!E326="","Missing",IFERROR(IF(VLOOKUP(E326,'04_Branch_Master'!$A$1:$C$7,1,FALSE)='03_Clean_data'!E326,"Valid","Invalid"),"Invalid"))</f>
        <v>Valid</v>
      </c>
      <c r="R326" s="25" t="str">
        <f>IFERROR(VLOOKUP(tbl_clean_sales[[#This Row],[Branch_ID]],'04_Branch_Master'!$A$1:$C$7,2,FALSE),"Missing")</f>
        <v>Dharapuram</v>
      </c>
      <c r="S326" s="25" t="str">
        <f>IFERROR(VLOOKUP(tbl_clean_sales[[#This Row],[Branch_ID]],'04_Branch_Master'!$A$1:$C$7,3,FALSE),"Missing")</f>
        <v>South</v>
      </c>
      <c r="T326" s="25" t="str">
        <f>C326&amp;"|"&amp;TEXT(tbl_clean_sales[[#This Row],[Date]],"yyyymm")</f>
        <v>E010|202605</v>
      </c>
      <c r="U326" s="25">
        <f>IFERROR(INDEX('05_Target_Master'!$A$1:$F$32,MATCH(tbl_clean_sales[[#This Row],[target key]],'05_Target_Master'!$F$1:$F$32,0),3),"Missing")</f>
        <v>131500</v>
      </c>
    </row>
    <row r="327" spans="1:21" x14ac:dyDescent="0.3">
      <c r="A327" s="21">
        <v>46157</v>
      </c>
      <c r="B327" s="22" t="s">
        <v>359</v>
      </c>
      <c r="C327" s="22" t="s">
        <v>46</v>
      </c>
      <c r="D327" s="22" t="s">
        <v>53</v>
      </c>
      <c r="E327" s="22" t="s">
        <v>32</v>
      </c>
      <c r="F327" s="22">
        <v>9</v>
      </c>
      <c r="G327" s="23">
        <v>2937.7</v>
      </c>
      <c r="H327" s="25" t="str">
        <f>IF(COUNTIF(tbl_clean_sales[Invoice_ID],tbl_clean_sales[[#This Row],[Invoice_ID]])&gt;1,"Duplicate","Unique")</f>
        <v>Unique</v>
      </c>
      <c r="I327" s="25"/>
      <c r="J3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7" s="25" t="str">
        <f>IFERROR(VLOOKUP(tbl_clean_sales[[#This Row],[Employee_ID]],'02_Employee_Master'!$A$1:$C$12,2,FALSE),"Employee Name Missing")</f>
        <v>Suresh B</v>
      </c>
      <c r="L327" s="25" t="str">
        <f>IFERROR(VLOOKUP(tbl_clean_sales[[#This Row],[Employee_ID]],'02_Employee_Master'!$A$1:$C$12,3,FALSE),"Department Name Missing")</f>
        <v>Sales</v>
      </c>
      <c r="M327" s="25" t="str">
        <f>IF('03_Clean_data'!D327="","Missing",IFERROR(IF(VLOOKUP(D327,'03_Product_Master'!$A$1:$D$14,1,FALSE)='03_Clean_data'!D327,"Valid","Invalid"),"Invalid"))</f>
        <v>Valid</v>
      </c>
      <c r="N327" s="25" t="str">
        <f>IFERROR(VLOOKUP(tbl_clean_sales[[#This Row],[Product_ID]],'03_Product_Master'!$A$1:$D$14,2,FALSE),"Missing")</f>
        <v>Instant Coffee</v>
      </c>
      <c r="O327" s="25" t="str">
        <f>IFERROR(VLOOKUP(tbl_clean_sales[[#This Row],[Product_ID]],'03_Product_Master'!$A$1:$D$14,3,FALSE),"Missing")</f>
        <v>Beverages</v>
      </c>
      <c r="P327" s="25">
        <f>IFERROR(VLOOKUP(tbl_clean_sales[[#This Row],[Product_ID]],'03_Product_Master'!$A$1:$D$14,4,FALSE),"Missing")</f>
        <v>350</v>
      </c>
      <c r="Q327" s="25" t="str">
        <f>IF('03_Clean_data'!E327="","Missing",IFERROR(IF(VLOOKUP(E327,'04_Branch_Master'!$A$1:$C$7,1,FALSE)='03_Clean_data'!E327,"Valid","Invalid"),"Invalid"))</f>
        <v>Valid</v>
      </c>
      <c r="R327" s="25" t="str">
        <f>IFERROR(VLOOKUP(tbl_clean_sales[[#This Row],[Branch_ID]],'04_Branch_Master'!$A$1:$C$7,2,FALSE),"Missing")</f>
        <v>Kangeyam</v>
      </c>
      <c r="S327" s="25" t="str">
        <f>IFERROR(VLOOKUP(tbl_clean_sales[[#This Row],[Branch_ID]],'04_Branch_Master'!$A$1:$C$7,3,FALSE),"Missing")</f>
        <v>East</v>
      </c>
      <c r="T327" s="25" t="str">
        <f>C327&amp;"|"&amp;TEXT(tbl_clean_sales[[#This Row],[Date]],"yyyymm")</f>
        <v>E007|202605</v>
      </c>
      <c r="U327" s="25">
        <f>IFERROR(INDEX('05_Target_Master'!$A$1:$F$32,MATCH(tbl_clean_sales[[#This Row],[target key]],'05_Target_Master'!$F$1:$F$32,0),3),"Missing")</f>
        <v>140000</v>
      </c>
    </row>
    <row r="328" spans="1:21" x14ac:dyDescent="0.3">
      <c r="A328" s="21">
        <v>46153</v>
      </c>
      <c r="B328" s="22" t="s">
        <v>360</v>
      </c>
      <c r="C328" s="22" t="s">
        <v>12</v>
      </c>
      <c r="D328" s="22" t="s">
        <v>48</v>
      </c>
      <c r="E328" s="22" t="s">
        <v>14</v>
      </c>
      <c r="F328" s="22">
        <v>8</v>
      </c>
      <c r="G328" s="23">
        <v>2018.12</v>
      </c>
      <c r="H328" s="25" t="str">
        <f>IF(COUNTIF(tbl_clean_sales[Invoice_ID],tbl_clean_sales[[#This Row],[Invoice_ID]])&gt;1,"Duplicate","Unique")</f>
        <v>Unique</v>
      </c>
      <c r="I328" s="25"/>
      <c r="J3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8" s="25" t="str">
        <f>IFERROR(VLOOKUP(tbl_clean_sales[[#This Row],[Employee_ID]],'02_Employee_Master'!$A$1:$C$12,2,FALSE),"Employee Name Missing")</f>
        <v>Divya R</v>
      </c>
      <c r="L328" s="25" t="str">
        <f>IFERROR(VLOOKUP(tbl_clean_sales[[#This Row],[Employee_ID]],'02_Employee_Master'!$A$1:$C$12,3,FALSE),"Department Name Missing")</f>
        <v>Sales</v>
      </c>
      <c r="M328" s="25" t="str">
        <f>IF('03_Clean_data'!D328="","Missing",IFERROR(IF(VLOOKUP(D328,'03_Product_Master'!$A$1:$D$14,1,FALSE)='03_Clean_data'!D328,"Valid","Invalid"),"Invalid"))</f>
        <v>Valid</v>
      </c>
      <c r="N328" s="25" t="str">
        <f>IFERROR(VLOOKUP(tbl_clean_sales[[#This Row],[Product_ID]],'03_Product_Master'!$A$1:$D$14,2,FALSE),"Missing")</f>
        <v>Face Wash</v>
      </c>
      <c r="O328" s="25" t="str">
        <f>IFERROR(VLOOKUP(tbl_clean_sales[[#This Row],[Product_ID]],'03_Product_Master'!$A$1:$D$14,3,FALSE),"Missing")</f>
        <v>Personal Care</v>
      </c>
      <c r="P328" s="25">
        <f>IFERROR(VLOOKUP(tbl_clean_sales[[#This Row],[Product_ID]],'03_Product_Master'!$A$1:$D$14,4,FALSE),"Missing")</f>
        <v>260</v>
      </c>
      <c r="Q328" s="25" t="str">
        <f>IF('03_Clean_data'!E328="","Missing",IFERROR(IF(VLOOKUP(E328,'04_Branch_Master'!$A$1:$C$7,1,FALSE)='03_Clean_data'!E328,"Valid","Invalid"),"Invalid"))</f>
        <v>Valid</v>
      </c>
      <c r="R328" s="25" t="str">
        <f>IFERROR(VLOOKUP(tbl_clean_sales[[#This Row],[Branch_ID]],'04_Branch_Master'!$A$1:$C$7,2,FALSE),"Missing")</f>
        <v>Avinashi Road</v>
      </c>
      <c r="S328" s="25" t="str">
        <f>IFERROR(VLOOKUP(tbl_clean_sales[[#This Row],[Branch_ID]],'04_Branch_Master'!$A$1:$C$7,3,FALSE),"Missing")</f>
        <v>North</v>
      </c>
      <c r="T328" s="25" t="str">
        <f>C328&amp;"|"&amp;TEXT(tbl_clean_sales[[#This Row],[Date]],"yyyymm")</f>
        <v>E004|202605</v>
      </c>
      <c r="U328" s="25">
        <f>IFERROR(INDEX('05_Target_Master'!$A$1:$F$32,MATCH(tbl_clean_sales[[#This Row],[target key]],'05_Target_Master'!$F$1:$F$32,0),3),"Missing")</f>
        <v>176700</v>
      </c>
    </row>
    <row r="329" spans="1:21" x14ac:dyDescent="0.3">
      <c r="A329" s="21">
        <v>46125</v>
      </c>
      <c r="B329" s="22" t="s">
        <v>361</v>
      </c>
      <c r="C329" s="22" t="s">
        <v>74</v>
      </c>
      <c r="D329" s="22" t="s">
        <v>82</v>
      </c>
      <c r="E329" s="22" t="s">
        <v>10</v>
      </c>
      <c r="F329" s="22">
        <v>7</v>
      </c>
      <c r="G329" s="23">
        <v>814.97</v>
      </c>
      <c r="H329" s="25" t="str">
        <f>IF(COUNTIF(tbl_clean_sales[Invoice_ID],tbl_clean_sales[[#This Row],[Invoice_ID]])&gt;1,"Duplicate","Unique")</f>
        <v>Unique</v>
      </c>
      <c r="I329" s="25"/>
      <c r="J3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29" s="25" t="str">
        <f>IFERROR(VLOOKUP(tbl_clean_sales[[#This Row],[Employee_ID]],'02_Employee_Master'!$A$1:$C$12,2,FALSE),"Employee Name Missing")</f>
        <v>Arun Kumar</v>
      </c>
      <c r="L329" s="25" t="str">
        <f>IFERROR(VLOOKUP(tbl_clean_sales[[#This Row],[Employee_ID]],'02_Employee_Master'!$A$1:$C$12,3,FALSE),"Department Name Missing")</f>
        <v>Sales</v>
      </c>
      <c r="M329" s="25" t="str">
        <f>IF('03_Clean_data'!D329="","Missing",IFERROR(IF(VLOOKUP(D329,'03_Product_Master'!$A$1:$D$14,1,FALSE)='03_Clean_data'!D329,"Valid","Invalid"),"Invalid"))</f>
        <v>Valid</v>
      </c>
      <c r="N329" s="25" t="str">
        <f>IFERROR(VLOOKUP(tbl_clean_sales[[#This Row],[Product_ID]],'03_Product_Master'!$A$1:$D$14,2,FALSE),"Missing")</f>
        <v>Chocolate Bar</v>
      </c>
      <c r="O329" s="25" t="str">
        <f>IFERROR(VLOOKUP(tbl_clean_sales[[#This Row],[Product_ID]],'03_Product_Master'!$A$1:$D$14,3,FALSE),"Missing")</f>
        <v>Snacks</v>
      </c>
      <c r="P329" s="25">
        <f>IFERROR(VLOOKUP(tbl_clean_sales[[#This Row],[Product_ID]],'03_Product_Master'!$A$1:$D$14,4,FALSE),"Missing")</f>
        <v>120</v>
      </c>
      <c r="Q329" s="25" t="str">
        <f>IF('03_Clean_data'!E329="","Missing",IFERROR(IF(VLOOKUP(E329,'04_Branch_Master'!$A$1:$C$7,1,FALSE)='03_Clean_data'!E329,"Valid","Invalid"),"Invalid"))</f>
        <v>Valid</v>
      </c>
      <c r="R329" s="25" t="str">
        <f>IFERROR(VLOOKUP(tbl_clean_sales[[#This Row],[Branch_ID]],'04_Branch_Master'!$A$1:$C$7,2,FALSE),"Missing")</f>
        <v>Dharapuram</v>
      </c>
      <c r="S329" s="25" t="str">
        <f>IFERROR(VLOOKUP(tbl_clean_sales[[#This Row],[Branch_ID]],'04_Branch_Master'!$A$1:$C$7,3,FALSE),"Missing")</f>
        <v>South</v>
      </c>
      <c r="T329" s="25" t="str">
        <f>C329&amp;"|"&amp;TEXT(tbl_clean_sales[[#This Row],[Date]],"yyyymm")</f>
        <v>E001|202604</v>
      </c>
      <c r="U329" s="25">
        <f>IFERROR(INDEX('05_Target_Master'!$A$1:$F$32,MATCH(tbl_clean_sales[[#This Row],[target key]],'05_Target_Master'!$F$1:$F$32,0),3),"Missing")</f>
        <v>156900</v>
      </c>
    </row>
    <row r="330" spans="1:21" x14ac:dyDescent="0.3">
      <c r="A330" s="21">
        <v>46133</v>
      </c>
      <c r="B330" s="22" t="s">
        <v>362</v>
      </c>
      <c r="C330" s="22" t="s">
        <v>40</v>
      </c>
      <c r="D330" s="22" t="s">
        <v>36</v>
      </c>
      <c r="E330" s="22" t="s">
        <v>26</v>
      </c>
      <c r="F330" s="22">
        <v>4</v>
      </c>
      <c r="G330" s="23">
        <v>690.4</v>
      </c>
      <c r="H330" s="25" t="str">
        <f>IF(COUNTIF(tbl_clean_sales[Invoice_ID],tbl_clean_sales[[#This Row],[Invoice_ID]])&gt;1,"Duplicate","Unique")</f>
        <v>Unique</v>
      </c>
      <c r="I330" s="25"/>
      <c r="J3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0" s="25" t="str">
        <f>IFERROR(VLOOKUP(tbl_clean_sales[[#This Row],[Employee_ID]],'02_Employee_Master'!$A$1:$C$12,2,FALSE),"Employee Name Missing")</f>
        <v>Meena V</v>
      </c>
      <c r="L330" s="25" t="str">
        <f>IFERROR(VLOOKUP(tbl_clean_sales[[#This Row],[Employee_ID]],'02_Employee_Master'!$A$1:$C$12,3,FALSE),"Department Name Missing")</f>
        <v>Sales</v>
      </c>
      <c r="M330" s="25" t="str">
        <f>IF('03_Clean_data'!D330="","Missing",IFERROR(IF(VLOOKUP(D330,'03_Product_Master'!$A$1:$D$14,1,FALSE)='03_Clean_data'!D330,"Valid","Invalid"),"Invalid"))</f>
        <v>Valid</v>
      </c>
      <c r="N330" s="25" t="str">
        <f>IFERROR(VLOOKUP(tbl_clean_sales[[#This Row],[Product_ID]],'03_Product_Master'!$A$1:$D$14,2,FALSE),"Missing")</f>
        <v>Dish Wash</v>
      </c>
      <c r="O330" s="25" t="str">
        <f>IFERROR(VLOOKUP(tbl_clean_sales[[#This Row],[Product_ID]],'03_Product_Master'!$A$1:$D$14,3,FALSE),"Missing")</f>
        <v>Home Care</v>
      </c>
      <c r="P330" s="25">
        <f>IFERROR(VLOOKUP(tbl_clean_sales[[#This Row],[Product_ID]],'03_Product_Master'!$A$1:$D$14,4,FALSE),"Missing")</f>
        <v>190</v>
      </c>
      <c r="Q330" s="25" t="str">
        <f>IF('03_Clean_data'!E330="","Missing",IFERROR(IF(VLOOKUP(E330,'04_Branch_Master'!$A$1:$C$7,1,FALSE)='03_Clean_data'!E330,"Valid","Invalid"),"Invalid"))</f>
        <v>Valid</v>
      </c>
      <c r="R330" s="25" t="str">
        <f>IFERROR(VLOOKUP(tbl_clean_sales[[#This Row],[Branch_ID]],'04_Branch_Master'!$A$1:$C$7,2,FALSE),"Missing")</f>
        <v>Palladam</v>
      </c>
      <c r="S330" s="25" t="str">
        <f>IFERROR(VLOOKUP(tbl_clean_sales[[#This Row],[Branch_ID]],'04_Branch_Master'!$A$1:$C$7,3,FALSE),"Missing")</f>
        <v>South</v>
      </c>
      <c r="T330" s="25" t="str">
        <f>C330&amp;"|"&amp;TEXT(tbl_clean_sales[[#This Row],[Date]],"yyyymm")</f>
        <v>E006|202604</v>
      </c>
      <c r="U330" s="25">
        <f>IFERROR(INDEX('05_Target_Master'!$A$1:$F$32,MATCH(tbl_clean_sales[[#This Row],[target key]],'05_Target_Master'!$F$1:$F$32,0),3),"Missing")</f>
        <v>131000</v>
      </c>
    </row>
    <row r="331" spans="1:21" x14ac:dyDescent="0.3">
      <c r="A331" s="21">
        <v>46176</v>
      </c>
      <c r="B331" s="22" t="s">
        <v>363</v>
      </c>
      <c r="C331" s="22" t="s">
        <v>8</v>
      </c>
      <c r="D331" s="22" t="s">
        <v>48</v>
      </c>
      <c r="E331" s="22" t="s">
        <v>10</v>
      </c>
      <c r="F331" s="22">
        <v>5</v>
      </c>
      <c r="G331" s="23">
        <v>1222.4100000000001</v>
      </c>
      <c r="H331" s="25" t="str">
        <f>IF(COUNTIF(tbl_clean_sales[Invoice_ID],tbl_clean_sales[[#This Row],[Invoice_ID]])&gt;1,"Duplicate","Unique")</f>
        <v>Unique</v>
      </c>
      <c r="I331" s="25"/>
      <c r="J3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1" s="25" t="str">
        <f>IFERROR(VLOOKUP(tbl_clean_sales[[#This Row],[Employee_ID]],'02_Employee_Master'!$A$1:$C$12,2,FALSE),"Employee Name Missing")</f>
        <v>Vignesh R</v>
      </c>
      <c r="L331" s="25" t="str">
        <f>IFERROR(VLOOKUP(tbl_clean_sales[[#This Row],[Employee_ID]],'02_Employee_Master'!$A$1:$C$12,3,FALSE),"Department Name Missing")</f>
        <v>Sales</v>
      </c>
      <c r="M331" s="25" t="str">
        <f>IF('03_Clean_data'!D331="","Missing",IFERROR(IF(VLOOKUP(D331,'03_Product_Master'!$A$1:$D$14,1,FALSE)='03_Clean_data'!D331,"Valid","Invalid"),"Invalid"))</f>
        <v>Valid</v>
      </c>
      <c r="N331" s="25" t="str">
        <f>IFERROR(VLOOKUP(tbl_clean_sales[[#This Row],[Product_ID]],'03_Product_Master'!$A$1:$D$14,2,FALSE),"Missing")</f>
        <v>Face Wash</v>
      </c>
      <c r="O331" s="25" t="str">
        <f>IFERROR(VLOOKUP(tbl_clean_sales[[#This Row],[Product_ID]],'03_Product_Master'!$A$1:$D$14,3,FALSE),"Missing")</f>
        <v>Personal Care</v>
      </c>
      <c r="P331" s="25">
        <f>IFERROR(VLOOKUP(tbl_clean_sales[[#This Row],[Product_ID]],'03_Product_Master'!$A$1:$D$14,4,FALSE),"Missing")</f>
        <v>260</v>
      </c>
      <c r="Q331" s="25" t="str">
        <f>IF('03_Clean_data'!E331="","Missing",IFERROR(IF(VLOOKUP(E331,'04_Branch_Master'!$A$1:$C$7,1,FALSE)='03_Clean_data'!E331,"Valid","Invalid"),"Invalid"))</f>
        <v>Valid</v>
      </c>
      <c r="R331" s="25" t="str">
        <f>IFERROR(VLOOKUP(tbl_clean_sales[[#This Row],[Branch_ID]],'04_Branch_Master'!$A$1:$C$7,2,FALSE),"Missing")</f>
        <v>Dharapuram</v>
      </c>
      <c r="S331" s="25" t="str">
        <f>IFERROR(VLOOKUP(tbl_clean_sales[[#This Row],[Branch_ID]],'04_Branch_Master'!$A$1:$C$7,3,FALSE),"Missing")</f>
        <v>South</v>
      </c>
      <c r="T331" s="25" t="str">
        <f>C331&amp;"|"&amp;TEXT(tbl_clean_sales[[#This Row],[Date]],"yyyymm")</f>
        <v>E009|202606</v>
      </c>
      <c r="U331" s="25">
        <f>IFERROR(INDEX('05_Target_Master'!$A$1:$F$32,MATCH(tbl_clean_sales[[#This Row],[target key]],'05_Target_Master'!$F$1:$F$32,0),3),"Missing")</f>
        <v>156700</v>
      </c>
    </row>
    <row r="332" spans="1:21" x14ac:dyDescent="0.3">
      <c r="A332" s="21">
        <v>46124</v>
      </c>
      <c r="B332" s="22" t="s">
        <v>364</v>
      </c>
      <c r="C332" s="22" t="s">
        <v>46</v>
      </c>
      <c r="D332" s="22" t="s">
        <v>13</v>
      </c>
      <c r="E332" s="22" t="s">
        <v>32</v>
      </c>
      <c r="F332" s="22">
        <v>4</v>
      </c>
      <c r="G332" s="23">
        <v>1519.72</v>
      </c>
      <c r="H332" s="25" t="str">
        <f>IF(COUNTIF(tbl_clean_sales[Invoice_ID],tbl_clean_sales[[#This Row],[Invoice_ID]])&gt;1,"Duplicate","Unique")</f>
        <v>Unique</v>
      </c>
      <c r="I332" s="25"/>
      <c r="J3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2" s="25" t="str">
        <f>IFERROR(VLOOKUP(tbl_clean_sales[[#This Row],[Employee_ID]],'02_Employee_Master'!$A$1:$C$12,2,FALSE),"Employee Name Missing")</f>
        <v>Suresh B</v>
      </c>
      <c r="L332" s="25" t="str">
        <f>IFERROR(VLOOKUP(tbl_clean_sales[[#This Row],[Employee_ID]],'02_Employee_Master'!$A$1:$C$12,3,FALSE),"Department Name Missing")</f>
        <v>Sales</v>
      </c>
      <c r="M332" s="25" t="str">
        <f>IF('03_Clean_data'!D332="","Missing",IFERROR(IF(VLOOKUP(D332,'03_Product_Master'!$A$1:$D$14,1,FALSE)='03_Clean_data'!D332,"Valid","Invalid"),"Invalid"))</f>
        <v>Valid</v>
      </c>
      <c r="N332" s="25" t="str">
        <f>IFERROR(VLOOKUP(tbl_clean_sales[[#This Row],[Product_ID]],'03_Product_Master'!$A$1:$D$14,2,FALSE),"Missing")</f>
        <v>Body Lotion</v>
      </c>
      <c r="O332" s="25" t="str">
        <f>IFERROR(VLOOKUP(tbl_clean_sales[[#This Row],[Product_ID]],'03_Product_Master'!$A$1:$D$14,3,FALSE),"Missing")</f>
        <v>Personal Care</v>
      </c>
      <c r="P332" s="25">
        <f>IFERROR(VLOOKUP(tbl_clean_sales[[#This Row],[Product_ID]],'03_Product_Master'!$A$1:$D$14,4,FALSE),"Missing")</f>
        <v>390</v>
      </c>
      <c r="Q332" s="25" t="str">
        <f>IF('03_Clean_data'!E332="","Missing",IFERROR(IF(VLOOKUP(E332,'04_Branch_Master'!$A$1:$C$7,1,FALSE)='03_Clean_data'!E332,"Valid","Invalid"),"Invalid"))</f>
        <v>Valid</v>
      </c>
      <c r="R332" s="25" t="str">
        <f>IFERROR(VLOOKUP(tbl_clean_sales[[#This Row],[Branch_ID]],'04_Branch_Master'!$A$1:$C$7,2,FALSE),"Missing")</f>
        <v>Kangeyam</v>
      </c>
      <c r="S332" s="25" t="str">
        <f>IFERROR(VLOOKUP(tbl_clean_sales[[#This Row],[Branch_ID]],'04_Branch_Master'!$A$1:$C$7,3,FALSE),"Missing")</f>
        <v>East</v>
      </c>
      <c r="T332" s="25" t="str">
        <f>C332&amp;"|"&amp;TEXT(tbl_clean_sales[[#This Row],[Date]],"yyyymm")</f>
        <v>E007|202604</v>
      </c>
      <c r="U332" s="25">
        <f>IFERROR(INDEX('05_Target_Master'!$A$1:$F$32,MATCH(tbl_clean_sales[[#This Row],[target key]],'05_Target_Master'!$F$1:$F$32,0),3),"Missing")</f>
        <v>129600</v>
      </c>
    </row>
    <row r="333" spans="1:21" x14ac:dyDescent="0.3">
      <c r="A333" s="21">
        <v>46158</v>
      </c>
      <c r="B333" s="22" t="s">
        <v>365</v>
      </c>
      <c r="C333" s="22" t="s">
        <v>74</v>
      </c>
      <c r="D333" s="22" t="s">
        <v>25</v>
      </c>
      <c r="E333" s="22" t="s">
        <v>22</v>
      </c>
      <c r="F333" s="22">
        <v>10</v>
      </c>
      <c r="G333" s="23">
        <v>3755.3</v>
      </c>
      <c r="H333" s="25" t="str">
        <f>IF(COUNTIF(tbl_clean_sales[Invoice_ID],tbl_clean_sales[[#This Row],[Invoice_ID]])&gt;1,"Duplicate","Unique")</f>
        <v>Unique</v>
      </c>
      <c r="I333" s="25"/>
      <c r="J3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3" s="25" t="str">
        <f>IFERROR(VLOOKUP(tbl_clean_sales[[#This Row],[Employee_ID]],'02_Employee_Master'!$A$1:$C$12,2,FALSE),"Employee Name Missing")</f>
        <v>Arun Kumar</v>
      </c>
      <c r="L333" s="25" t="str">
        <f>IFERROR(VLOOKUP(tbl_clean_sales[[#This Row],[Employee_ID]],'02_Employee_Master'!$A$1:$C$12,3,FALSE),"Department Name Missing")</f>
        <v>Sales</v>
      </c>
      <c r="M333" s="25" t="str">
        <f>IF('03_Clean_data'!D333="","Missing",IFERROR(IF(VLOOKUP(D333,'03_Product_Master'!$A$1:$D$14,1,FALSE)='03_Clean_data'!D333,"Valid","Invalid"),"Invalid"))</f>
        <v>Valid</v>
      </c>
      <c r="N333" s="25" t="str">
        <f>IFERROR(VLOOKUP(tbl_clean_sales[[#This Row],[Product_ID]],'03_Product_Master'!$A$1:$D$14,2,FALSE),"Missing")</f>
        <v>Premium Coffee</v>
      </c>
      <c r="O333" s="25" t="str">
        <f>IFERROR(VLOOKUP(tbl_clean_sales[[#This Row],[Product_ID]],'03_Product_Master'!$A$1:$D$14,3,FALSE),"Missing")</f>
        <v>Beverages</v>
      </c>
      <c r="P333" s="25">
        <f>IFERROR(VLOOKUP(tbl_clean_sales[[#This Row],[Product_ID]],'03_Product_Master'!$A$1:$D$14,4,FALSE),"Missing")</f>
        <v>420</v>
      </c>
      <c r="Q333" s="25" t="str">
        <f>IF('03_Clean_data'!E333="","Missing",IFERROR(IF(VLOOKUP(E333,'04_Branch_Master'!$A$1:$C$7,1,FALSE)='03_Clean_data'!E333,"Valid","Invalid"),"Invalid"))</f>
        <v>Valid</v>
      </c>
      <c r="R333" s="25" t="str">
        <f>IFERROR(VLOOKUP(tbl_clean_sales[[#This Row],[Branch_ID]],'04_Branch_Master'!$A$1:$C$7,2,FALSE),"Missing")</f>
        <v>Tirupur Central</v>
      </c>
      <c r="S333" s="25" t="str">
        <f>IFERROR(VLOOKUP(tbl_clean_sales[[#This Row],[Branch_ID]],'04_Branch_Master'!$A$1:$C$7,3,FALSE),"Missing")</f>
        <v>North</v>
      </c>
      <c r="T333" s="25" t="str">
        <f>C333&amp;"|"&amp;TEXT(tbl_clean_sales[[#This Row],[Date]],"yyyymm")</f>
        <v>E001|202605</v>
      </c>
      <c r="U333" s="25">
        <f>IFERROR(INDEX('05_Target_Master'!$A$1:$F$32,MATCH(tbl_clean_sales[[#This Row],[target key]],'05_Target_Master'!$F$1:$F$32,0),3),"Missing")</f>
        <v>169500</v>
      </c>
    </row>
    <row r="334" spans="1:21" x14ac:dyDescent="0.3">
      <c r="A334" s="21">
        <v>46196</v>
      </c>
      <c r="B334" s="22" t="s">
        <v>366</v>
      </c>
      <c r="C334" s="22" t="s">
        <v>38</v>
      </c>
      <c r="D334" s="22" t="s">
        <v>82</v>
      </c>
      <c r="E334" s="22" t="s">
        <v>32</v>
      </c>
      <c r="F334" s="22">
        <v>2</v>
      </c>
      <c r="G334" s="23">
        <v>227.59</v>
      </c>
      <c r="H334" s="25" t="str">
        <f>IF(COUNTIF(tbl_clean_sales[Invoice_ID],tbl_clean_sales[[#This Row],[Invoice_ID]])&gt;1,"Duplicate","Unique")</f>
        <v>Unique</v>
      </c>
      <c r="I334" s="25"/>
      <c r="J3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4" s="25" t="str">
        <f>IFERROR(VLOOKUP(tbl_clean_sales[[#This Row],[Employee_ID]],'02_Employee_Master'!$A$1:$C$12,2,FALSE),"Employee Name Missing")</f>
        <v>Nandhini K</v>
      </c>
      <c r="L334" s="25" t="str">
        <f>IFERROR(VLOOKUP(tbl_clean_sales[[#This Row],[Employee_ID]],'02_Employee_Master'!$A$1:$C$12,3,FALSE),"Department Name Missing")</f>
        <v>Sales</v>
      </c>
      <c r="M334" s="25" t="str">
        <f>IF('03_Clean_data'!D334="","Missing",IFERROR(IF(VLOOKUP(D334,'03_Product_Master'!$A$1:$D$14,1,FALSE)='03_Clean_data'!D334,"Valid","Invalid"),"Invalid"))</f>
        <v>Valid</v>
      </c>
      <c r="N334" s="25" t="str">
        <f>IFERROR(VLOOKUP(tbl_clean_sales[[#This Row],[Product_ID]],'03_Product_Master'!$A$1:$D$14,2,FALSE),"Missing")</f>
        <v>Chocolate Bar</v>
      </c>
      <c r="O334" s="25" t="str">
        <f>IFERROR(VLOOKUP(tbl_clean_sales[[#This Row],[Product_ID]],'03_Product_Master'!$A$1:$D$14,3,FALSE),"Missing")</f>
        <v>Snacks</v>
      </c>
      <c r="P334" s="25">
        <f>IFERROR(VLOOKUP(tbl_clean_sales[[#This Row],[Product_ID]],'03_Product_Master'!$A$1:$D$14,4,FALSE),"Missing")</f>
        <v>120</v>
      </c>
      <c r="Q334" s="25" t="str">
        <f>IF('03_Clean_data'!E334="","Missing",IFERROR(IF(VLOOKUP(E334,'04_Branch_Master'!$A$1:$C$7,1,FALSE)='03_Clean_data'!E334,"Valid","Invalid"),"Invalid"))</f>
        <v>Valid</v>
      </c>
      <c r="R334" s="25" t="str">
        <f>IFERROR(VLOOKUP(tbl_clean_sales[[#This Row],[Branch_ID]],'04_Branch_Master'!$A$1:$C$7,2,FALSE),"Missing")</f>
        <v>Kangeyam</v>
      </c>
      <c r="S334" s="25" t="str">
        <f>IFERROR(VLOOKUP(tbl_clean_sales[[#This Row],[Branch_ID]],'04_Branch_Master'!$A$1:$C$7,3,FALSE),"Missing")</f>
        <v>East</v>
      </c>
      <c r="T334" s="25" t="str">
        <f>C334&amp;"|"&amp;TEXT(tbl_clean_sales[[#This Row],[Date]],"yyyymm")</f>
        <v>E008|202606</v>
      </c>
      <c r="U334" s="25">
        <f>IFERROR(INDEX('05_Target_Master'!$A$1:$F$32,MATCH(tbl_clean_sales[[#This Row],[target key]],'05_Target_Master'!$F$1:$F$32,0),3),"Missing")</f>
        <v>119200</v>
      </c>
    </row>
    <row r="335" spans="1:21" x14ac:dyDescent="0.3">
      <c r="A335" s="21">
        <v>46146</v>
      </c>
      <c r="B335" s="22" t="s">
        <v>367</v>
      </c>
      <c r="C335" s="22" t="s">
        <v>40</v>
      </c>
      <c r="D335" s="22" t="s">
        <v>16</v>
      </c>
      <c r="E335" s="22" t="s">
        <v>26</v>
      </c>
      <c r="F335" s="22">
        <v>7</v>
      </c>
      <c r="G335" s="23">
        <v>2156.6799999999998</v>
      </c>
      <c r="H335" s="25" t="str">
        <f>IF(COUNTIF(tbl_clean_sales[Invoice_ID],tbl_clean_sales[[#This Row],[Invoice_ID]])&gt;1,"Duplicate","Unique")</f>
        <v>Unique</v>
      </c>
      <c r="I335" s="25"/>
      <c r="J3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5" s="25" t="str">
        <f>IFERROR(VLOOKUP(tbl_clean_sales[[#This Row],[Employee_ID]],'02_Employee_Master'!$A$1:$C$12,2,FALSE),"Employee Name Missing")</f>
        <v>Meena V</v>
      </c>
      <c r="L335" s="25" t="str">
        <f>IFERROR(VLOOKUP(tbl_clean_sales[[#This Row],[Employee_ID]],'02_Employee_Master'!$A$1:$C$12,3,FALSE),"Department Name Missing")</f>
        <v>Sales</v>
      </c>
      <c r="M335" s="25" t="str">
        <f>IF('03_Clean_data'!D335="","Missing",IFERROR(IF(VLOOKUP(D335,'03_Product_Master'!$A$1:$D$14,1,FALSE)='03_Clean_data'!D335,"Valid","Invalid"),"Invalid"))</f>
        <v>Valid</v>
      </c>
      <c r="N335" s="25" t="str">
        <f>IFERROR(VLOOKUP(tbl_clean_sales[[#This Row],[Product_ID]],'03_Product_Master'!$A$1:$D$14,2,FALSE),"Missing")</f>
        <v>Shampoo</v>
      </c>
      <c r="O335" s="25" t="str">
        <f>IFERROR(VLOOKUP(tbl_clean_sales[[#This Row],[Product_ID]],'03_Product_Master'!$A$1:$D$14,3,FALSE),"Missing")</f>
        <v>Personal Care</v>
      </c>
      <c r="P335" s="25">
        <f>IFERROR(VLOOKUP(tbl_clean_sales[[#This Row],[Product_ID]],'03_Product_Master'!$A$1:$D$14,4,FALSE),"Missing")</f>
        <v>310</v>
      </c>
      <c r="Q335" s="25" t="str">
        <f>IF('03_Clean_data'!E335="","Missing",IFERROR(IF(VLOOKUP(E335,'04_Branch_Master'!$A$1:$C$7,1,FALSE)='03_Clean_data'!E335,"Valid","Invalid"),"Invalid"))</f>
        <v>Valid</v>
      </c>
      <c r="R335" s="25" t="str">
        <f>IFERROR(VLOOKUP(tbl_clean_sales[[#This Row],[Branch_ID]],'04_Branch_Master'!$A$1:$C$7,2,FALSE),"Missing")</f>
        <v>Palladam</v>
      </c>
      <c r="S335" s="25" t="str">
        <f>IFERROR(VLOOKUP(tbl_clean_sales[[#This Row],[Branch_ID]],'04_Branch_Master'!$A$1:$C$7,3,FALSE),"Missing")</f>
        <v>South</v>
      </c>
      <c r="T335" s="25" t="str">
        <f>C335&amp;"|"&amp;TEXT(tbl_clean_sales[[#This Row],[Date]],"yyyymm")</f>
        <v>E006|202605</v>
      </c>
      <c r="U335" s="25">
        <f>IFERROR(INDEX('05_Target_Master'!$A$1:$F$32,MATCH(tbl_clean_sales[[#This Row],[target key]],'05_Target_Master'!$F$1:$F$32,0),3),"Missing")</f>
        <v>141500</v>
      </c>
    </row>
    <row r="336" spans="1:21" x14ac:dyDescent="0.3">
      <c r="A336" s="21">
        <v>46184</v>
      </c>
      <c r="B336" s="22" t="s">
        <v>368</v>
      </c>
      <c r="C336" s="22" t="s">
        <v>12</v>
      </c>
      <c r="D336" s="22" t="s">
        <v>34</v>
      </c>
      <c r="E336" s="22" t="s">
        <v>14</v>
      </c>
      <c r="F336" s="22">
        <v>2</v>
      </c>
      <c r="G336" s="23">
        <v>209.8</v>
      </c>
      <c r="H336" s="25" t="str">
        <f>IF(COUNTIF(tbl_clean_sales[Invoice_ID],tbl_clean_sales[[#This Row],[Invoice_ID]])&gt;1,"Duplicate","Unique")</f>
        <v>Unique</v>
      </c>
      <c r="I336" s="25"/>
      <c r="J3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6" s="25" t="str">
        <f>IFERROR(VLOOKUP(tbl_clean_sales[[#This Row],[Employee_ID]],'02_Employee_Master'!$A$1:$C$12,2,FALSE),"Employee Name Missing")</f>
        <v>Divya R</v>
      </c>
      <c r="L336" s="25" t="str">
        <f>IFERROR(VLOOKUP(tbl_clean_sales[[#This Row],[Employee_ID]],'02_Employee_Master'!$A$1:$C$12,3,FALSE),"Department Name Missing")</f>
        <v>Sales</v>
      </c>
      <c r="M336" s="25" t="str">
        <f>IF('03_Clean_data'!D336="","Missing",IFERROR(IF(VLOOKUP(D336,'03_Product_Master'!$A$1:$D$14,1,FALSE)='03_Clean_data'!D336,"Valid","Invalid"),"Invalid"))</f>
        <v>Valid</v>
      </c>
      <c r="N336" s="25" t="str">
        <f>IFERROR(VLOOKUP(tbl_clean_sales[[#This Row],[Product_ID]],'03_Product_Master'!$A$1:$D$14,2,FALSE),"Missing")</f>
        <v>Potato Chips</v>
      </c>
      <c r="O336" s="25" t="str">
        <f>IFERROR(VLOOKUP(tbl_clean_sales[[#This Row],[Product_ID]],'03_Product_Master'!$A$1:$D$14,3,FALSE),"Missing")</f>
        <v>Snacks</v>
      </c>
      <c r="P336" s="25">
        <f>IFERROR(VLOOKUP(tbl_clean_sales[[#This Row],[Product_ID]],'03_Product_Master'!$A$1:$D$14,4,FALSE),"Missing")</f>
        <v>110</v>
      </c>
      <c r="Q336" s="25" t="str">
        <f>IF('03_Clean_data'!E336="","Missing",IFERROR(IF(VLOOKUP(E336,'04_Branch_Master'!$A$1:$C$7,1,FALSE)='03_Clean_data'!E336,"Valid","Invalid"),"Invalid"))</f>
        <v>Valid</v>
      </c>
      <c r="R336" s="25" t="str">
        <f>IFERROR(VLOOKUP(tbl_clean_sales[[#This Row],[Branch_ID]],'04_Branch_Master'!$A$1:$C$7,2,FALSE),"Missing")</f>
        <v>Avinashi Road</v>
      </c>
      <c r="S336" s="25" t="str">
        <f>IFERROR(VLOOKUP(tbl_clean_sales[[#This Row],[Branch_ID]],'04_Branch_Master'!$A$1:$C$7,3,FALSE),"Missing")</f>
        <v>North</v>
      </c>
      <c r="T336" s="25" t="str">
        <f>C336&amp;"|"&amp;TEXT(tbl_clean_sales[[#This Row],[Date]],"yyyymm")</f>
        <v>E004|202606</v>
      </c>
      <c r="U336" s="25">
        <f>IFERROR(INDEX('05_Target_Master'!$A$1:$F$32,MATCH(tbl_clean_sales[[#This Row],[target key]],'05_Target_Master'!$F$1:$F$32,0),3),"Missing")</f>
        <v>157100</v>
      </c>
    </row>
    <row r="337" spans="1:21" x14ac:dyDescent="0.3">
      <c r="A337" s="21">
        <v>46170</v>
      </c>
      <c r="B337" s="22" t="s">
        <v>369</v>
      </c>
      <c r="C337" s="22" t="s">
        <v>8</v>
      </c>
      <c r="D337" s="22" t="s">
        <v>82</v>
      </c>
      <c r="E337" s="22" t="s">
        <v>10</v>
      </c>
      <c r="F337" s="22">
        <v>11</v>
      </c>
      <c r="G337" s="23">
        <v>1223.21</v>
      </c>
      <c r="H337" s="25" t="str">
        <f>IF(COUNTIF(tbl_clean_sales[Invoice_ID],tbl_clean_sales[[#This Row],[Invoice_ID]])&gt;1,"Duplicate","Unique")</f>
        <v>Unique</v>
      </c>
      <c r="I337" s="25"/>
      <c r="J3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7" s="25" t="str">
        <f>IFERROR(VLOOKUP(tbl_clean_sales[[#This Row],[Employee_ID]],'02_Employee_Master'!$A$1:$C$12,2,FALSE),"Employee Name Missing")</f>
        <v>Vignesh R</v>
      </c>
      <c r="L337" s="25" t="str">
        <f>IFERROR(VLOOKUP(tbl_clean_sales[[#This Row],[Employee_ID]],'02_Employee_Master'!$A$1:$C$12,3,FALSE),"Department Name Missing")</f>
        <v>Sales</v>
      </c>
      <c r="M337" s="25" t="str">
        <f>IF('03_Clean_data'!D337="","Missing",IFERROR(IF(VLOOKUP(D337,'03_Product_Master'!$A$1:$D$14,1,FALSE)='03_Clean_data'!D337,"Valid","Invalid"),"Invalid"))</f>
        <v>Valid</v>
      </c>
      <c r="N337" s="25" t="str">
        <f>IFERROR(VLOOKUP(tbl_clean_sales[[#This Row],[Product_ID]],'03_Product_Master'!$A$1:$D$14,2,FALSE),"Missing")</f>
        <v>Chocolate Bar</v>
      </c>
      <c r="O337" s="25" t="str">
        <f>IFERROR(VLOOKUP(tbl_clean_sales[[#This Row],[Product_ID]],'03_Product_Master'!$A$1:$D$14,3,FALSE),"Missing")</f>
        <v>Snacks</v>
      </c>
      <c r="P337" s="25">
        <f>IFERROR(VLOOKUP(tbl_clean_sales[[#This Row],[Product_ID]],'03_Product_Master'!$A$1:$D$14,4,FALSE),"Missing")</f>
        <v>120</v>
      </c>
      <c r="Q337" s="25" t="str">
        <f>IF('03_Clean_data'!E337="","Missing",IFERROR(IF(VLOOKUP(E337,'04_Branch_Master'!$A$1:$C$7,1,FALSE)='03_Clean_data'!E337,"Valid","Invalid"),"Invalid"))</f>
        <v>Valid</v>
      </c>
      <c r="R337" s="25" t="str">
        <f>IFERROR(VLOOKUP(tbl_clean_sales[[#This Row],[Branch_ID]],'04_Branch_Master'!$A$1:$C$7,2,FALSE),"Missing")</f>
        <v>Dharapuram</v>
      </c>
      <c r="S337" s="25" t="str">
        <f>IFERROR(VLOOKUP(tbl_clean_sales[[#This Row],[Branch_ID]],'04_Branch_Master'!$A$1:$C$7,3,FALSE),"Missing")</f>
        <v>South</v>
      </c>
      <c r="T337" s="25" t="str">
        <f>C337&amp;"|"&amp;TEXT(tbl_clean_sales[[#This Row],[Date]],"yyyymm")</f>
        <v>E009|202605</v>
      </c>
      <c r="U337" s="25">
        <f>IFERROR(INDEX('05_Target_Master'!$A$1:$F$32,MATCH(tbl_clean_sales[[#This Row],[target key]],'05_Target_Master'!$F$1:$F$32,0),3),"Missing")</f>
        <v>176300</v>
      </c>
    </row>
    <row r="338" spans="1:21" x14ac:dyDescent="0.3">
      <c r="A338" s="21">
        <v>46129</v>
      </c>
      <c r="B338" s="22" t="s">
        <v>370</v>
      </c>
      <c r="C338" s="22" t="s">
        <v>21</v>
      </c>
      <c r="D338" s="22" t="s">
        <v>16</v>
      </c>
      <c r="E338" s="22" t="s">
        <v>22</v>
      </c>
      <c r="F338" s="22">
        <v>6</v>
      </c>
      <c r="G338" s="23">
        <v>1735.49</v>
      </c>
      <c r="H338" s="25" t="str">
        <f>IF(COUNTIF(tbl_clean_sales[Invoice_ID],tbl_clean_sales[[#This Row],[Invoice_ID]])&gt;1,"Duplicate","Unique")</f>
        <v>Unique</v>
      </c>
      <c r="I338" s="25"/>
      <c r="J3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8" s="25" t="str">
        <f>IFERROR(VLOOKUP(tbl_clean_sales[[#This Row],[Employee_ID]],'02_Employee_Master'!$A$1:$C$12,2,FALSE),"Employee Name Missing")</f>
        <v>Priya S</v>
      </c>
      <c r="L338" s="25" t="str">
        <f>IFERROR(VLOOKUP(tbl_clean_sales[[#This Row],[Employee_ID]],'02_Employee_Master'!$A$1:$C$12,3,FALSE),"Department Name Missing")</f>
        <v>Sales</v>
      </c>
      <c r="M338" s="25" t="str">
        <f>IF('03_Clean_data'!D338="","Missing",IFERROR(IF(VLOOKUP(D338,'03_Product_Master'!$A$1:$D$14,1,FALSE)='03_Clean_data'!D338,"Valid","Invalid"),"Invalid"))</f>
        <v>Valid</v>
      </c>
      <c r="N338" s="25" t="str">
        <f>IFERROR(VLOOKUP(tbl_clean_sales[[#This Row],[Product_ID]],'03_Product_Master'!$A$1:$D$14,2,FALSE),"Missing")</f>
        <v>Shampoo</v>
      </c>
      <c r="O338" s="25" t="str">
        <f>IFERROR(VLOOKUP(tbl_clean_sales[[#This Row],[Product_ID]],'03_Product_Master'!$A$1:$D$14,3,FALSE),"Missing")</f>
        <v>Personal Care</v>
      </c>
      <c r="P338" s="25">
        <f>IFERROR(VLOOKUP(tbl_clean_sales[[#This Row],[Product_ID]],'03_Product_Master'!$A$1:$D$14,4,FALSE),"Missing")</f>
        <v>310</v>
      </c>
      <c r="Q338" s="25" t="str">
        <f>IF('03_Clean_data'!E338="","Missing",IFERROR(IF(VLOOKUP(E338,'04_Branch_Master'!$A$1:$C$7,1,FALSE)='03_Clean_data'!E338,"Valid","Invalid"),"Invalid"))</f>
        <v>Valid</v>
      </c>
      <c r="R338" s="25" t="str">
        <f>IFERROR(VLOOKUP(tbl_clean_sales[[#This Row],[Branch_ID]],'04_Branch_Master'!$A$1:$C$7,2,FALSE),"Missing")</f>
        <v>Tirupur Central</v>
      </c>
      <c r="S338" s="25" t="str">
        <f>IFERROR(VLOOKUP(tbl_clean_sales[[#This Row],[Branch_ID]],'04_Branch_Master'!$A$1:$C$7,3,FALSE),"Missing")</f>
        <v>North</v>
      </c>
      <c r="T338" s="25" t="str">
        <f>C338&amp;"|"&amp;TEXT(tbl_clean_sales[[#This Row],[Date]],"yyyymm")</f>
        <v>E002|202604</v>
      </c>
      <c r="U338" s="25">
        <f>IFERROR(INDEX('05_Target_Master'!$A$1:$F$32,MATCH(tbl_clean_sales[[#This Row],[target key]],'05_Target_Master'!$F$1:$F$32,0),3),"Missing")</f>
        <v>122300</v>
      </c>
    </row>
    <row r="339" spans="1:21" x14ac:dyDescent="0.3">
      <c r="A339" s="21">
        <v>46159</v>
      </c>
      <c r="B339" s="22" t="s">
        <v>371</v>
      </c>
      <c r="C339" s="22" t="s">
        <v>18</v>
      </c>
      <c r="D339" s="22" t="s">
        <v>30</v>
      </c>
      <c r="E339" s="22" t="s">
        <v>14</v>
      </c>
      <c r="F339" s="22">
        <v>7</v>
      </c>
      <c r="G339" s="23">
        <v>1052.79</v>
      </c>
      <c r="H339" s="25" t="str">
        <f>IF(COUNTIF(tbl_clean_sales[Invoice_ID],tbl_clean_sales[[#This Row],[Invoice_ID]])&gt;1,"Duplicate","Unique")</f>
        <v>Unique</v>
      </c>
      <c r="I339" s="25"/>
      <c r="J3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39" s="25" t="str">
        <f>IFERROR(VLOOKUP(tbl_clean_sales[[#This Row],[Employee_ID]],'02_Employee_Master'!$A$1:$C$12,2,FALSE),"Employee Name Missing")</f>
        <v>Rahul M</v>
      </c>
      <c r="L339" s="25" t="str">
        <f>IFERROR(VLOOKUP(tbl_clean_sales[[#This Row],[Employee_ID]],'02_Employee_Master'!$A$1:$C$12,3,FALSE),"Department Name Missing")</f>
        <v>Sales</v>
      </c>
      <c r="M339" s="25" t="str">
        <f>IF('03_Clean_data'!D339="","Missing",IFERROR(IF(VLOOKUP(D339,'03_Product_Master'!$A$1:$D$14,1,FALSE)='03_Clean_data'!D339,"Valid","Invalid"),"Invalid"))</f>
        <v>Valid</v>
      </c>
      <c r="N339" s="25" t="str">
        <f>IFERROR(VLOOKUP(tbl_clean_sales[[#This Row],[Product_ID]],'03_Product_Master'!$A$1:$D$14,2,FALSE),"Missing")</f>
        <v>Cookies Pack</v>
      </c>
      <c r="O339" s="25" t="str">
        <f>IFERROR(VLOOKUP(tbl_clean_sales[[#This Row],[Product_ID]],'03_Product_Master'!$A$1:$D$14,3,FALSE),"Missing")</f>
        <v>Snacks</v>
      </c>
      <c r="P339" s="25">
        <f>IFERROR(VLOOKUP(tbl_clean_sales[[#This Row],[Product_ID]],'03_Product_Master'!$A$1:$D$14,4,FALSE),"Missing")</f>
        <v>160</v>
      </c>
      <c r="Q339" s="25" t="str">
        <f>IF('03_Clean_data'!E339="","Missing",IFERROR(IF(VLOOKUP(E339,'04_Branch_Master'!$A$1:$C$7,1,FALSE)='03_Clean_data'!E339,"Valid","Invalid"),"Invalid"))</f>
        <v>Valid</v>
      </c>
      <c r="R339" s="25" t="str">
        <f>IFERROR(VLOOKUP(tbl_clean_sales[[#This Row],[Branch_ID]],'04_Branch_Master'!$A$1:$C$7,2,FALSE),"Missing")</f>
        <v>Avinashi Road</v>
      </c>
      <c r="S339" s="25" t="str">
        <f>IFERROR(VLOOKUP(tbl_clean_sales[[#This Row],[Branch_ID]],'04_Branch_Master'!$A$1:$C$7,3,FALSE),"Missing")</f>
        <v>North</v>
      </c>
      <c r="T339" s="25" t="str">
        <f>C339&amp;"|"&amp;TEXT(tbl_clean_sales[[#This Row],[Date]],"yyyymm")</f>
        <v>E003|202605</v>
      </c>
      <c r="U339" s="25">
        <f>IFERROR(INDEX('05_Target_Master'!$A$1:$F$32,MATCH(tbl_clean_sales[[#This Row],[target key]],'05_Target_Master'!$F$1:$F$32,0),3),"Missing")</f>
        <v>126000</v>
      </c>
    </row>
    <row r="340" spans="1:21" x14ac:dyDescent="0.3">
      <c r="A340" s="21">
        <v>46118</v>
      </c>
      <c r="B340" s="22" t="s">
        <v>372</v>
      </c>
      <c r="C340" s="22" t="s">
        <v>74</v>
      </c>
      <c r="D340" s="22" t="s">
        <v>53</v>
      </c>
      <c r="E340" s="22" t="s">
        <v>22</v>
      </c>
      <c r="F340" s="22">
        <v>8</v>
      </c>
      <c r="G340" s="23">
        <v>2625.5</v>
      </c>
      <c r="H340" s="25" t="str">
        <f>IF(COUNTIF(tbl_clean_sales[Invoice_ID],tbl_clean_sales[[#This Row],[Invoice_ID]])&gt;1,"Duplicate","Unique")</f>
        <v>Unique</v>
      </c>
      <c r="I340" s="25"/>
      <c r="J3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0" s="25" t="str">
        <f>IFERROR(VLOOKUP(tbl_clean_sales[[#This Row],[Employee_ID]],'02_Employee_Master'!$A$1:$C$12,2,FALSE),"Employee Name Missing")</f>
        <v>Arun Kumar</v>
      </c>
      <c r="L340" s="25" t="str">
        <f>IFERROR(VLOOKUP(tbl_clean_sales[[#This Row],[Employee_ID]],'02_Employee_Master'!$A$1:$C$12,3,FALSE),"Department Name Missing")</f>
        <v>Sales</v>
      </c>
      <c r="M340" s="25" t="str">
        <f>IF('03_Clean_data'!D340="","Missing",IFERROR(IF(VLOOKUP(D340,'03_Product_Master'!$A$1:$D$14,1,FALSE)='03_Clean_data'!D340,"Valid","Invalid"),"Invalid"))</f>
        <v>Valid</v>
      </c>
      <c r="N340" s="25" t="str">
        <f>IFERROR(VLOOKUP(tbl_clean_sales[[#This Row],[Product_ID]],'03_Product_Master'!$A$1:$D$14,2,FALSE),"Missing")</f>
        <v>Instant Coffee</v>
      </c>
      <c r="O340" s="25" t="str">
        <f>IFERROR(VLOOKUP(tbl_clean_sales[[#This Row],[Product_ID]],'03_Product_Master'!$A$1:$D$14,3,FALSE),"Missing")</f>
        <v>Beverages</v>
      </c>
      <c r="P340" s="25">
        <f>IFERROR(VLOOKUP(tbl_clean_sales[[#This Row],[Product_ID]],'03_Product_Master'!$A$1:$D$14,4,FALSE),"Missing")</f>
        <v>350</v>
      </c>
      <c r="Q340" s="25" t="str">
        <f>IF('03_Clean_data'!E340="","Missing",IFERROR(IF(VLOOKUP(E340,'04_Branch_Master'!$A$1:$C$7,1,FALSE)='03_Clean_data'!E340,"Valid","Invalid"),"Invalid"))</f>
        <v>Valid</v>
      </c>
      <c r="R340" s="25" t="str">
        <f>IFERROR(VLOOKUP(tbl_clean_sales[[#This Row],[Branch_ID]],'04_Branch_Master'!$A$1:$C$7,2,FALSE),"Missing")</f>
        <v>Tirupur Central</v>
      </c>
      <c r="S340" s="25" t="str">
        <f>IFERROR(VLOOKUP(tbl_clean_sales[[#This Row],[Branch_ID]],'04_Branch_Master'!$A$1:$C$7,3,FALSE),"Missing")</f>
        <v>North</v>
      </c>
      <c r="T340" s="25" t="str">
        <f>C340&amp;"|"&amp;TEXT(tbl_clean_sales[[#This Row],[Date]],"yyyymm")</f>
        <v>E001|202604</v>
      </c>
      <c r="U340" s="25">
        <f>IFERROR(INDEX('05_Target_Master'!$A$1:$F$32,MATCH(tbl_clean_sales[[#This Row],[target key]],'05_Target_Master'!$F$1:$F$32,0),3),"Missing")</f>
        <v>156900</v>
      </c>
    </row>
    <row r="341" spans="1:21" x14ac:dyDescent="0.3">
      <c r="A341" s="21">
        <v>46132</v>
      </c>
      <c r="B341" s="22" t="s">
        <v>373</v>
      </c>
      <c r="C341" s="22" t="s">
        <v>29</v>
      </c>
      <c r="D341" s="22" t="s">
        <v>13</v>
      </c>
      <c r="E341" s="22" t="s">
        <v>10</v>
      </c>
      <c r="F341" s="22">
        <v>10</v>
      </c>
      <c r="G341" s="23">
        <v>3750.93</v>
      </c>
      <c r="H341" s="25" t="str">
        <f>IF(COUNTIF(tbl_clean_sales[Invoice_ID],tbl_clean_sales[[#This Row],[Invoice_ID]])&gt;1,"Duplicate","Unique")</f>
        <v>Unique</v>
      </c>
      <c r="I341" s="25"/>
      <c r="J3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1" s="25" t="str">
        <f>IFERROR(VLOOKUP(tbl_clean_sales[[#This Row],[Employee_ID]],'02_Employee_Master'!$A$1:$C$12,2,FALSE),"Employee Name Missing")</f>
        <v>Swetha L</v>
      </c>
      <c r="L341" s="25" t="str">
        <f>IFERROR(VLOOKUP(tbl_clean_sales[[#This Row],[Employee_ID]],'02_Employee_Master'!$A$1:$C$12,3,FALSE),"Department Name Missing")</f>
        <v>Sales</v>
      </c>
      <c r="M341" s="25" t="str">
        <f>IF('03_Clean_data'!D341="","Missing",IFERROR(IF(VLOOKUP(D341,'03_Product_Master'!$A$1:$D$14,1,FALSE)='03_Clean_data'!D341,"Valid","Invalid"),"Invalid"))</f>
        <v>Valid</v>
      </c>
      <c r="N341" s="25" t="str">
        <f>IFERROR(VLOOKUP(tbl_clean_sales[[#This Row],[Product_ID]],'03_Product_Master'!$A$1:$D$14,2,FALSE),"Missing")</f>
        <v>Body Lotion</v>
      </c>
      <c r="O341" s="25" t="str">
        <f>IFERROR(VLOOKUP(tbl_clean_sales[[#This Row],[Product_ID]],'03_Product_Master'!$A$1:$D$14,3,FALSE),"Missing")</f>
        <v>Personal Care</v>
      </c>
      <c r="P341" s="25">
        <f>IFERROR(VLOOKUP(tbl_clean_sales[[#This Row],[Product_ID]],'03_Product_Master'!$A$1:$D$14,4,FALSE),"Missing")</f>
        <v>390</v>
      </c>
      <c r="Q341" s="25" t="str">
        <f>IF('03_Clean_data'!E341="","Missing",IFERROR(IF(VLOOKUP(E341,'04_Branch_Master'!$A$1:$C$7,1,FALSE)='03_Clean_data'!E341,"Valid","Invalid"),"Invalid"))</f>
        <v>Valid</v>
      </c>
      <c r="R341" s="25" t="str">
        <f>IFERROR(VLOOKUP(tbl_clean_sales[[#This Row],[Branch_ID]],'04_Branch_Master'!$A$1:$C$7,2,FALSE),"Missing")</f>
        <v>Dharapuram</v>
      </c>
      <c r="S341" s="25" t="str">
        <f>IFERROR(VLOOKUP(tbl_clean_sales[[#This Row],[Branch_ID]],'04_Branch_Master'!$A$1:$C$7,3,FALSE),"Missing")</f>
        <v>South</v>
      </c>
      <c r="T341" s="25" t="str">
        <f>C341&amp;"|"&amp;TEXT(tbl_clean_sales[[#This Row],[Date]],"yyyymm")</f>
        <v>E010|202604</v>
      </c>
      <c r="U341" s="25">
        <f>IFERROR(INDEX('05_Target_Master'!$A$1:$F$32,MATCH(tbl_clean_sales[[#This Row],[target key]],'05_Target_Master'!$F$1:$F$32,0),3),"Missing")</f>
        <v>121700</v>
      </c>
    </row>
    <row r="342" spans="1:21" x14ac:dyDescent="0.3">
      <c r="A342" s="21">
        <v>46163</v>
      </c>
      <c r="B342" s="22" t="s">
        <v>374</v>
      </c>
      <c r="C342" s="22" t="s">
        <v>29</v>
      </c>
      <c r="D342" s="22" t="s">
        <v>19</v>
      </c>
      <c r="E342" s="22" t="s">
        <v>10</v>
      </c>
      <c r="F342" s="22">
        <v>6</v>
      </c>
      <c r="G342" s="23">
        <v>1295.99</v>
      </c>
      <c r="H342" s="25" t="str">
        <f>IF(COUNTIF(tbl_clean_sales[Invoice_ID],tbl_clean_sales[[#This Row],[Invoice_ID]])&gt;1,"Duplicate","Unique")</f>
        <v>Unique</v>
      </c>
      <c r="I342" s="25"/>
      <c r="J3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2" s="25" t="str">
        <f>IFERROR(VLOOKUP(tbl_clean_sales[[#This Row],[Employee_ID]],'02_Employee_Master'!$A$1:$C$12,2,FALSE),"Employee Name Missing")</f>
        <v>Swetha L</v>
      </c>
      <c r="L342" s="25" t="str">
        <f>IFERROR(VLOOKUP(tbl_clean_sales[[#This Row],[Employee_ID]],'02_Employee_Master'!$A$1:$C$12,3,FALSE),"Department Name Missing")</f>
        <v>Sales</v>
      </c>
      <c r="M342" s="25" t="str">
        <f>IF('03_Clean_data'!D342="","Missing",IFERROR(IF(VLOOKUP(D342,'03_Product_Master'!$A$1:$D$14,1,FALSE)='03_Clean_data'!D342,"Valid","Invalid"),"Invalid"))</f>
        <v>Valid</v>
      </c>
      <c r="N342" s="25" t="str">
        <f>IFERROR(VLOOKUP(tbl_clean_sales[[#This Row],[Product_ID]],'03_Product_Master'!$A$1:$D$14,2,FALSE),"Missing")</f>
        <v>Floor Cleaner</v>
      </c>
      <c r="O342" s="25" t="str">
        <f>IFERROR(VLOOKUP(tbl_clean_sales[[#This Row],[Product_ID]],'03_Product_Master'!$A$1:$D$14,3,FALSE),"Missing")</f>
        <v>Home Care</v>
      </c>
      <c r="P342" s="25">
        <f>IFERROR(VLOOKUP(tbl_clean_sales[[#This Row],[Product_ID]],'03_Product_Master'!$A$1:$D$14,4,FALSE),"Missing")</f>
        <v>230</v>
      </c>
      <c r="Q342" s="25" t="str">
        <f>IF('03_Clean_data'!E342="","Missing",IFERROR(IF(VLOOKUP(E342,'04_Branch_Master'!$A$1:$C$7,1,FALSE)='03_Clean_data'!E342,"Valid","Invalid"),"Invalid"))</f>
        <v>Valid</v>
      </c>
      <c r="R342" s="25" t="str">
        <f>IFERROR(VLOOKUP(tbl_clean_sales[[#This Row],[Branch_ID]],'04_Branch_Master'!$A$1:$C$7,2,FALSE),"Missing")</f>
        <v>Dharapuram</v>
      </c>
      <c r="S342" s="25" t="str">
        <f>IFERROR(VLOOKUP(tbl_clean_sales[[#This Row],[Branch_ID]],'04_Branch_Master'!$A$1:$C$7,3,FALSE),"Missing")</f>
        <v>South</v>
      </c>
      <c r="T342" s="25" t="str">
        <f>C342&amp;"|"&amp;TEXT(tbl_clean_sales[[#This Row],[Date]],"yyyymm")</f>
        <v>E010|202605</v>
      </c>
      <c r="U342" s="25">
        <f>IFERROR(INDEX('05_Target_Master'!$A$1:$F$32,MATCH(tbl_clean_sales[[#This Row],[target key]],'05_Target_Master'!$F$1:$F$32,0),3),"Missing")</f>
        <v>131500</v>
      </c>
    </row>
    <row r="343" spans="1:21" x14ac:dyDescent="0.3">
      <c r="A343" s="21">
        <v>46178</v>
      </c>
      <c r="B343" s="22" t="s">
        <v>375</v>
      </c>
      <c r="C343" s="22" t="s">
        <v>8</v>
      </c>
      <c r="D343" s="22" t="s">
        <v>48</v>
      </c>
      <c r="E343" s="22" t="s">
        <v>10</v>
      </c>
      <c r="F343" s="22">
        <v>5</v>
      </c>
      <c r="G343" s="23">
        <v>1225.92</v>
      </c>
      <c r="H343" s="25" t="str">
        <f>IF(COUNTIF(tbl_clean_sales[Invoice_ID],tbl_clean_sales[[#This Row],[Invoice_ID]])&gt;1,"Duplicate","Unique")</f>
        <v>Unique</v>
      </c>
      <c r="I343" s="25"/>
      <c r="J3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3" s="25" t="str">
        <f>IFERROR(VLOOKUP(tbl_clean_sales[[#This Row],[Employee_ID]],'02_Employee_Master'!$A$1:$C$12,2,FALSE),"Employee Name Missing")</f>
        <v>Vignesh R</v>
      </c>
      <c r="L343" s="25" t="str">
        <f>IFERROR(VLOOKUP(tbl_clean_sales[[#This Row],[Employee_ID]],'02_Employee_Master'!$A$1:$C$12,3,FALSE),"Department Name Missing")</f>
        <v>Sales</v>
      </c>
      <c r="M343" s="25" t="str">
        <f>IF('03_Clean_data'!D343="","Missing",IFERROR(IF(VLOOKUP(D343,'03_Product_Master'!$A$1:$D$14,1,FALSE)='03_Clean_data'!D343,"Valid","Invalid"),"Invalid"))</f>
        <v>Valid</v>
      </c>
      <c r="N343" s="25" t="str">
        <f>IFERROR(VLOOKUP(tbl_clean_sales[[#This Row],[Product_ID]],'03_Product_Master'!$A$1:$D$14,2,FALSE),"Missing")</f>
        <v>Face Wash</v>
      </c>
      <c r="O343" s="25" t="str">
        <f>IFERROR(VLOOKUP(tbl_clean_sales[[#This Row],[Product_ID]],'03_Product_Master'!$A$1:$D$14,3,FALSE),"Missing")</f>
        <v>Personal Care</v>
      </c>
      <c r="P343" s="25">
        <f>IFERROR(VLOOKUP(tbl_clean_sales[[#This Row],[Product_ID]],'03_Product_Master'!$A$1:$D$14,4,FALSE),"Missing")</f>
        <v>260</v>
      </c>
      <c r="Q343" s="25" t="str">
        <f>IF('03_Clean_data'!E343="","Missing",IFERROR(IF(VLOOKUP(E343,'04_Branch_Master'!$A$1:$C$7,1,FALSE)='03_Clean_data'!E343,"Valid","Invalid"),"Invalid"))</f>
        <v>Valid</v>
      </c>
      <c r="R343" s="25" t="str">
        <f>IFERROR(VLOOKUP(tbl_clean_sales[[#This Row],[Branch_ID]],'04_Branch_Master'!$A$1:$C$7,2,FALSE),"Missing")</f>
        <v>Dharapuram</v>
      </c>
      <c r="S343" s="25" t="str">
        <f>IFERROR(VLOOKUP(tbl_clean_sales[[#This Row],[Branch_ID]],'04_Branch_Master'!$A$1:$C$7,3,FALSE),"Missing")</f>
        <v>South</v>
      </c>
      <c r="T343" s="25" t="str">
        <f>C343&amp;"|"&amp;TEXT(tbl_clean_sales[[#This Row],[Date]],"yyyymm")</f>
        <v>E009|202606</v>
      </c>
      <c r="U343" s="25">
        <f>IFERROR(INDEX('05_Target_Master'!$A$1:$F$32,MATCH(tbl_clean_sales[[#This Row],[target key]],'05_Target_Master'!$F$1:$F$32,0),3),"Missing")</f>
        <v>156700</v>
      </c>
    </row>
    <row r="344" spans="1:21" x14ac:dyDescent="0.3">
      <c r="A344" s="21">
        <v>46115</v>
      </c>
      <c r="B344" s="22" t="s">
        <v>376</v>
      </c>
      <c r="C344" s="22" t="s">
        <v>40</v>
      </c>
      <c r="D344" s="22" t="s">
        <v>34</v>
      </c>
      <c r="E344" s="22" t="s">
        <v>26</v>
      </c>
      <c r="F344" s="22">
        <v>7</v>
      </c>
      <c r="G344" s="23">
        <v>716.07</v>
      </c>
      <c r="H344" s="25" t="str">
        <f>IF(COUNTIF(tbl_clean_sales[Invoice_ID],tbl_clean_sales[[#This Row],[Invoice_ID]])&gt;1,"Duplicate","Unique")</f>
        <v>Unique</v>
      </c>
      <c r="I344" s="25"/>
      <c r="J3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4" s="25" t="str">
        <f>IFERROR(VLOOKUP(tbl_clean_sales[[#This Row],[Employee_ID]],'02_Employee_Master'!$A$1:$C$12,2,FALSE),"Employee Name Missing")</f>
        <v>Meena V</v>
      </c>
      <c r="L344" s="25" t="str">
        <f>IFERROR(VLOOKUP(tbl_clean_sales[[#This Row],[Employee_ID]],'02_Employee_Master'!$A$1:$C$12,3,FALSE),"Department Name Missing")</f>
        <v>Sales</v>
      </c>
      <c r="M344" s="25" t="str">
        <f>IF('03_Clean_data'!D344="","Missing",IFERROR(IF(VLOOKUP(D344,'03_Product_Master'!$A$1:$D$14,1,FALSE)='03_Clean_data'!D344,"Valid","Invalid"),"Invalid"))</f>
        <v>Valid</v>
      </c>
      <c r="N344" s="25" t="str">
        <f>IFERROR(VLOOKUP(tbl_clean_sales[[#This Row],[Product_ID]],'03_Product_Master'!$A$1:$D$14,2,FALSE),"Missing")</f>
        <v>Potato Chips</v>
      </c>
      <c r="O344" s="25" t="str">
        <f>IFERROR(VLOOKUP(tbl_clean_sales[[#This Row],[Product_ID]],'03_Product_Master'!$A$1:$D$14,3,FALSE),"Missing")</f>
        <v>Snacks</v>
      </c>
      <c r="P344" s="25">
        <f>IFERROR(VLOOKUP(tbl_clean_sales[[#This Row],[Product_ID]],'03_Product_Master'!$A$1:$D$14,4,FALSE),"Missing")</f>
        <v>110</v>
      </c>
      <c r="Q344" s="25" t="str">
        <f>IF('03_Clean_data'!E344="","Missing",IFERROR(IF(VLOOKUP(E344,'04_Branch_Master'!$A$1:$C$7,1,FALSE)='03_Clean_data'!E344,"Valid","Invalid"),"Invalid"))</f>
        <v>Valid</v>
      </c>
      <c r="R344" s="25" t="str">
        <f>IFERROR(VLOOKUP(tbl_clean_sales[[#This Row],[Branch_ID]],'04_Branch_Master'!$A$1:$C$7,2,FALSE),"Missing")</f>
        <v>Palladam</v>
      </c>
      <c r="S344" s="25" t="str">
        <f>IFERROR(VLOOKUP(tbl_clean_sales[[#This Row],[Branch_ID]],'04_Branch_Master'!$A$1:$C$7,3,FALSE),"Missing")</f>
        <v>South</v>
      </c>
      <c r="T344" s="25" t="str">
        <f>C344&amp;"|"&amp;TEXT(tbl_clean_sales[[#This Row],[Date]],"yyyymm")</f>
        <v>E006|202604</v>
      </c>
      <c r="U344" s="25">
        <f>IFERROR(INDEX('05_Target_Master'!$A$1:$F$32,MATCH(tbl_clean_sales[[#This Row],[target key]],'05_Target_Master'!$F$1:$F$32,0),3),"Missing")</f>
        <v>131000</v>
      </c>
    </row>
    <row r="345" spans="1:21" x14ac:dyDescent="0.3">
      <c r="A345" s="21">
        <v>46201</v>
      </c>
      <c r="B345" s="22" t="s">
        <v>377</v>
      </c>
      <c r="C345" s="22" t="s">
        <v>74</v>
      </c>
      <c r="D345" s="22" t="s">
        <v>36</v>
      </c>
      <c r="E345" s="22" t="s">
        <v>22</v>
      </c>
      <c r="F345" s="22">
        <v>11</v>
      </c>
      <c r="G345" s="23">
        <v>1893.65</v>
      </c>
      <c r="H345" s="25" t="str">
        <f>IF(COUNTIF(tbl_clean_sales[Invoice_ID],tbl_clean_sales[[#This Row],[Invoice_ID]])&gt;1,"Duplicate","Unique")</f>
        <v>Unique</v>
      </c>
      <c r="I345" s="25"/>
      <c r="J3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5" s="25" t="str">
        <f>IFERROR(VLOOKUP(tbl_clean_sales[[#This Row],[Employee_ID]],'02_Employee_Master'!$A$1:$C$12,2,FALSE),"Employee Name Missing")</f>
        <v>Arun Kumar</v>
      </c>
      <c r="L345" s="25" t="str">
        <f>IFERROR(VLOOKUP(tbl_clean_sales[[#This Row],[Employee_ID]],'02_Employee_Master'!$A$1:$C$12,3,FALSE),"Department Name Missing")</f>
        <v>Sales</v>
      </c>
      <c r="M345" s="25" t="str">
        <f>IF('03_Clean_data'!D345="","Missing",IFERROR(IF(VLOOKUP(D345,'03_Product_Master'!$A$1:$D$14,1,FALSE)='03_Clean_data'!D345,"Valid","Invalid"),"Invalid"))</f>
        <v>Valid</v>
      </c>
      <c r="N345" s="25" t="str">
        <f>IFERROR(VLOOKUP(tbl_clean_sales[[#This Row],[Product_ID]],'03_Product_Master'!$A$1:$D$14,2,FALSE),"Missing")</f>
        <v>Dish Wash</v>
      </c>
      <c r="O345" s="25" t="str">
        <f>IFERROR(VLOOKUP(tbl_clean_sales[[#This Row],[Product_ID]],'03_Product_Master'!$A$1:$D$14,3,FALSE),"Missing")</f>
        <v>Home Care</v>
      </c>
      <c r="P345" s="25">
        <f>IFERROR(VLOOKUP(tbl_clean_sales[[#This Row],[Product_ID]],'03_Product_Master'!$A$1:$D$14,4,FALSE),"Missing")</f>
        <v>190</v>
      </c>
      <c r="Q345" s="25" t="str">
        <f>IF('03_Clean_data'!E345="","Missing",IFERROR(IF(VLOOKUP(E345,'04_Branch_Master'!$A$1:$C$7,1,FALSE)='03_Clean_data'!E345,"Valid","Invalid"),"Invalid"))</f>
        <v>Valid</v>
      </c>
      <c r="R345" s="25" t="str">
        <f>IFERROR(VLOOKUP(tbl_clean_sales[[#This Row],[Branch_ID]],'04_Branch_Master'!$A$1:$C$7,2,FALSE),"Missing")</f>
        <v>Tirupur Central</v>
      </c>
      <c r="S345" s="25" t="str">
        <f>IFERROR(VLOOKUP(tbl_clean_sales[[#This Row],[Branch_ID]],'04_Branch_Master'!$A$1:$C$7,3,FALSE),"Missing")</f>
        <v>North</v>
      </c>
      <c r="T345" s="25" t="str">
        <f>C345&amp;"|"&amp;TEXT(tbl_clean_sales[[#This Row],[Date]],"yyyymm")</f>
        <v>E001|202606</v>
      </c>
      <c r="U345" s="25">
        <f>IFERROR(INDEX('05_Target_Master'!$A$1:$F$32,MATCH(tbl_clean_sales[[#This Row],[target key]],'05_Target_Master'!$F$1:$F$32,0),3),"Missing")</f>
        <v>150600</v>
      </c>
    </row>
    <row r="346" spans="1:21" x14ac:dyDescent="0.3">
      <c r="A346" s="21">
        <v>46187</v>
      </c>
      <c r="B346" s="22" t="s">
        <v>378</v>
      </c>
      <c r="C346" s="22" t="s">
        <v>29</v>
      </c>
      <c r="D346" s="22"/>
      <c r="E346" s="22" t="s">
        <v>10</v>
      </c>
      <c r="F346" s="22">
        <v>10</v>
      </c>
      <c r="G346" s="23">
        <v>1507.75</v>
      </c>
      <c r="H346" s="25" t="str">
        <f>IF(COUNTIF(tbl_clean_sales[Invoice_ID],tbl_clean_sales[[#This Row],[Invoice_ID]])&gt;1,"Duplicate","Unique")</f>
        <v>Unique</v>
      </c>
      <c r="I346" s="25"/>
      <c r="J3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6" s="25" t="str">
        <f>IFERROR(VLOOKUP(tbl_clean_sales[[#This Row],[Employee_ID]],'02_Employee_Master'!$A$1:$C$12,2,FALSE),"Employee Name Missing")</f>
        <v>Swetha L</v>
      </c>
      <c r="L346" s="25" t="str">
        <f>IFERROR(VLOOKUP(tbl_clean_sales[[#This Row],[Employee_ID]],'02_Employee_Master'!$A$1:$C$12,3,FALSE),"Department Name Missing")</f>
        <v>Sales</v>
      </c>
      <c r="M346" s="25" t="str">
        <f>IF('03_Clean_data'!D346="","Missing",IFERROR(IF(VLOOKUP(D346,'03_Product_Master'!$A$1:$D$14,1,FALSE)='03_Clean_data'!D346,"Valid","Invalid"),"Invalid"))</f>
        <v>Missing</v>
      </c>
      <c r="N346" s="25" t="str">
        <f>IFERROR(VLOOKUP(tbl_clean_sales[[#This Row],[Product_ID]],'03_Product_Master'!$A$1:$D$14,2,FALSE),"Missing")</f>
        <v>Missing</v>
      </c>
      <c r="O346" s="25" t="str">
        <f>IFERROR(VLOOKUP(tbl_clean_sales[[#This Row],[Product_ID]],'03_Product_Master'!$A$1:$D$14,3,FALSE),"Missing")</f>
        <v>Missing</v>
      </c>
      <c r="P346" s="25" t="str">
        <f>IFERROR(VLOOKUP(tbl_clean_sales[[#This Row],[Product_ID]],'03_Product_Master'!$A$1:$D$14,4,FALSE),"Missing")</f>
        <v>Missing</v>
      </c>
      <c r="Q346" s="25" t="str">
        <f>IF('03_Clean_data'!E346="","Missing",IFERROR(IF(VLOOKUP(E346,'04_Branch_Master'!$A$1:$C$7,1,FALSE)='03_Clean_data'!E346,"Valid","Invalid"),"Invalid"))</f>
        <v>Valid</v>
      </c>
      <c r="R346" s="25" t="str">
        <f>IFERROR(VLOOKUP(tbl_clean_sales[[#This Row],[Branch_ID]],'04_Branch_Master'!$A$1:$C$7,2,FALSE),"Missing")</f>
        <v>Dharapuram</v>
      </c>
      <c r="S346" s="25" t="str">
        <f>IFERROR(VLOOKUP(tbl_clean_sales[[#This Row],[Branch_ID]],'04_Branch_Master'!$A$1:$C$7,3,FALSE),"Missing")</f>
        <v>South</v>
      </c>
      <c r="T346" s="25" t="str">
        <f>C346&amp;"|"&amp;TEXT(tbl_clean_sales[[#This Row],[Date]],"yyyymm")</f>
        <v>E010|202606</v>
      </c>
      <c r="U346" s="25">
        <f>IFERROR(INDEX('05_Target_Master'!$A$1:$F$32,MATCH(tbl_clean_sales[[#This Row],[target key]],'05_Target_Master'!$F$1:$F$32,0),3),"Missing")</f>
        <v>116800</v>
      </c>
    </row>
    <row r="347" spans="1:21" x14ac:dyDescent="0.3">
      <c r="A347" s="21">
        <v>46180</v>
      </c>
      <c r="B347" s="22" t="s">
        <v>379</v>
      </c>
      <c r="C347" s="22" t="s">
        <v>29</v>
      </c>
      <c r="D347" s="22" t="s">
        <v>16</v>
      </c>
      <c r="E347" s="22" t="s">
        <v>10</v>
      </c>
      <c r="F347" s="22">
        <v>11</v>
      </c>
      <c r="G347" s="23">
        <v>3310.89</v>
      </c>
      <c r="H347" s="25" t="str">
        <f>IF(COUNTIF(tbl_clean_sales[Invoice_ID],tbl_clean_sales[[#This Row],[Invoice_ID]])&gt;1,"Duplicate","Unique")</f>
        <v>Unique</v>
      </c>
      <c r="I347" s="25"/>
      <c r="J3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7" s="25" t="str">
        <f>IFERROR(VLOOKUP(tbl_clean_sales[[#This Row],[Employee_ID]],'02_Employee_Master'!$A$1:$C$12,2,FALSE),"Employee Name Missing")</f>
        <v>Swetha L</v>
      </c>
      <c r="L347" s="25" t="str">
        <f>IFERROR(VLOOKUP(tbl_clean_sales[[#This Row],[Employee_ID]],'02_Employee_Master'!$A$1:$C$12,3,FALSE),"Department Name Missing")</f>
        <v>Sales</v>
      </c>
      <c r="M347" s="25" t="str">
        <f>IF('03_Clean_data'!D347="","Missing",IFERROR(IF(VLOOKUP(D347,'03_Product_Master'!$A$1:$D$14,1,FALSE)='03_Clean_data'!D347,"Valid","Invalid"),"Invalid"))</f>
        <v>Valid</v>
      </c>
      <c r="N347" s="25" t="str">
        <f>IFERROR(VLOOKUP(tbl_clean_sales[[#This Row],[Product_ID]],'03_Product_Master'!$A$1:$D$14,2,FALSE),"Missing")</f>
        <v>Shampoo</v>
      </c>
      <c r="O347" s="25" t="str">
        <f>IFERROR(VLOOKUP(tbl_clean_sales[[#This Row],[Product_ID]],'03_Product_Master'!$A$1:$D$14,3,FALSE),"Missing")</f>
        <v>Personal Care</v>
      </c>
      <c r="P347" s="25">
        <f>IFERROR(VLOOKUP(tbl_clean_sales[[#This Row],[Product_ID]],'03_Product_Master'!$A$1:$D$14,4,FALSE),"Missing")</f>
        <v>310</v>
      </c>
      <c r="Q347" s="25" t="str">
        <f>IF('03_Clean_data'!E347="","Missing",IFERROR(IF(VLOOKUP(E347,'04_Branch_Master'!$A$1:$C$7,1,FALSE)='03_Clean_data'!E347,"Valid","Invalid"),"Invalid"))</f>
        <v>Valid</v>
      </c>
      <c r="R347" s="25" t="str">
        <f>IFERROR(VLOOKUP(tbl_clean_sales[[#This Row],[Branch_ID]],'04_Branch_Master'!$A$1:$C$7,2,FALSE),"Missing")</f>
        <v>Dharapuram</v>
      </c>
      <c r="S347" s="25" t="str">
        <f>IFERROR(VLOOKUP(tbl_clean_sales[[#This Row],[Branch_ID]],'04_Branch_Master'!$A$1:$C$7,3,FALSE),"Missing")</f>
        <v>South</v>
      </c>
      <c r="T347" s="25" t="str">
        <f>C347&amp;"|"&amp;TEXT(tbl_clean_sales[[#This Row],[Date]],"yyyymm")</f>
        <v>E010|202606</v>
      </c>
      <c r="U347" s="25">
        <f>IFERROR(INDEX('05_Target_Master'!$A$1:$F$32,MATCH(tbl_clean_sales[[#This Row],[target key]],'05_Target_Master'!$F$1:$F$32,0),3),"Missing")</f>
        <v>116800</v>
      </c>
    </row>
    <row r="348" spans="1:21" x14ac:dyDescent="0.3">
      <c r="A348" s="21">
        <v>46186</v>
      </c>
      <c r="B348" s="22" t="s">
        <v>380</v>
      </c>
      <c r="C348" s="22" t="s">
        <v>21</v>
      </c>
      <c r="D348" s="22" t="s">
        <v>30</v>
      </c>
      <c r="E348" s="22" t="s">
        <v>22</v>
      </c>
      <c r="F348" s="22">
        <v>6</v>
      </c>
      <c r="G348" s="23">
        <v>911.76</v>
      </c>
      <c r="H348" s="25" t="str">
        <f>IF(COUNTIF(tbl_clean_sales[Invoice_ID],tbl_clean_sales[[#This Row],[Invoice_ID]])&gt;1,"Duplicate","Unique")</f>
        <v>Unique</v>
      </c>
      <c r="I348" s="25"/>
      <c r="J3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8" s="25" t="str">
        <f>IFERROR(VLOOKUP(tbl_clean_sales[[#This Row],[Employee_ID]],'02_Employee_Master'!$A$1:$C$12,2,FALSE),"Employee Name Missing")</f>
        <v>Priya S</v>
      </c>
      <c r="L348" s="25" t="str">
        <f>IFERROR(VLOOKUP(tbl_clean_sales[[#This Row],[Employee_ID]],'02_Employee_Master'!$A$1:$C$12,3,FALSE),"Department Name Missing")</f>
        <v>Sales</v>
      </c>
      <c r="M348" s="25" t="str">
        <f>IF('03_Clean_data'!D348="","Missing",IFERROR(IF(VLOOKUP(D348,'03_Product_Master'!$A$1:$D$14,1,FALSE)='03_Clean_data'!D348,"Valid","Invalid"),"Invalid"))</f>
        <v>Valid</v>
      </c>
      <c r="N348" s="25" t="str">
        <f>IFERROR(VLOOKUP(tbl_clean_sales[[#This Row],[Product_ID]],'03_Product_Master'!$A$1:$D$14,2,FALSE),"Missing")</f>
        <v>Cookies Pack</v>
      </c>
      <c r="O348" s="25" t="str">
        <f>IFERROR(VLOOKUP(tbl_clean_sales[[#This Row],[Product_ID]],'03_Product_Master'!$A$1:$D$14,3,FALSE),"Missing")</f>
        <v>Snacks</v>
      </c>
      <c r="P348" s="25">
        <f>IFERROR(VLOOKUP(tbl_clean_sales[[#This Row],[Product_ID]],'03_Product_Master'!$A$1:$D$14,4,FALSE),"Missing")</f>
        <v>160</v>
      </c>
      <c r="Q348" s="25" t="str">
        <f>IF('03_Clean_data'!E348="","Missing",IFERROR(IF(VLOOKUP(E348,'04_Branch_Master'!$A$1:$C$7,1,FALSE)='03_Clean_data'!E348,"Valid","Invalid"),"Invalid"))</f>
        <v>Valid</v>
      </c>
      <c r="R348" s="25" t="str">
        <f>IFERROR(VLOOKUP(tbl_clean_sales[[#This Row],[Branch_ID]],'04_Branch_Master'!$A$1:$C$7,2,FALSE),"Missing")</f>
        <v>Tirupur Central</v>
      </c>
      <c r="S348" s="25" t="str">
        <f>IFERROR(VLOOKUP(tbl_clean_sales[[#This Row],[Branch_ID]],'04_Branch_Master'!$A$1:$C$7,3,FALSE),"Missing")</f>
        <v>North</v>
      </c>
      <c r="T348" s="25" t="str">
        <f>C348&amp;"|"&amp;TEXT(tbl_clean_sales[[#This Row],[Date]],"yyyymm")</f>
        <v>E002|202606</v>
      </c>
      <c r="U348" s="25">
        <f>IFERROR(INDEX('05_Target_Master'!$A$1:$F$32,MATCH(tbl_clean_sales[[#This Row],[target key]],'05_Target_Master'!$F$1:$F$32,0),3),"Missing")</f>
        <v>117400</v>
      </c>
    </row>
    <row r="349" spans="1:21" x14ac:dyDescent="0.3">
      <c r="A349" s="21">
        <v>46165</v>
      </c>
      <c r="B349" s="22" t="s">
        <v>381</v>
      </c>
      <c r="C349" s="22" t="s">
        <v>12</v>
      </c>
      <c r="D349" s="22" t="s">
        <v>16</v>
      </c>
      <c r="E349" s="22" t="s">
        <v>14</v>
      </c>
      <c r="F349" s="22">
        <v>10</v>
      </c>
      <c r="G349" s="23">
        <v>2757.57</v>
      </c>
      <c r="H349" s="25" t="str">
        <f>IF(COUNTIF(tbl_clean_sales[Invoice_ID],tbl_clean_sales[[#This Row],[Invoice_ID]])&gt;1,"Duplicate","Unique")</f>
        <v>Unique</v>
      </c>
      <c r="I349" s="25"/>
      <c r="J3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49" s="25" t="str">
        <f>IFERROR(VLOOKUP(tbl_clean_sales[[#This Row],[Employee_ID]],'02_Employee_Master'!$A$1:$C$12,2,FALSE),"Employee Name Missing")</f>
        <v>Divya R</v>
      </c>
      <c r="L349" s="25" t="str">
        <f>IFERROR(VLOOKUP(tbl_clean_sales[[#This Row],[Employee_ID]],'02_Employee_Master'!$A$1:$C$12,3,FALSE),"Department Name Missing")</f>
        <v>Sales</v>
      </c>
      <c r="M349" s="25" t="str">
        <f>IF('03_Clean_data'!D349="","Missing",IFERROR(IF(VLOOKUP(D349,'03_Product_Master'!$A$1:$D$14,1,FALSE)='03_Clean_data'!D349,"Valid","Invalid"),"Invalid"))</f>
        <v>Valid</v>
      </c>
      <c r="N349" s="25" t="str">
        <f>IFERROR(VLOOKUP(tbl_clean_sales[[#This Row],[Product_ID]],'03_Product_Master'!$A$1:$D$14,2,FALSE),"Missing")</f>
        <v>Shampoo</v>
      </c>
      <c r="O349" s="25" t="str">
        <f>IFERROR(VLOOKUP(tbl_clean_sales[[#This Row],[Product_ID]],'03_Product_Master'!$A$1:$D$14,3,FALSE),"Missing")</f>
        <v>Personal Care</v>
      </c>
      <c r="P349" s="25">
        <f>IFERROR(VLOOKUP(tbl_clean_sales[[#This Row],[Product_ID]],'03_Product_Master'!$A$1:$D$14,4,FALSE),"Missing")</f>
        <v>310</v>
      </c>
      <c r="Q349" s="25" t="str">
        <f>IF('03_Clean_data'!E349="","Missing",IFERROR(IF(VLOOKUP(E349,'04_Branch_Master'!$A$1:$C$7,1,FALSE)='03_Clean_data'!E349,"Valid","Invalid"),"Invalid"))</f>
        <v>Valid</v>
      </c>
      <c r="R349" s="25" t="str">
        <f>IFERROR(VLOOKUP(tbl_clean_sales[[#This Row],[Branch_ID]],'04_Branch_Master'!$A$1:$C$7,2,FALSE),"Missing")</f>
        <v>Avinashi Road</v>
      </c>
      <c r="S349" s="25" t="str">
        <f>IFERROR(VLOOKUP(tbl_clean_sales[[#This Row],[Branch_ID]],'04_Branch_Master'!$A$1:$C$7,3,FALSE),"Missing")</f>
        <v>North</v>
      </c>
      <c r="T349" s="25" t="str">
        <f>C349&amp;"|"&amp;TEXT(tbl_clean_sales[[#This Row],[Date]],"yyyymm")</f>
        <v>E004|202605</v>
      </c>
      <c r="U349" s="25">
        <f>IFERROR(INDEX('05_Target_Master'!$A$1:$F$32,MATCH(tbl_clean_sales[[#This Row],[target key]],'05_Target_Master'!$F$1:$F$32,0),3),"Missing")</f>
        <v>176700</v>
      </c>
    </row>
    <row r="350" spans="1:21" x14ac:dyDescent="0.3">
      <c r="A350" s="21">
        <v>46120</v>
      </c>
      <c r="B350" s="22" t="s">
        <v>382</v>
      </c>
      <c r="C350" s="22" t="s">
        <v>18</v>
      </c>
      <c r="D350" s="22" t="s">
        <v>13</v>
      </c>
      <c r="E350" s="22" t="s">
        <v>14</v>
      </c>
      <c r="F350" s="22">
        <v>6</v>
      </c>
      <c r="G350" s="23">
        <v>2059.73</v>
      </c>
      <c r="H350" s="25" t="str">
        <f>IF(COUNTIF(tbl_clean_sales[Invoice_ID],tbl_clean_sales[[#This Row],[Invoice_ID]])&gt;1,"Duplicate","Unique")</f>
        <v>Unique</v>
      </c>
      <c r="I350" s="25"/>
      <c r="J3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0" s="25" t="str">
        <f>IFERROR(VLOOKUP(tbl_clean_sales[[#This Row],[Employee_ID]],'02_Employee_Master'!$A$1:$C$12,2,FALSE),"Employee Name Missing")</f>
        <v>Rahul M</v>
      </c>
      <c r="L350" s="25" t="str">
        <f>IFERROR(VLOOKUP(tbl_clean_sales[[#This Row],[Employee_ID]],'02_Employee_Master'!$A$1:$C$12,3,FALSE),"Department Name Missing")</f>
        <v>Sales</v>
      </c>
      <c r="M350" s="25" t="str">
        <f>IF('03_Clean_data'!D350="","Missing",IFERROR(IF(VLOOKUP(D350,'03_Product_Master'!$A$1:$D$14,1,FALSE)='03_Clean_data'!D350,"Valid","Invalid"),"Invalid"))</f>
        <v>Valid</v>
      </c>
      <c r="N350" s="25" t="str">
        <f>IFERROR(VLOOKUP(tbl_clean_sales[[#This Row],[Product_ID]],'03_Product_Master'!$A$1:$D$14,2,FALSE),"Missing")</f>
        <v>Body Lotion</v>
      </c>
      <c r="O350" s="25" t="str">
        <f>IFERROR(VLOOKUP(tbl_clean_sales[[#This Row],[Product_ID]],'03_Product_Master'!$A$1:$D$14,3,FALSE),"Missing")</f>
        <v>Personal Care</v>
      </c>
      <c r="P350" s="25">
        <f>IFERROR(VLOOKUP(tbl_clean_sales[[#This Row],[Product_ID]],'03_Product_Master'!$A$1:$D$14,4,FALSE),"Missing")</f>
        <v>390</v>
      </c>
      <c r="Q350" s="25" t="str">
        <f>IF('03_Clean_data'!E350="","Missing",IFERROR(IF(VLOOKUP(E350,'04_Branch_Master'!$A$1:$C$7,1,FALSE)='03_Clean_data'!E350,"Valid","Invalid"),"Invalid"))</f>
        <v>Valid</v>
      </c>
      <c r="R350" s="25" t="str">
        <f>IFERROR(VLOOKUP(tbl_clean_sales[[#This Row],[Branch_ID]],'04_Branch_Master'!$A$1:$C$7,2,FALSE),"Missing")</f>
        <v>Avinashi Road</v>
      </c>
      <c r="S350" s="25" t="str">
        <f>IFERROR(VLOOKUP(tbl_clean_sales[[#This Row],[Branch_ID]],'04_Branch_Master'!$A$1:$C$7,3,FALSE),"Missing")</f>
        <v>North</v>
      </c>
      <c r="T350" s="25" t="str">
        <f>C350&amp;"|"&amp;TEXT(tbl_clean_sales[[#This Row],[Date]],"yyyymm")</f>
        <v>E003|202604</v>
      </c>
      <c r="U350" s="25">
        <f>IFERROR(INDEX('05_Target_Master'!$A$1:$F$32,MATCH(tbl_clean_sales[[#This Row],[target key]],'05_Target_Master'!$F$1:$F$32,0),3),"Missing")</f>
        <v>116600</v>
      </c>
    </row>
    <row r="351" spans="1:21" x14ac:dyDescent="0.3">
      <c r="A351" s="21">
        <v>46174</v>
      </c>
      <c r="B351" s="22" t="s">
        <v>383</v>
      </c>
      <c r="C351" s="22" t="s">
        <v>8</v>
      </c>
      <c r="D351" s="22" t="s">
        <v>16</v>
      </c>
      <c r="E351" s="22" t="s">
        <v>10</v>
      </c>
      <c r="F351" s="22">
        <v>3</v>
      </c>
      <c r="G351" s="23">
        <v>878.7</v>
      </c>
      <c r="H351" s="25" t="str">
        <f>IF(COUNTIF(tbl_clean_sales[Invoice_ID],tbl_clean_sales[[#This Row],[Invoice_ID]])&gt;1,"Duplicate","Unique")</f>
        <v>Unique</v>
      </c>
      <c r="I351" s="25"/>
      <c r="J3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1" s="25" t="str">
        <f>IFERROR(VLOOKUP(tbl_clean_sales[[#This Row],[Employee_ID]],'02_Employee_Master'!$A$1:$C$12,2,FALSE),"Employee Name Missing")</f>
        <v>Vignesh R</v>
      </c>
      <c r="L351" s="25" t="str">
        <f>IFERROR(VLOOKUP(tbl_clean_sales[[#This Row],[Employee_ID]],'02_Employee_Master'!$A$1:$C$12,3,FALSE),"Department Name Missing")</f>
        <v>Sales</v>
      </c>
      <c r="M351" s="25" t="str">
        <f>IF('03_Clean_data'!D351="","Missing",IFERROR(IF(VLOOKUP(D351,'03_Product_Master'!$A$1:$D$14,1,FALSE)='03_Clean_data'!D351,"Valid","Invalid"),"Invalid"))</f>
        <v>Valid</v>
      </c>
      <c r="N351" s="25" t="str">
        <f>IFERROR(VLOOKUP(tbl_clean_sales[[#This Row],[Product_ID]],'03_Product_Master'!$A$1:$D$14,2,FALSE),"Missing")</f>
        <v>Shampoo</v>
      </c>
      <c r="O351" s="25" t="str">
        <f>IFERROR(VLOOKUP(tbl_clean_sales[[#This Row],[Product_ID]],'03_Product_Master'!$A$1:$D$14,3,FALSE),"Missing")</f>
        <v>Personal Care</v>
      </c>
      <c r="P351" s="25">
        <f>IFERROR(VLOOKUP(tbl_clean_sales[[#This Row],[Product_ID]],'03_Product_Master'!$A$1:$D$14,4,FALSE),"Missing")</f>
        <v>310</v>
      </c>
      <c r="Q351" s="25" t="str">
        <f>IF('03_Clean_data'!E351="","Missing",IFERROR(IF(VLOOKUP(E351,'04_Branch_Master'!$A$1:$C$7,1,FALSE)='03_Clean_data'!E351,"Valid","Invalid"),"Invalid"))</f>
        <v>Valid</v>
      </c>
      <c r="R351" s="25" t="str">
        <f>IFERROR(VLOOKUP(tbl_clean_sales[[#This Row],[Branch_ID]],'04_Branch_Master'!$A$1:$C$7,2,FALSE),"Missing")</f>
        <v>Dharapuram</v>
      </c>
      <c r="S351" s="25" t="str">
        <f>IFERROR(VLOOKUP(tbl_clean_sales[[#This Row],[Branch_ID]],'04_Branch_Master'!$A$1:$C$7,3,FALSE),"Missing")</f>
        <v>South</v>
      </c>
      <c r="T351" s="25" t="str">
        <f>C351&amp;"|"&amp;TEXT(tbl_clean_sales[[#This Row],[Date]],"yyyymm")</f>
        <v>E009|202606</v>
      </c>
      <c r="U351" s="25">
        <f>IFERROR(INDEX('05_Target_Master'!$A$1:$F$32,MATCH(tbl_clean_sales[[#This Row],[target key]],'05_Target_Master'!$F$1:$F$32,0),3),"Missing")</f>
        <v>156700</v>
      </c>
    </row>
    <row r="352" spans="1:21" x14ac:dyDescent="0.3">
      <c r="A352" s="21">
        <v>46181</v>
      </c>
      <c r="B352" s="22" t="s">
        <v>384</v>
      </c>
      <c r="C352" s="22" t="s">
        <v>40</v>
      </c>
      <c r="D352" s="22" t="s">
        <v>13</v>
      </c>
      <c r="E352" s="22" t="s">
        <v>26</v>
      </c>
      <c r="F352" s="22">
        <v>12</v>
      </c>
      <c r="G352" s="23">
        <v>4297.6899999999996</v>
      </c>
      <c r="H352" s="25" t="str">
        <f>IF(COUNTIF(tbl_clean_sales[Invoice_ID],tbl_clean_sales[[#This Row],[Invoice_ID]])&gt;1,"Duplicate","Unique")</f>
        <v>Unique</v>
      </c>
      <c r="I352" s="25"/>
      <c r="J35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2" s="25" t="str">
        <f>IFERROR(VLOOKUP(tbl_clean_sales[[#This Row],[Employee_ID]],'02_Employee_Master'!$A$1:$C$12,2,FALSE),"Employee Name Missing")</f>
        <v>Meena V</v>
      </c>
      <c r="L352" s="25" t="str">
        <f>IFERROR(VLOOKUP(tbl_clean_sales[[#This Row],[Employee_ID]],'02_Employee_Master'!$A$1:$C$12,3,FALSE),"Department Name Missing")</f>
        <v>Sales</v>
      </c>
      <c r="M352" s="25" t="str">
        <f>IF('03_Clean_data'!D352="","Missing",IFERROR(IF(VLOOKUP(D352,'03_Product_Master'!$A$1:$D$14,1,FALSE)='03_Clean_data'!D352,"Valid","Invalid"),"Invalid"))</f>
        <v>Valid</v>
      </c>
      <c r="N352" s="25" t="str">
        <f>IFERROR(VLOOKUP(tbl_clean_sales[[#This Row],[Product_ID]],'03_Product_Master'!$A$1:$D$14,2,FALSE),"Missing")</f>
        <v>Body Lotion</v>
      </c>
      <c r="O352" s="25" t="str">
        <f>IFERROR(VLOOKUP(tbl_clean_sales[[#This Row],[Product_ID]],'03_Product_Master'!$A$1:$D$14,3,FALSE),"Missing")</f>
        <v>Personal Care</v>
      </c>
      <c r="P352" s="25">
        <f>IFERROR(VLOOKUP(tbl_clean_sales[[#This Row],[Product_ID]],'03_Product_Master'!$A$1:$D$14,4,FALSE),"Missing")</f>
        <v>390</v>
      </c>
      <c r="Q352" s="25" t="str">
        <f>IF('03_Clean_data'!E352="","Missing",IFERROR(IF(VLOOKUP(E352,'04_Branch_Master'!$A$1:$C$7,1,FALSE)='03_Clean_data'!E352,"Valid","Invalid"),"Invalid"))</f>
        <v>Valid</v>
      </c>
      <c r="R352" s="25" t="str">
        <f>IFERROR(VLOOKUP(tbl_clean_sales[[#This Row],[Branch_ID]],'04_Branch_Master'!$A$1:$C$7,2,FALSE),"Missing")</f>
        <v>Palladam</v>
      </c>
      <c r="S352" s="25" t="str">
        <f>IFERROR(VLOOKUP(tbl_clean_sales[[#This Row],[Branch_ID]],'04_Branch_Master'!$A$1:$C$7,3,FALSE),"Missing")</f>
        <v>South</v>
      </c>
      <c r="T352" s="25" t="str">
        <f>C352&amp;"|"&amp;TEXT(tbl_clean_sales[[#This Row],[Date]],"yyyymm")</f>
        <v>E006|202606</v>
      </c>
      <c r="U352" s="25">
        <f>IFERROR(INDEX('05_Target_Master'!$A$1:$F$32,MATCH(tbl_clean_sales[[#This Row],[target key]],'05_Target_Master'!$F$1:$F$32,0),3),"Missing")</f>
        <v>125800</v>
      </c>
    </row>
    <row r="353" spans="1:21" x14ac:dyDescent="0.3">
      <c r="A353" s="21">
        <v>46201</v>
      </c>
      <c r="B353" s="22" t="s">
        <v>385</v>
      </c>
      <c r="C353" s="22" t="s">
        <v>24</v>
      </c>
      <c r="D353" s="22" t="s">
        <v>36</v>
      </c>
      <c r="E353" s="22" t="s">
        <v>26</v>
      </c>
      <c r="F353" s="22">
        <v>4</v>
      </c>
      <c r="G353" s="23">
        <v>734.55</v>
      </c>
      <c r="H353" s="25" t="str">
        <f>IF(COUNTIF(tbl_clean_sales[Invoice_ID],tbl_clean_sales[[#This Row],[Invoice_ID]])&gt;1,"Duplicate","Unique")</f>
        <v>Unique</v>
      </c>
      <c r="I353" s="25"/>
      <c r="J35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3" s="25" t="str">
        <f>IFERROR(VLOOKUP(tbl_clean_sales[[#This Row],[Employee_ID]],'02_Employee_Master'!$A$1:$C$12,2,FALSE),"Employee Name Missing")</f>
        <v>Karthik P</v>
      </c>
      <c r="L353" s="25" t="str">
        <f>IFERROR(VLOOKUP(tbl_clean_sales[[#This Row],[Employee_ID]],'02_Employee_Master'!$A$1:$C$12,3,FALSE),"Department Name Missing")</f>
        <v>Sales</v>
      </c>
      <c r="M353" s="25" t="str">
        <f>IF('03_Clean_data'!D353="","Missing",IFERROR(IF(VLOOKUP(D353,'03_Product_Master'!$A$1:$D$14,1,FALSE)='03_Clean_data'!D353,"Valid","Invalid"),"Invalid"))</f>
        <v>Valid</v>
      </c>
      <c r="N353" s="25" t="str">
        <f>IFERROR(VLOOKUP(tbl_clean_sales[[#This Row],[Product_ID]],'03_Product_Master'!$A$1:$D$14,2,FALSE),"Missing")</f>
        <v>Dish Wash</v>
      </c>
      <c r="O353" s="25" t="str">
        <f>IFERROR(VLOOKUP(tbl_clean_sales[[#This Row],[Product_ID]],'03_Product_Master'!$A$1:$D$14,3,FALSE),"Missing")</f>
        <v>Home Care</v>
      </c>
      <c r="P353" s="25">
        <f>IFERROR(VLOOKUP(tbl_clean_sales[[#This Row],[Product_ID]],'03_Product_Master'!$A$1:$D$14,4,FALSE),"Missing")</f>
        <v>190</v>
      </c>
      <c r="Q353" s="25" t="str">
        <f>IF('03_Clean_data'!E353="","Missing",IFERROR(IF(VLOOKUP(E353,'04_Branch_Master'!$A$1:$C$7,1,FALSE)='03_Clean_data'!E353,"Valid","Invalid"),"Invalid"))</f>
        <v>Valid</v>
      </c>
      <c r="R353" s="25" t="str">
        <f>IFERROR(VLOOKUP(tbl_clean_sales[[#This Row],[Branch_ID]],'04_Branch_Master'!$A$1:$C$7,2,FALSE),"Missing")</f>
        <v>Palladam</v>
      </c>
      <c r="S353" s="25" t="str">
        <f>IFERROR(VLOOKUP(tbl_clean_sales[[#This Row],[Branch_ID]],'04_Branch_Master'!$A$1:$C$7,3,FALSE),"Missing")</f>
        <v>South</v>
      </c>
      <c r="T353" s="25" t="str">
        <f>C353&amp;"|"&amp;TEXT(tbl_clean_sales[[#This Row],[Date]],"yyyymm")</f>
        <v>E005|202606</v>
      </c>
      <c r="U353" s="25">
        <f>IFERROR(INDEX('05_Target_Master'!$A$1:$F$32,MATCH(tbl_clean_sales[[#This Row],[target key]],'05_Target_Master'!$F$1:$F$32,0),3),"Missing")</f>
        <v>127700</v>
      </c>
    </row>
    <row r="354" spans="1:21" x14ac:dyDescent="0.3">
      <c r="A354" s="21">
        <v>46151</v>
      </c>
      <c r="B354" s="22" t="s">
        <v>386</v>
      </c>
      <c r="C354" s="22" t="s">
        <v>12</v>
      </c>
      <c r="D354" s="22" t="s">
        <v>82</v>
      </c>
      <c r="E354" s="22" t="s">
        <v>14</v>
      </c>
      <c r="F354" s="22">
        <v>12</v>
      </c>
      <c r="G354" s="23">
        <v>1404.18</v>
      </c>
      <c r="H354" s="25" t="str">
        <f>IF(COUNTIF(tbl_clean_sales[Invoice_ID],tbl_clean_sales[[#This Row],[Invoice_ID]])&gt;1,"Duplicate","Unique")</f>
        <v>Unique</v>
      </c>
      <c r="I354" s="25"/>
      <c r="J35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4" s="25" t="str">
        <f>IFERROR(VLOOKUP(tbl_clean_sales[[#This Row],[Employee_ID]],'02_Employee_Master'!$A$1:$C$12,2,FALSE),"Employee Name Missing")</f>
        <v>Divya R</v>
      </c>
      <c r="L354" s="25" t="str">
        <f>IFERROR(VLOOKUP(tbl_clean_sales[[#This Row],[Employee_ID]],'02_Employee_Master'!$A$1:$C$12,3,FALSE),"Department Name Missing")</f>
        <v>Sales</v>
      </c>
      <c r="M354" s="25" t="str">
        <f>IF('03_Clean_data'!D354="","Missing",IFERROR(IF(VLOOKUP(D354,'03_Product_Master'!$A$1:$D$14,1,FALSE)='03_Clean_data'!D354,"Valid","Invalid"),"Invalid"))</f>
        <v>Valid</v>
      </c>
      <c r="N354" s="25" t="str">
        <f>IFERROR(VLOOKUP(tbl_clean_sales[[#This Row],[Product_ID]],'03_Product_Master'!$A$1:$D$14,2,FALSE),"Missing")</f>
        <v>Chocolate Bar</v>
      </c>
      <c r="O354" s="25" t="str">
        <f>IFERROR(VLOOKUP(tbl_clean_sales[[#This Row],[Product_ID]],'03_Product_Master'!$A$1:$D$14,3,FALSE),"Missing")</f>
        <v>Snacks</v>
      </c>
      <c r="P354" s="25">
        <f>IFERROR(VLOOKUP(tbl_clean_sales[[#This Row],[Product_ID]],'03_Product_Master'!$A$1:$D$14,4,FALSE),"Missing")</f>
        <v>120</v>
      </c>
      <c r="Q354" s="25" t="str">
        <f>IF('03_Clean_data'!E354="","Missing",IFERROR(IF(VLOOKUP(E354,'04_Branch_Master'!$A$1:$C$7,1,FALSE)='03_Clean_data'!E354,"Valid","Invalid"),"Invalid"))</f>
        <v>Valid</v>
      </c>
      <c r="R354" s="25" t="str">
        <f>IFERROR(VLOOKUP(tbl_clean_sales[[#This Row],[Branch_ID]],'04_Branch_Master'!$A$1:$C$7,2,FALSE),"Missing")</f>
        <v>Avinashi Road</v>
      </c>
      <c r="S354" s="25" t="str">
        <f>IFERROR(VLOOKUP(tbl_clean_sales[[#This Row],[Branch_ID]],'04_Branch_Master'!$A$1:$C$7,3,FALSE),"Missing")</f>
        <v>North</v>
      </c>
      <c r="T354" s="25" t="str">
        <f>C354&amp;"|"&amp;TEXT(tbl_clean_sales[[#This Row],[Date]],"yyyymm")</f>
        <v>E004|202605</v>
      </c>
      <c r="U354" s="25">
        <f>IFERROR(INDEX('05_Target_Master'!$A$1:$F$32,MATCH(tbl_clean_sales[[#This Row],[target key]],'05_Target_Master'!$F$1:$F$32,0),3),"Missing")</f>
        <v>176700</v>
      </c>
    </row>
    <row r="355" spans="1:21" x14ac:dyDescent="0.3">
      <c r="A355" s="21">
        <v>46203</v>
      </c>
      <c r="B355" s="22" t="s">
        <v>387</v>
      </c>
      <c r="C355" s="22" t="s">
        <v>38</v>
      </c>
      <c r="D355" s="22" t="s">
        <v>34</v>
      </c>
      <c r="E355" s="22" t="s">
        <v>32</v>
      </c>
      <c r="F355" s="22">
        <v>9</v>
      </c>
      <c r="G355" s="23">
        <v>879.08</v>
      </c>
      <c r="H355" s="25" t="str">
        <f>IF(COUNTIF(tbl_clean_sales[Invoice_ID],tbl_clean_sales[[#This Row],[Invoice_ID]])&gt;1,"Duplicate","Unique")</f>
        <v>Unique</v>
      </c>
      <c r="I355" s="25"/>
      <c r="J35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5" s="25" t="str">
        <f>IFERROR(VLOOKUP(tbl_clean_sales[[#This Row],[Employee_ID]],'02_Employee_Master'!$A$1:$C$12,2,FALSE),"Employee Name Missing")</f>
        <v>Nandhini K</v>
      </c>
      <c r="L355" s="25" t="str">
        <f>IFERROR(VLOOKUP(tbl_clean_sales[[#This Row],[Employee_ID]],'02_Employee_Master'!$A$1:$C$12,3,FALSE),"Department Name Missing")</f>
        <v>Sales</v>
      </c>
      <c r="M355" s="25" t="str">
        <f>IF('03_Clean_data'!D355="","Missing",IFERROR(IF(VLOOKUP(D355,'03_Product_Master'!$A$1:$D$14,1,FALSE)='03_Clean_data'!D355,"Valid","Invalid"),"Invalid"))</f>
        <v>Valid</v>
      </c>
      <c r="N355" s="25" t="str">
        <f>IFERROR(VLOOKUP(tbl_clean_sales[[#This Row],[Product_ID]],'03_Product_Master'!$A$1:$D$14,2,FALSE),"Missing")</f>
        <v>Potato Chips</v>
      </c>
      <c r="O355" s="25" t="str">
        <f>IFERROR(VLOOKUP(tbl_clean_sales[[#This Row],[Product_ID]],'03_Product_Master'!$A$1:$D$14,3,FALSE),"Missing")</f>
        <v>Snacks</v>
      </c>
      <c r="P355" s="25">
        <f>IFERROR(VLOOKUP(tbl_clean_sales[[#This Row],[Product_ID]],'03_Product_Master'!$A$1:$D$14,4,FALSE),"Missing")</f>
        <v>110</v>
      </c>
      <c r="Q355" s="25" t="str">
        <f>IF('03_Clean_data'!E355="","Missing",IFERROR(IF(VLOOKUP(E355,'04_Branch_Master'!$A$1:$C$7,1,FALSE)='03_Clean_data'!E355,"Valid","Invalid"),"Invalid"))</f>
        <v>Valid</v>
      </c>
      <c r="R355" s="25" t="str">
        <f>IFERROR(VLOOKUP(tbl_clean_sales[[#This Row],[Branch_ID]],'04_Branch_Master'!$A$1:$C$7,2,FALSE),"Missing")</f>
        <v>Kangeyam</v>
      </c>
      <c r="S355" s="25" t="str">
        <f>IFERROR(VLOOKUP(tbl_clean_sales[[#This Row],[Branch_ID]],'04_Branch_Master'!$A$1:$C$7,3,FALSE),"Missing")</f>
        <v>East</v>
      </c>
      <c r="T355" s="25" t="str">
        <f>C355&amp;"|"&amp;TEXT(tbl_clean_sales[[#This Row],[Date]],"yyyymm")</f>
        <v>E008|202606</v>
      </c>
      <c r="U355" s="25">
        <f>IFERROR(INDEX('05_Target_Master'!$A$1:$F$32,MATCH(tbl_clean_sales[[#This Row],[target key]],'05_Target_Master'!$F$1:$F$32,0),3),"Missing")</f>
        <v>119200</v>
      </c>
    </row>
    <row r="356" spans="1:21" x14ac:dyDescent="0.3">
      <c r="A356" s="21">
        <v>46148</v>
      </c>
      <c r="B356" s="22" t="s">
        <v>388</v>
      </c>
      <c r="C356" s="22" t="s">
        <v>24</v>
      </c>
      <c r="D356" s="22" t="s">
        <v>9</v>
      </c>
      <c r="E356" s="22" t="s">
        <v>26</v>
      </c>
      <c r="F356" s="22">
        <v>9</v>
      </c>
      <c r="G356" s="23">
        <v>2405.1799999999998</v>
      </c>
      <c r="H356" s="25" t="str">
        <f>IF(COUNTIF(tbl_clean_sales[Invoice_ID],tbl_clean_sales[[#This Row],[Invoice_ID]])&gt;1,"Duplicate","Unique")</f>
        <v>Unique</v>
      </c>
      <c r="I356" s="25"/>
      <c r="J35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6" s="25" t="str">
        <f>IFERROR(VLOOKUP(tbl_clean_sales[[#This Row],[Employee_ID]],'02_Employee_Master'!$A$1:$C$12,2,FALSE),"Employee Name Missing")</f>
        <v>Karthik P</v>
      </c>
      <c r="L356" s="25" t="str">
        <f>IFERROR(VLOOKUP(tbl_clean_sales[[#This Row],[Employee_ID]],'02_Employee_Master'!$A$1:$C$12,3,FALSE),"Department Name Missing")</f>
        <v>Sales</v>
      </c>
      <c r="M356" s="25" t="str">
        <f>IF('03_Clean_data'!D356="","Missing",IFERROR(IF(VLOOKUP(D356,'03_Product_Master'!$A$1:$D$14,1,FALSE)='03_Clean_data'!D356,"Valid","Invalid"),"Invalid"))</f>
        <v>Valid</v>
      </c>
      <c r="N356" s="25" t="str">
        <f>IFERROR(VLOOKUP(tbl_clean_sales[[#This Row],[Product_ID]],'03_Product_Master'!$A$1:$D$14,2,FALSE),"Missing")</f>
        <v>Green Tea</v>
      </c>
      <c r="O356" s="25" t="str">
        <f>IFERROR(VLOOKUP(tbl_clean_sales[[#This Row],[Product_ID]],'03_Product_Master'!$A$1:$D$14,3,FALSE),"Missing")</f>
        <v>Beverages</v>
      </c>
      <c r="P356" s="25">
        <f>IFERROR(VLOOKUP(tbl_clean_sales[[#This Row],[Product_ID]],'03_Product_Master'!$A$1:$D$14,4,FALSE),"Missing")</f>
        <v>280</v>
      </c>
      <c r="Q356" s="25" t="str">
        <f>IF('03_Clean_data'!E356="","Missing",IFERROR(IF(VLOOKUP(E356,'04_Branch_Master'!$A$1:$C$7,1,FALSE)='03_Clean_data'!E356,"Valid","Invalid"),"Invalid"))</f>
        <v>Valid</v>
      </c>
      <c r="R356" s="25" t="str">
        <f>IFERROR(VLOOKUP(tbl_clean_sales[[#This Row],[Branch_ID]],'04_Branch_Master'!$A$1:$C$7,2,FALSE),"Missing")</f>
        <v>Palladam</v>
      </c>
      <c r="S356" s="25" t="str">
        <f>IFERROR(VLOOKUP(tbl_clean_sales[[#This Row],[Branch_ID]],'04_Branch_Master'!$A$1:$C$7,3,FALSE),"Missing")</f>
        <v>South</v>
      </c>
      <c r="T356" s="25" t="str">
        <f>C356&amp;"|"&amp;TEXT(tbl_clean_sales[[#This Row],[Date]],"yyyymm")</f>
        <v>E005|202605</v>
      </c>
      <c r="U356" s="25">
        <f>IFERROR(INDEX('05_Target_Master'!$A$1:$F$32,MATCH(tbl_clean_sales[[#This Row],[target key]],'05_Target_Master'!$F$1:$F$32,0),3),"Missing")</f>
        <v>143700</v>
      </c>
    </row>
    <row r="357" spans="1:21" x14ac:dyDescent="0.3">
      <c r="A357" s="21">
        <v>46163</v>
      </c>
      <c r="B357" s="22" t="s">
        <v>389</v>
      </c>
      <c r="C357" s="22" t="s">
        <v>40</v>
      </c>
      <c r="D357" s="22" t="s">
        <v>53</v>
      </c>
      <c r="E357" s="22" t="s">
        <v>26</v>
      </c>
      <c r="F357" s="22">
        <v>5</v>
      </c>
      <c r="G357" s="23">
        <v>1549.38</v>
      </c>
      <c r="H357" s="25" t="str">
        <f>IF(COUNTIF(tbl_clean_sales[Invoice_ID],tbl_clean_sales[[#This Row],[Invoice_ID]])&gt;1,"Duplicate","Unique")</f>
        <v>Unique</v>
      </c>
      <c r="I357" s="25"/>
      <c r="J35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7" s="25" t="str">
        <f>IFERROR(VLOOKUP(tbl_clean_sales[[#This Row],[Employee_ID]],'02_Employee_Master'!$A$1:$C$12,2,FALSE),"Employee Name Missing")</f>
        <v>Meena V</v>
      </c>
      <c r="L357" s="25" t="str">
        <f>IFERROR(VLOOKUP(tbl_clean_sales[[#This Row],[Employee_ID]],'02_Employee_Master'!$A$1:$C$12,3,FALSE),"Department Name Missing")</f>
        <v>Sales</v>
      </c>
      <c r="M357" s="25" t="str">
        <f>IF('03_Clean_data'!D357="","Missing",IFERROR(IF(VLOOKUP(D357,'03_Product_Master'!$A$1:$D$14,1,FALSE)='03_Clean_data'!D357,"Valid","Invalid"),"Invalid"))</f>
        <v>Valid</v>
      </c>
      <c r="N357" s="25" t="str">
        <f>IFERROR(VLOOKUP(tbl_clean_sales[[#This Row],[Product_ID]],'03_Product_Master'!$A$1:$D$14,2,FALSE),"Missing")</f>
        <v>Instant Coffee</v>
      </c>
      <c r="O357" s="25" t="str">
        <f>IFERROR(VLOOKUP(tbl_clean_sales[[#This Row],[Product_ID]],'03_Product_Master'!$A$1:$D$14,3,FALSE),"Missing")</f>
        <v>Beverages</v>
      </c>
      <c r="P357" s="25">
        <f>IFERROR(VLOOKUP(tbl_clean_sales[[#This Row],[Product_ID]],'03_Product_Master'!$A$1:$D$14,4,FALSE),"Missing")</f>
        <v>350</v>
      </c>
      <c r="Q357" s="25" t="str">
        <f>IF('03_Clean_data'!E357="","Missing",IFERROR(IF(VLOOKUP(E357,'04_Branch_Master'!$A$1:$C$7,1,FALSE)='03_Clean_data'!E357,"Valid","Invalid"),"Invalid"))</f>
        <v>Valid</v>
      </c>
      <c r="R357" s="25" t="str">
        <f>IFERROR(VLOOKUP(tbl_clean_sales[[#This Row],[Branch_ID]],'04_Branch_Master'!$A$1:$C$7,2,FALSE),"Missing")</f>
        <v>Palladam</v>
      </c>
      <c r="S357" s="25" t="str">
        <f>IFERROR(VLOOKUP(tbl_clean_sales[[#This Row],[Branch_ID]],'04_Branch_Master'!$A$1:$C$7,3,FALSE),"Missing")</f>
        <v>South</v>
      </c>
      <c r="T357" s="25" t="str">
        <f>C357&amp;"|"&amp;TEXT(tbl_clean_sales[[#This Row],[Date]],"yyyymm")</f>
        <v>E006|202605</v>
      </c>
      <c r="U357" s="25">
        <f>IFERROR(INDEX('05_Target_Master'!$A$1:$F$32,MATCH(tbl_clean_sales[[#This Row],[target key]],'05_Target_Master'!$F$1:$F$32,0),3),"Missing")</f>
        <v>141500</v>
      </c>
    </row>
    <row r="358" spans="1:21" x14ac:dyDescent="0.3">
      <c r="A358" s="21">
        <v>46123</v>
      </c>
      <c r="B358" s="22" t="s">
        <v>390</v>
      </c>
      <c r="C358" s="22" t="s">
        <v>40</v>
      </c>
      <c r="D358" s="22" t="s">
        <v>48</v>
      </c>
      <c r="E358" s="22" t="s">
        <v>26</v>
      </c>
      <c r="F358" s="22">
        <v>12</v>
      </c>
      <c r="G358" s="23">
        <v>2940.63</v>
      </c>
      <c r="H358" s="25" t="str">
        <f>IF(COUNTIF(tbl_clean_sales[Invoice_ID],tbl_clean_sales[[#This Row],[Invoice_ID]])&gt;1,"Duplicate","Unique")</f>
        <v>Unique</v>
      </c>
      <c r="I358" s="25"/>
      <c r="J35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8" s="25" t="str">
        <f>IFERROR(VLOOKUP(tbl_clean_sales[[#This Row],[Employee_ID]],'02_Employee_Master'!$A$1:$C$12,2,FALSE),"Employee Name Missing")</f>
        <v>Meena V</v>
      </c>
      <c r="L358" s="25" t="str">
        <f>IFERROR(VLOOKUP(tbl_clean_sales[[#This Row],[Employee_ID]],'02_Employee_Master'!$A$1:$C$12,3,FALSE),"Department Name Missing")</f>
        <v>Sales</v>
      </c>
      <c r="M358" s="25" t="str">
        <f>IF('03_Clean_data'!D358="","Missing",IFERROR(IF(VLOOKUP(D358,'03_Product_Master'!$A$1:$D$14,1,FALSE)='03_Clean_data'!D358,"Valid","Invalid"),"Invalid"))</f>
        <v>Valid</v>
      </c>
      <c r="N358" s="25" t="str">
        <f>IFERROR(VLOOKUP(tbl_clean_sales[[#This Row],[Product_ID]],'03_Product_Master'!$A$1:$D$14,2,FALSE),"Missing")</f>
        <v>Face Wash</v>
      </c>
      <c r="O358" s="25" t="str">
        <f>IFERROR(VLOOKUP(tbl_clean_sales[[#This Row],[Product_ID]],'03_Product_Master'!$A$1:$D$14,3,FALSE),"Missing")</f>
        <v>Personal Care</v>
      </c>
      <c r="P358" s="25">
        <f>IFERROR(VLOOKUP(tbl_clean_sales[[#This Row],[Product_ID]],'03_Product_Master'!$A$1:$D$14,4,FALSE),"Missing")</f>
        <v>260</v>
      </c>
      <c r="Q358" s="25" t="str">
        <f>IF('03_Clean_data'!E358="","Missing",IFERROR(IF(VLOOKUP(E358,'04_Branch_Master'!$A$1:$C$7,1,FALSE)='03_Clean_data'!E358,"Valid","Invalid"),"Invalid"))</f>
        <v>Valid</v>
      </c>
      <c r="R358" s="25" t="str">
        <f>IFERROR(VLOOKUP(tbl_clean_sales[[#This Row],[Branch_ID]],'04_Branch_Master'!$A$1:$C$7,2,FALSE),"Missing")</f>
        <v>Palladam</v>
      </c>
      <c r="S358" s="25" t="str">
        <f>IFERROR(VLOOKUP(tbl_clean_sales[[#This Row],[Branch_ID]],'04_Branch_Master'!$A$1:$C$7,3,FALSE),"Missing")</f>
        <v>South</v>
      </c>
      <c r="T358" s="25" t="str">
        <f>C358&amp;"|"&amp;TEXT(tbl_clean_sales[[#This Row],[Date]],"yyyymm")</f>
        <v>E006|202604</v>
      </c>
      <c r="U358" s="25">
        <f>IFERROR(INDEX('05_Target_Master'!$A$1:$F$32,MATCH(tbl_clean_sales[[#This Row],[target key]],'05_Target_Master'!$F$1:$F$32,0),3),"Missing")</f>
        <v>131000</v>
      </c>
    </row>
    <row r="359" spans="1:21" x14ac:dyDescent="0.3">
      <c r="A359" s="21">
        <v>46138</v>
      </c>
      <c r="B359" s="22" t="s">
        <v>391</v>
      </c>
      <c r="C359" s="22" t="s">
        <v>8</v>
      </c>
      <c r="D359" s="22" t="s">
        <v>82</v>
      </c>
      <c r="E359" s="22" t="s">
        <v>26</v>
      </c>
      <c r="F359" s="22">
        <v>3</v>
      </c>
      <c r="G359" s="23">
        <v>355.28</v>
      </c>
      <c r="H359" s="25" t="str">
        <f>IF(COUNTIF(tbl_clean_sales[Invoice_ID],tbl_clean_sales[[#This Row],[Invoice_ID]])&gt;1,"Duplicate","Unique")</f>
        <v>Unique</v>
      </c>
      <c r="I359" s="25"/>
      <c r="J35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59" s="25" t="str">
        <f>IFERROR(VLOOKUP(tbl_clean_sales[[#This Row],[Employee_ID]],'02_Employee_Master'!$A$1:$C$12,2,FALSE),"Employee Name Missing")</f>
        <v>Vignesh R</v>
      </c>
      <c r="L359" s="25" t="str">
        <f>IFERROR(VLOOKUP(tbl_clean_sales[[#This Row],[Employee_ID]],'02_Employee_Master'!$A$1:$C$12,3,FALSE),"Department Name Missing")</f>
        <v>Sales</v>
      </c>
      <c r="M359" s="25" t="str">
        <f>IF('03_Clean_data'!D359="","Missing",IFERROR(IF(VLOOKUP(D359,'03_Product_Master'!$A$1:$D$14,1,FALSE)='03_Clean_data'!D359,"Valid","Invalid"),"Invalid"))</f>
        <v>Valid</v>
      </c>
      <c r="N359" s="25" t="str">
        <f>IFERROR(VLOOKUP(tbl_clean_sales[[#This Row],[Product_ID]],'03_Product_Master'!$A$1:$D$14,2,FALSE),"Missing")</f>
        <v>Chocolate Bar</v>
      </c>
      <c r="O359" s="25" t="str">
        <f>IFERROR(VLOOKUP(tbl_clean_sales[[#This Row],[Product_ID]],'03_Product_Master'!$A$1:$D$14,3,FALSE),"Missing")</f>
        <v>Snacks</v>
      </c>
      <c r="P359" s="25">
        <f>IFERROR(VLOOKUP(tbl_clean_sales[[#This Row],[Product_ID]],'03_Product_Master'!$A$1:$D$14,4,FALSE),"Missing")</f>
        <v>120</v>
      </c>
      <c r="Q359" s="25" t="str">
        <f>IF('03_Clean_data'!E359="","Missing",IFERROR(IF(VLOOKUP(E359,'04_Branch_Master'!$A$1:$C$7,1,FALSE)='03_Clean_data'!E359,"Valid","Invalid"),"Invalid"))</f>
        <v>Valid</v>
      </c>
      <c r="R359" s="25" t="str">
        <f>IFERROR(VLOOKUP(tbl_clean_sales[[#This Row],[Branch_ID]],'04_Branch_Master'!$A$1:$C$7,2,FALSE),"Missing")</f>
        <v>Palladam</v>
      </c>
      <c r="S359" s="25" t="str">
        <f>IFERROR(VLOOKUP(tbl_clean_sales[[#This Row],[Branch_ID]],'04_Branch_Master'!$A$1:$C$7,3,FALSE),"Missing")</f>
        <v>South</v>
      </c>
      <c r="T359" s="25" t="str">
        <f>C359&amp;"|"&amp;TEXT(tbl_clean_sales[[#This Row],[Date]],"yyyymm")</f>
        <v>E009|202604</v>
      </c>
      <c r="U359" s="25">
        <f>IFERROR(INDEX('05_Target_Master'!$A$1:$F$32,MATCH(tbl_clean_sales[[#This Row],[target key]],'05_Target_Master'!$F$1:$F$32,0),3),"Missing")</f>
        <v>163300</v>
      </c>
    </row>
    <row r="360" spans="1:21" x14ac:dyDescent="0.3">
      <c r="A360" s="21">
        <v>46188</v>
      </c>
      <c r="B360" s="22" t="s">
        <v>392</v>
      </c>
      <c r="C360" s="22" t="s">
        <v>12</v>
      </c>
      <c r="D360" s="22" t="s">
        <v>30</v>
      </c>
      <c r="E360" s="22" t="s">
        <v>14</v>
      </c>
      <c r="F360" s="22">
        <v>9</v>
      </c>
      <c r="G360" s="23">
        <v>1401</v>
      </c>
      <c r="H360" s="25" t="str">
        <f>IF(COUNTIF(tbl_clean_sales[Invoice_ID],tbl_clean_sales[[#This Row],[Invoice_ID]])&gt;1,"Duplicate","Unique")</f>
        <v>Unique</v>
      </c>
      <c r="I360" s="25"/>
      <c r="J36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0" s="25" t="str">
        <f>IFERROR(VLOOKUP(tbl_clean_sales[[#This Row],[Employee_ID]],'02_Employee_Master'!$A$1:$C$12,2,FALSE),"Employee Name Missing")</f>
        <v>Divya R</v>
      </c>
      <c r="L360" s="25" t="str">
        <f>IFERROR(VLOOKUP(tbl_clean_sales[[#This Row],[Employee_ID]],'02_Employee_Master'!$A$1:$C$12,3,FALSE),"Department Name Missing")</f>
        <v>Sales</v>
      </c>
      <c r="M360" s="25" t="str">
        <f>IF('03_Clean_data'!D360="","Missing",IFERROR(IF(VLOOKUP(D360,'03_Product_Master'!$A$1:$D$14,1,FALSE)='03_Clean_data'!D360,"Valid","Invalid"),"Invalid"))</f>
        <v>Valid</v>
      </c>
      <c r="N360" s="25" t="str">
        <f>IFERROR(VLOOKUP(tbl_clean_sales[[#This Row],[Product_ID]],'03_Product_Master'!$A$1:$D$14,2,FALSE),"Missing")</f>
        <v>Cookies Pack</v>
      </c>
      <c r="O360" s="25" t="str">
        <f>IFERROR(VLOOKUP(tbl_clean_sales[[#This Row],[Product_ID]],'03_Product_Master'!$A$1:$D$14,3,FALSE),"Missing")</f>
        <v>Snacks</v>
      </c>
      <c r="P360" s="25">
        <f>IFERROR(VLOOKUP(tbl_clean_sales[[#This Row],[Product_ID]],'03_Product_Master'!$A$1:$D$14,4,FALSE),"Missing")</f>
        <v>160</v>
      </c>
      <c r="Q360" s="25" t="str">
        <f>IF('03_Clean_data'!E360="","Missing",IFERROR(IF(VLOOKUP(E360,'04_Branch_Master'!$A$1:$C$7,1,FALSE)='03_Clean_data'!E360,"Valid","Invalid"),"Invalid"))</f>
        <v>Valid</v>
      </c>
      <c r="R360" s="25" t="str">
        <f>IFERROR(VLOOKUP(tbl_clean_sales[[#This Row],[Branch_ID]],'04_Branch_Master'!$A$1:$C$7,2,FALSE),"Missing")</f>
        <v>Avinashi Road</v>
      </c>
      <c r="S360" s="25" t="str">
        <f>IFERROR(VLOOKUP(tbl_clean_sales[[#This Row],[Branch_ID]],'04_Branch_Master'!$A$1:$C$7,3,FALSE),"Missing")</f>
        <v>North</v>
      </c>
      <c r="T360" s="25" t="str">
        <f>C360&amp;"|"&amp;TEXT(tbl_clean_sales[[#This Row],[Date]],"yyyymm")</f>
        <v>E004|202606</v>
      </c>
      <c r="U360" s="25">
        <f>IFERROR(INDEX('05_Target_Master'!$A$1:$F$32,MATCH(tbl_clean_sales[[#This Row],[target key]],'05_Target_Master'!$F$1:$F$32,0),3),"Missing")</f>
        <v>157100</v>
      </c>
    </row>
    <row r="361" spans="1:21" x14ac:dyDescent="0.3">
      <c r="A361" s="21">
        <v>46142</v>
      </c>
      <c r="B361" s="22" t="s">
        <v>393</v>
      </c>
      <c r="C361" s="22" t="s">
        <v>74</v>
      </c>
      <c r="D361" s="22" t="s">
        <v>9</v>
      </c>
      <c r="E361" s="22" t="s">
        <v>22</v>
      </c>
      <c r="F361" s="22">
        <v>12</v>
      </c>
      <c r="G361" s="23">
        <v>3169.53</v>
      </c>
      <c r="H361" s="25" t="str">
        <f>IF(COUNTIF(tbl_clean_sales[Invoice_ID],tbl_clean_sales[[#This Row],[Invoice_ID]])&gt;1,"Duplicate","Unique")</f>
        <v>Unique</v>
      </c>
      <c r="I361" s="25"/>
      <c r="J36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1" s="25" t="str">
        <f>IFERROR(VLOOKUP(tbl_clean_sales[[#This Row],[Employee_ID]],'02_Employee_Master'!$A$1:$C$12,2,FALSE),"Employee Name Missing")</f>
        <v>Arun Kumar</v>
      </c>
      <c r="L361" s="25" t="str">
        <f>IFERROR(VLOOKUP(tbl_clean_sales[[#This Row],[Employee_ID]],'02_Employee_Master'!$A$1:$C$12,3,FALSE),"Department Name Missing")</f>
        <v>Sales</v>
      </c>
      <c r="M361" s="25" t="str">
        <f>IF('03_Clean_data'!D361="","Missing",IFERROR(IF(VLOOKUP(D361,'03_Product_Master'!$A$1:$D$14,1,FALSE)='03_Clean_data'!D361,"Valid","Invalid"),"Invalid"))</f>
        <v>Valid</v>
      </c>
      <c r="N361" s="25" t="str">
        <f>IFERROR(VLOOKUP(tbl_clean_sales[[#This Row],[Product_ID]],'03_Product_Master'!$A$1:$D$14,2,FALSE),"Missing")</f>
        <v>Green Tea</v>
      </c>
      <c r="O361" s="25" t="str">
        <f>IFERROR(VLOOKUP(tbl_clean_sales[[#This Row],[Product_ID]],'03_Product_Master'!$A$1:$D$14,3,FALSE),"Missing")</f>
        <v>Beverages</v>
      </c>
      <c r="P361" s="25">
        <f>IFERROR(VLOOKUP(tbl_clean_sales[[#This Row],[Product_ID]],'03_Product_Master'!$A$1:$D$14,4,FALSE),"Missing")</f>
        <v>280</v>
      </c>
      <c r="Q361" s="25" t="str">
        <f>IF('03_Clean_data'!E361="","Missing",IFERROR(IF(VLOOKUP(E361,'04_Branch_Master'!$A$1:$C$7,1,FALSE)='03_Clean_data'!E361,"Valid","Invalid"),"Invalid"))</f>
        <v>Valid</v>
      </c>
      <c r="R361" s="25" t="str">
        <f>IFERROR(VLOOKUP(tbl_clean_sales[[#This Row],[Branch_ID]],'04_Branch_Master'!$A$1:$C$7,2,FALSE),"Missing")</f>
        <v>Tirupur Central</v>
      </c>
      <c r="S361" s="25" t="str">
        <f>IFERROR(VLOOKUP(tbl_clean_sales[[#This Row],[Branch_ID]],'04_Branch_Master'!$A$1:$C$7,3,FALSE),"Missing")</f>
        <v>North</v>
      </c>
      <c r="T361" s="25" t="str">
        <f>C361&amp;"|"&amp;TEXT(tbl_clean_sales[[#This Row],[Date]],"yyyymm")</f>
        <v>E001|202604</v>
      </c>
      <c r="U361" s="25">
        <f>IFERROR(INDEX('05_Target_Master'!$A$1:$F$32,MATCH(tbl_clean_sales[[#This Row],[target key]],'05_Target_Master'!$F$1:$F$32,0),3),"Missing")</f>
        <v>156900</v>
      </c>
    </row>
    <row r="362" spans="1:21" x14ac:dyDescent="0.3">
      <c r="A362" s="21">
        <v>46200</v>
      </c>
      <c r="B362" s="22" t="s">
        <v>394</v>
      </c>
      <c r="C362" s="22" t="s">
        <v>18</v>
      </c>
      <c r="D362" s="22" t="s">
        <v>25</v>
      </c>
      <c r="E362" s="22" t="s">
        <v>14</v>
      </c>
      <c r="F362" s="22">
        <v>7</v>
      </c>
      <c r="G362" s="23">
        <v>2709.66</v>
      </c>
      <c r="H362" s="25" t="str">
        <f>IF(COUNTIF(tbl_clean_sales[Invoice_ID],tbl_clean_sales[[#This Row],[Invoice_ID]])&gt;1,"Duplicate","Unique")</f>
        <v>Unique</v>
      </c>
      <c r="I362" s="25"/>
      <c r="J36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2" s="25" t="str">
        <f>IFERROR(VLOOKUP(tbl_clean_sales[[#This Row],[Employee_ID]],'02_Employee_Master'!$A$1:$C$12,2,FALSE),"Employee Name Missing")</f>
        <v>Rahul M</v>
      </c>
      <c r="L362" s="25" t="str">
        <f>IFERROR(VLOOKUP(tbl_clean_sales[[#This Row],[Employee_ID]],'02_Employee_Master'!$A$1:$C$12,3,FALSE),"Department Name Missing")</f>
        <v>Sales</v>
      </c>
      <c r="M362" s="25" t="str">
        <f>IF('03_Clean_data'!D362="","Missing",IFERROR(IF(VLOOKUP(D362,'03_Product_Master'!$A$1:$D$14,1,FALSE)='03_Clean_data'!D362,"Valid","Invalid"),"Invalid"))</f>
        <v>Valid</v>
      </c>
      <c r="N362" s="25" t="str">
        <f>IFERROR(VLOOKUP(tbl_clean_sales[[#This Row],[Product_ID]],'03_Product_Master'!$A$1:$D$14,2,FALSE),"Missing")</f>
        <v>Premium Coffee</v>
      </c>
      <c r="O362" s="25" t="str">
        <f>IFERROR(VLOOKUP(tbl_clean_sales[[#This Row],[Product_ID]],'03_Product_Master'!$A$1:$D$14,3,FALSE),"Missing")</f>
        <v>Beverages</v>
      </c>
      <c r="P362" s="25">
        <f>IFERROR(VLOOKUP(tbl_clean_sales[[#This Row],[Product_ID]],'03_Product_Master'!$A$1:$D$14,4,FALSE),"Missing")</f>
        <v>420</v>
      </c>
      <c r="Q362" s="25" t="str">
        <f>IF('03_Clean_data'!E362="","Missing",IFERROR(IF(VLOOKUP(E362,'04_Branch_Master'!$A$1:$C$7,1,FALSE)='03_Clean_data'!E362,"Valid","Invalid"),"Invalid"))</f>
        <v>Valid</v>
      </c>
      <c r="R362" s="25" t="str">
        <f>IFERROR(VLOOKUP(tbl_clean_sales[[#This Row],[Branch_ID]],'04_Branch_Master'!$A$1:$C$7,2,FALSE),"Missing")</f>
        <v>Avinashi Road</v>
      </c>
      <c r="S362" s="25" t="str">
        <f>IFERROR(VLOOKUP(tbl_clean_sales[[#This Row],[Branch_ID]],'04_Branch_Master'!$A$1:$C$7,3,FALSE),"Missing")</f>
        <v>North</v>
      </c>
      <c r="T362" s="25" t="str">
        <f>C362&amp;"|"&amp;TEXT(tbl_clean_sales[[#This Row],[Date]],"yyyymm")</f>
        <v>E003|202606</v>
      </c>
      <c r="U362" s="25">
        <f>IFERROR(INDEX('05_Target_Master'!$A$1:$F$32,MATCH(tbl_clean_sales[[#This Row],[target key]],'05_Target_Master'!$F$1:$F$32,0),3),"Missing")</f>
        <v>112000</v>
      </c>
    </row>
    <row r="363" spans="1:21" x14ac:dyDescent="0.3">
      <c r="A363" s="21">
        <v>46173</v>
      </c>
      <c r="B363" s="22" t="s">
        <v>395</v>
      </c>
      <c r="C363" s="22" t="s">
        <v>38</v>
      </c>
      <c r="D363" s="22" t="s">
        <v>43</v>
      </c>
      <c r="E363" s="22" t="s">
        <v>32</v>
      </c>
      <c r="F363" s="22">
        <v>5</v>
      </c>
      <c r="G363" s="23">
        <v>1634.48</v>
      </c>
      <c r="H363" s="25" t="str">
        <f>IF(COUNTIF(tbl_clean_sales[Invoice_ID],tbl_clean_sales[[#This Row],[Invoice_ID]])&gt;1,"Duplicate","Unique")</f>
        <v>Unique</v>
      </c>
      <c r="I363" s="25"/>
      <c r="J36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3" s="25" t="str">
        <f>IFERROR(VLOOKUP(tbl_clean_sales[[#This Row],[Employee_ID]],'02_Employee_Master'!$A$1:$C$12,2,FALSE),"Employee Name Missing")</f>
        <v>Nandhini K</v>
      </c>
      <c r="L363" s="25" t="str">
        <f>IFERROR(VLOOKUP(tbl_clean_sales[[#This Row],[Employee_ID]],'02_Employee_Master'!$A$1:$C$12,3,FALSE),"Department Name Missing")</f>
        <v>Sales</v>
      </c>
      <c r="M363" s="25" t="str">
        <f>IF('03_Clean_data'!D363="","Missing",IFERROR(IF(VLOOKUP(D363,'03_Product_Master'!$A$1:$D$14,1,FALSE)='03_Clean_data'!D363,"Valid","Invalid"),"Invalid"))</f>
        <v>Valid</v>
      </c>
      <c r="N363" s="25" t="str">
        <f>IFERROR(VLOOKUP(tbl_clean_sales[[#This Row],[Product_ID]],'03_Product_Master'!$A$1:$D$14,2,FALSE),"Missing")</f>
        <v>Laundry Liquid</v>
      </c>
      <c r="O363" s="25" t="str">
        <f>IFERROR(VLOOKUP(tbl_clean_sales[[#This Row],[Product_ID]],'03_Product_Master'!$A$1:$D$14,3,FALSE),"Missing")</f>
        <v>Home Care</v>
      </c>
      <c r="P363" s="25">
        <f>IFERROR(VLOOKUP(tbl_clean_sales[[#This Row],[Product_ID]],'03_Product_Master'!$A$1:$D$14,4,FALSE),"Missing")</f>
        <v>340</v>
      </c>
      <c r="Q363" s="25" t="str">
        <f>IF('03_Clean_data'!E363="","Missing",IFERROR(IF(VLOOKUP(E363,'04_Branch_Master'!$A$1:$C$7,1,FALSE)='03_Clean_data'!E363,"Valid","Invalid"),"Invalid"))</f>
        <v>Valid</v>
      </c>
      <c r="R363" s="25" t="str">
        <f>IFERROR(VLOOKUP(tbl_clean_sales[[#This Row],[Branch_ID]],'04_Branch_Master'!$A$1:$C$7,2,FALSE),"Missing")</f>
        <v>Kangeyam</v>
      </c>
      <c r="S363" s="25" t="str">
        <f>IFERROR(VLOOKUP(tbl_clean_sales[[#This Row],[Branch_ID]],'04_Branch_Master'!$A$1:$C$7,3,FALSE),"Missing")</f>
        <v>East</v>
      </c>
      <c r="T363" s="25" t="str">
        <f>C363&amp;"|"&amp;TEXT(tbl_clean_sales[[#This Row],[Date]],"yyyymm")</f>
        <v>E008|202605</v>
      </c>
      <c r="U363" s="25">
        <f>IFERROR(INDEX('05_Target_Master'!$A$1:$F$32,MATCH(tbl_clean_sales[[#This Row],[target key]],'05_Target_Master'!$F$1:$F$32,0),3),"Missing")</f>
        <v>134100</v>
      </c>
    </row>
    <row r="364" spans="1:21" x14ac:dyDescent="0.3">
      <c r="A364" s="21">
        <v>46195</v>
      </c>
      <c r="B364" s="22" t="s">
        <v>396</v>
      </c>
      <c r="C364" s="22" t="s">
        <v>74</v>
      </c>
      <c r="D364" s="22" t="s">
        <v>9</v>
      </c>
      <c r="E364" s="22" t="s">
        <v>22</v>
      </c>
      <c r="F364" s="22">
        <v>4</v>
      </c>
      <c r="G364" s="23">
        <v>1048.08</v>
      </c>
      <c r="H364" s="25" t="str">
        <f>IF(COUNTIF(tbl_clean_sales[Invoice_ID],tbl_clean_sales[[#This Row],[Invoice_ID]])&gt;1,"Duplicate","Unique")</f>
        <v>Unique</v>
      </c>
      <c r="I364" s="25"/>
      <c r="J36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4" s="25" t="str">
        <f>IFERROR(VLOOKUP(tbl_clean_sales[[#This Row],[Employee_ID]],'02_Employee_Master'!$A$1:$C$12,2,FALSE),"Employee Name Missing")</f>
        <v>Arun Kumar</v>
      </c>
      <c r="L364" s="25" t="str">
        <f>IFERROR(VLOOKUP(tbl_clean_sales[[#This Row],[Employee_ID]],'02_Employee_Master'!$A$1:$C$12,3,FALSE),"Department Name Missing")</f>
        <v>Sales</v>
      </c>
      <c r="M364" s="25" t="str">
        <f>IF('03_Clean_data'!D364="","Missing",IFERROR(IF(VLOOKUP(D364,'03_Product_Master'!$A$1:$D$14,1,FALSE)='03_Clean_data'!D364,"Valid","Invalid"),"Invalid"))</f>
        <v>Valid</v>
      </c>
      <c r="N364" s="25" t="str">
        <f>IFERROR(VLOOKUP(tbl_clean_sales[[#This Row],[Product_ID]],'03_Product_Master'!$A$1:$D$14,2,FALSE),"Missing")</f>
        <v>Green Tea</v>
      </c>
      <c r="O364" s="25" t="str">
        <f>IFERROR(VLOOKUP(tbl_clean_sales[[#This Row],[Product_ID]],'03_Product_Master'!$A$1:$D$14,3,FALSE),"Missing")</f>
        <v>Beverages</v>
      </c>
      <c r="P364" s="25">
        <f>IFERROR(VLOOKUP(tbl_clean_sales[[#This Row],[Product_ID]],'03_Product_Master'!$A$1:$D$14,4,FALSE),"Missing")</f>
        <v>280</v>
      </c>
      <c r="Q364" s="25" t="str">
        <f>IF('03_Clean_data'!E364="","Missing",IFERROR(IF(VLOOKUP(E364,'04_Branch_Master'!$A$1:$C$7,1,FALSE)='03_Clean_data'!E364,"Valid","Invalid"),"Invalid"))</f>
        <v>Valid</v>
      </c>
      <c r="R364" s="25" t="str">
        <f>IFERROR(VLOOKUP(tbl_clean_sales[[#This Row],[Branch_ID]],'04_Branch_Master'!$A$1:$C$7,2,FALSE),"Missing")</f>
        <v>Tirupur Central</v>
      </c>
      <c r="S364" s="25" t="str">
        <f>IFERROR(VLOOKUP(tbl_clean_sales[[#This Row],[Branch_ID]],'04_Branch_Master'!$A$1:$C$7,3,FALSE),"Missing")</f>
        <v>North</v>
      </c>
      <c r="T364" s="25" t="str">
        <f>C364&amp;"|"&amp;TEXT(tbl_clean_sales[[#This Row],[Date]],"yyyymm")</f>
        <v>E001|202606</v>
      </c>
      <c r="U364" s="25">
        <f>IFERROR(INDEX('05_Target_Master'!$A$1:$F$32,MATCH(tbl_clean_sales[[#This Row],[target key]],'05_Target_Master'!$F$1:$F$32,0),3),"Missing")</f>
        <v>150600</v>
      </c>
    </row>
    <row r="365" spans="1:21" x14ac:dyDescent="0.3">
      <c r="A365" s="21">
        <v>46117</v>
      </c>
      <c r="B365" s="22" t="s">
        <v>397</v>
      </c>
      <c r="C365" s="22" t="s">
        <v>18</v>
      </c>
      <c r="D365" s="22" t="s">
        <v>16</v>
      </c>
      <c r="E365" s="22" t="s">
        <v>14</v>
      </c>
      <c r="F365" s="22">
        <v>1</v>
      </c>
      <c r="G365" s="23">
        <v>272.91000000000003</v>
      </c>
      <c r="H365" s="25" t="str">
        <f>IF(COUNTIF(tbl_clean_sales[Invoice_ID],tbl_clean_sales[[#This Row],[Invoice_ID]])&gt;1,"Duplicate","Unique")</f>
        <v>Unique</v>
      </c>
      <c r="I365" s="25"/>
      <c r="J36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5" s="25" t="str">
        <f>IFERROR(VLOOKUP(tbl_clean_sales[[#This Row],[Employee_ID]],'02_Employee_Master'!$A$1:$C$12,2,FALSE),"Employee Name Missing")</f>
        <v>Rahul M</v>
      </c>
      <c r="L365" s="25" t="str">
        <f>IFERROR(VLOOKUP(tbl_clean_sales[[#This Row],[Employee_ID]],'02_Employee_Master'!$A$1:$C$12,3,FALSE),"Department Name Missing")</f>
        <v>Sales</v>
      </c>
      <c r="M365" s="25" t="str">
        <f>IF('03_Clean_data'!D365="","Missing",IFERROR(IF(VLOOKUP(D365,'03_Product_Master'!$A$1:$D$14,1,FALSE)='03_Clean_data'!D365,"Valid","Invalid"),"Invalid"))</f>
        <v>Valid</v>
      </c>
      <c r="N365" s="25" t="str">
        <f>IFERROR(VLOOKUP(tbl_clean_sales[[#This Row],[Product_ID]],'03_Product_Master'!$A$1:$D$14,2,FALSE),"Missing")</f>
        <v>Shampoo</v>
      </c>
      <c r="O365" s="25" t="str">
        <f>IFERROR(VLOOKUP(tbl_clean_sales[[#This Row],[Product_ID]],'03_Product_Master'!$A$1:$D$14,3,FALSE),"Missing")</f>
        <v>Personal Care</v>
      </c>
      <c r="P365" s="25">
        <f>IFERROR(VLOOKUP(tbl_clean_sales[[#This Row],[Product_ID]],'03_Product_Master'!$A$1:$D$14,4,FALSE),"Missing")</f>
        <v>310</v>
      </c>
      <c r="Q365" s="25" t="str">
        <f>IF('03_Clean_data'!E365="","Missing",IFERROR(IF(VLOOKUP(E365,'04_Branch_Master'!$A$1:$C$7,1,FALSE)='03_Clean_data'!E365,"Valid","Invalid"),"Invalid"))</f>
        <v>Valid</v>
      </c>
      <c r="R365" s="25" t="str">
        <f>IFERROR(VLOOKUP(tbl_clean_sales[[#This Row],[Branch_ID]],'04_Branch_Master'!$A$1:$C$7,2,FALSE),"Missing")</f>
        <v>Avinashi Road</v>
      </c>
      <c r="S365" s="25" t="str">
        <f>IFERROR(VLOOKUP(tbl_clean_sales[[#This Row],[Branch_ID]],'04_Branch_Master'!$A$1:$C$7,3,FALSE),"Missing")</f>
        <v>North</v>
      </c>
      <c r="T365" s="25" t="str">
        <f>C365&amp;"|"&amp;TEXT(tbl_clean_sales[[#This Row],[Date]],"yyyymm")</f>
        <v>E003|202604</v>
      </c>
      <c r="U365" s="25">
        <f>IFERROR(INDEX('05_Target_Master'!$A$1:$F$32,MATCH(tbl_clean_sales[[#This Row],[target key]],'05_Target_Master'!$F$1:$F$32,0),3),"Missing")</f>
        <v>116600</v>
      </c>
    </row>
    <row r="366" spans="1:21" x14ac:dyDescent="0.3">
      <c r="A366" s="21">
        <v>46163</v>
      </c>
      <c r="B366" s="22" t="s">
        <v>398</v>
      </c>
      <c r="C366" s="22" t="s">
        <v>38</v>
      </c>
      <c r="D366" s="22" t="s">
        <v>53</v>
      </c>
      <c r="E366" s="22" t="s">
        <v>26</v>
      </c>
      <c r="F366" s="22">
        <v>1</v>
      </c>
      <c r="G366" s="23">
        <v>349.61</v>
      </c>
      <c r="H366" s="25" t="str">
        <f>IF(COUNTIF(tbl_clean_sales[Invoice_ID],tbl_clean_sales[[#This Row],[Invoice_ID]])&gt;1,"Duplicate","Unique")</f>
        <v>Unique</v>
      </c>
      <c r="I366" s="25"/>
      <c r="J36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6" s="25" t="str">
        <f>IFERROR(VLOOKUP(tbl_clean_sales[[#This Row],[Employee_ID]],'02_Employee_Master'!$A$1:$C$12,2,FALSE),"Employee Name Missing")</f>
        <v>Nandhini K</v>
      </c>
      <c r="L366" s="25" t="str">
        <f>IFERROR(VLOOKUP(tbl_clean_sales[[#This Row],[Employee_ID]],'02_Employee_Master'!$A$1:$C$12,3,FALSE),"Department Name Missing")</f>
        <v>Sales</v>
      </c>
      <c r="M366" s="25" t="str">
        <f>IF('03_Clean_data'!D366="","Missing",IFERROR(IF(VLOOKUP(D366,'03_Product_Master'!$A$1:$D$14,1,FALSE)='03_Clean_data'!D366,"Valid","Invalid"),"Invalid"))</f>
        <v>Valid</v>
      </c>
      <c r="N366" s="25" t="str">
        <f>IFERROR(VLOOKUP(tbl_clean_sales[[#This Row],[Product_ID]],'03_Product_Master'!$A$1:$D$14,2,FALSE),"Missing")</f>
        <v>Instant Coffee</v>
      </c>
      <c r="O366" s="25" t="str">
        <f>IFERROR(VLOOKUP(tbl_clean_sales[[#This Row],[Product_ID]],'03_Product_Master'!$A$1:$D$14,3,FALSE),"Missing")</f>
        <v>Beverages</v>
      </c>
      <c r="P366" s="25">
        <f>IFERROR(VLOOKUP(tbl_clean_sales[[#This Row],[Product_ID]],'03_Product_Master'!$A$1:$D$14,4,FALSE),"Missing")</f>
        <v>350</v>
      </c>
      <c r="Q366" s="25" t="str">
        <f>IF('03_Clean_data'!E366="","Missing",IFERROR(IF(VLOOKUP(E366,'04_Branch_Master'!$A$1:$C$7,1,FALSE)='03_Clean_data'!E366,"Valid","Invalid"),"Invalid"))</f>
        <v>Valid</v>
      </c>
      <c r="R366" s="25" t="str">
        <f>IFERROR(VLOOKUP(tbl_clean_sales[[#This Row],[Branch_ID]],'04_Branch_Master'!$A$1:$C$7,2,FALSE),"Missing")</f>
        <v>Palladam</v>
      </c>
      <c r="S366" s="25" t="str">
        <f>IFERROR(VLOOKUP(tbl_clean_sales[[#This Row],[Branch_ID]],'04_Branch_Master'!$A$1:$C$7,3,FALSE),"Missing")</f>
        <v>South</v>
      </c>
      <c r="T366" s="25" t="str">
        <f>C366&amp;"|"&amp;TEXT(tbl_clean_sales[[#This Row],[Date]],"yyyymm")</f>
        <v>E008|202605</v>
      </c>
      <c r="U366" s="25">
        <f>IFERROR(INDEX('05_Target_Master'!$A$1:$F$32,MATCH(tbl_clean_sales[[#This Row],[target key]],'05_Target_Master'!$F$1:$F$32,0),3),"Missing")</f>
        <v>134100</v>
      </c>
    </row>
    <row r="367" spans="1:21" x14ac:dyDescent="0.3">
      <c r="A367" s="21">
        <v>46185</v>
      </c>
      <c r="B367" s="22" t="s">
        <v>399</v>
      </c>
      <c r="C367" s="22" t="s">
        <v>29</v>
      </c>
      <c r="D367" s="22" t="s">
        <v>9</v>
      </c>
      <c r="E367" s="22" t="s">
        <v>26</v>
      </c>
      <c r="F367" s="22">
        <v>5</v>
      </c>
      <c r="G367" s="23">
        <v>1323.67</v>
      </c>
      <c r="H367" s="25" t="str">
        <f>IF(COUNTIF(tbl_clean_sales[Invoice_ID],tbl_clean_sales[[#This Row],[Invoice_ID]])&gt;1,"Duplicate","Unique")</f>
        <v>Unique</v>
      </c>
      <c r="I367" s="25"/>
      <c r="J36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7" s="25" t="str">
        <f>IFERROR(VLOOKUP(tbl_clean_sales[[#This Row],[Employee_ID]],'02_Employee_Master'!$A$1:$C$12,2,FALSE),"Employee Name Missing")</f>
        <v>Swetha L</v>
      </c>
      <c r="L367" s="25" t="str">
        <f>IFERROR(VLOOKUP(tbl_clean_sales[[#This Row],[Employee_ID]],'02_Employee_Master'!$A$1:$C$12,3,FALSE),"Department Name Missing")</f>
        <v>Sales</v>
      </c>
      <c r="M367" s="25" t="str">
        <f>IF('03_Clean_data'!D367="","Missing",IFERROR(IF(VLOOKUP(D367,'03_Product_Master'!$A$1:$D$14,1,FALSE)='03_Clean_data'!D367,"Valid","Invalid"),"Invalid"))</f>
        <v>Valid</v>
      </c>
      <c r="N367" s="25" t="str">
        <f>IFERROR(VLOOKUP(tbl_clean_sales[[#This Row],[Product_ID]],'03_Product_Master'!$A$1:$D$14,2,FALSE),"Missing")</f>
        <v>Green Tea</v>
      </c>
      <c r="O367" s="25" t="str">
        <f>IFERROR(VLOOKUP(tbl_clean_sales[[#This Row],[Product_ID]],'03_Product_Master'!$A$1:$D$14,3,FALSE),"Missing")</f>
        <v>Beverages</v>
      </c>
      <c r="P367" s="25">
        <f>IFERROR(VLOOKUP(tbl_clean_sales[[#This Row],[Product_ID]],'03_Product_Master'!$A$1:$D$14,4,FALSE),"Missing")</f>
        <v>280</v>
      </c>
      <c r="Q367" s="25" t="str">
        <f>IF('03_Clean_data'!E367="","Missing",IFERROR(IF(VLOOKUP(E367,'04_Branch_Master'!$A$1:$C$7,1,FALSE)='03_Clean_data'!E367,"Valid","Invalid"),"Invalid"))</f>
        <v>Valid</v>
      </c>
      <c r="R367" s="25" t="str">
        <f>IFERROR(VLOOKUP(tbl_clean_sales[[#This Row],[Branch_ID]],'04_Branch_Master'!$A$1:$C$7,2,FALSE),"Missing")</f>
        <v>Palladam</v>
      </c>
      <c r="S367" s="25" t="str">
        <f>IFERROR(VLOOKUP(tbl_clean_sales[[#This Row],[Branch_ID]],'04_Branch_Master'!$A$1:$C$7,3,FALSE),"Missing")</f>
        <v>South</v>
      </c>
      <c r="T367" s="25" t="str">
        <f>C367&amp;"|"&amp;TEXT(tbl_clean_sales[[#This Row],[Date]],"yyyymm")</f>
        <v>E010|202606</v>
      </c>
      <c r="U367" s="25">
        <f>IFERROR(INDEX('05_Target_Master'!$A$1:$F$32,MATCH(tbl_clean_sales[[#This Row],[target key]],'05_Target_Master'!$F$1:$F$32,0),3),"Missing")</f>
        <v>116800</v>
      </c>
    </row>
    <row r="368" spans="1:21" x14ac:dyDescent="0.3">
      <c r="A368" s="21">
        <v>46195</v>
      </c>
      <c r="B368" s="22" t="s">
        <v>400</v>
      </c>
      <c r="C368" s="22" t="s">
        <v>8</v>
      </c>
      <c r="D368" s="22" t="s">
        <v>13</v>
      </c>
      <c r="E368" s="22" t="s">
        <v>10</v>
      </c>
      <c r="F368" s="22">
        <v>3</v>
      </c>
      <c r="G368" s="23">
        <v>1050.51</v>
      </c>
      <c r="H368" s="25" t="str">
        <f>IF(COUNTIF(tbl_clean_sales[Invoice_ID],tbl_clean_sales[[#This Row],[Invoice_ID]])&gt;1,"Duplicate","Unique")</f>
        <v>Unique</v>
      </c>
      <c r="I368" s="25"/>
      <c r="J36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8" s="25" t="str">
        <f>IFERROR(VLOOKUP(tbl_clean_sales[[#This Row],[Employee_ID]],'02_Employee_Master'!$A$1:$C$12,2,FALSE),"Employee Name Missing")</f>
        <v>Vignesh R</v>
      </c>
      <c r="L368" s="25" t="str">
        <f>IFERROR(VLOOKUP(tbl_clean_sales[[#This Row],[Employee_ID]],'02_Employee_Master'!$A$1:$C$12,3,FALSE),"Department Name Missing")</f>
        <v>Sales</v>
      </c>
      <c r="M368" s="25" t="str">
        <f>IF('03_Clean_data'!D368="","Missing",IFERROR(IF(VLOOKUP(D368,'03_Product_Master'!$A$1:$D$14,1,FALSE)='03_Clean_data'!D368,"Valid","Invalid"),"Invalid"))</f>
        <v>Valid</v>
      </c>
      <c r="N368" s="25" t="str">
        <f>IFERROR(VLOOKUP(tbl_clean_sales[[#This Row],[Product_ID]],'03_Product_Master'!$A$1:$D$14,2,FALSE),"Missing")</f>
        <v>Body Lotion</v>
      </c>
      <c r="O368" s="25" t="str">
        <f>IFERROR(VLOOKUP(tbl_clean_sales[[#This Row],[Product_ID]],'03_Product_Master'!$A$1:$D$14,3,FALSE),"Missing")</f>
        <v>Personal Care</v>
      </c>
      <c r="P368" s="25">
        <f>IFERROR(VLOOKUP(tbl_clean_sales[[#This Row],[Product_ID]],'03_Product_Master'!$A$1:$D$14,4,FALSE),"Missing")</f>
        <v>390</v>
      </c>
      <c r="Q368" s="25" t="str">
        <f>IF('03_Clean_data'!E368="","Missing",IFERROR(IF(VLOOKUP(E368,'04_Branch_Master'!$A$1:$C$7,1,FALSE)='03_Clean_data'!E368,"Valid","Invalid"),"Invalid"))</f>
        <v>Valid</v>
      </c>
      <c r="R368" s="25" t="str">
        <f>IFERROR(VLOOKUP(tbl_clean_sales[[#This Row],[Branch_ID]],'04_Branch_Master'!$A$1:$C$7,2,FALSE),"Missing")</f>
        <v>Dharapuram</v>
      </c>
      <c r="S368" s="25" t="str">
        <f>IFERROR(VLOOKUP(tbl_clean_sales[[#This Row],[Branch_ID]],'04_Branch_Master'!$A$1:$C$7,3,FALSE),"Missing")</f>
        <v>South</v>
      </c>
      <c r="T368" s="25" t="str">
        <f>C368&amp;"|"&amp;TEXT(tbl_clean_sales[[#This Row],[Date]],"yyyymm")</f>
        <v>E009|202606</v>
      </c>
      <c r="U368" s="25">
        <f>IFERROR(INDEX('05_Target_Master'!$A$1:$F$32,MATCH(tbl_clean_sales[[#This Row],[target key]],'05_Target_Master'!$F$1:$F$32,0),3),"Missing")</f>
        <v>156700</v>
      </c>
    </row>
    <row r="369" spans="1:21" x14ac:dyDescent="0.3">
      <c r="A369" s="21" t="s">
        <v>401</v>
      </c>
      <c r="B369" s="22" t="s">
        <v>402</v>
      </c>
      <c r="C369" s="22" t="s">
        <v>24</v>
      </c>
      <c r="D369" s="22" t="s">
        <v>30</v>
      </c>
      <c r="E369" s="22" t="s">
        <v>26</v>
      </c>
      <c r="F369" s="22">
        <v>3</v>
      </c>
      <c r="G369" s="23">
        <v>437.89</v>
      </c>
      <c r="H369" s="25" t="str">
        <f>IF(COUNTIF(tbl_clean_sales[Invoice_ID],tbl_clean_sales[[#This Row],[Invoice_ID]])&gt;1,"Duplicate","Unique")</f>
        <v>Unique</v>
      </c>
      <c r="I369" s="25"/>
      <c r="J36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69" s="25" t="str">
        <f>IFERROR(VLOOKUP(tbl_clean_sales[[#This Row],[Employee_ID]],'02_Employee_Master'!$A$1:$C$12,2,FALSE),"Employee Name Missing")</f>
        <v>Karthik P</v>
      </c>
      <c r="L369" s="25" t="str">
        <f>IFERROR(VLOOKUP(tbl_clean_sales[[#This Row],[Employee_ID]],'02_Employee_Master'!$A$1:$C$12,3,FALSE),"Department Name Missing")</f>
        <v>Sales</v>
      </c>
      <c r="M369" s="25" t="str">
        <f>IF('03_Clean_data'!D369="","Missing",IFERROR(IF(VLOOKUP(D369,'03_Product_Master'!$A$1:$D$14,1,FALSE)='03_Clean_data'!D369,"Valid","Invalid"),"Invalid"))</f>
        <v>Valid</v>
      </c>
      <c r="N369" s="25" t="str">
        <f>IFERROR(VLOOKUP(tbl_clean_sales[[#This Row],[Product_ID]],'03_Product_Master'!$A$1:$D$14,2,FALSE),"Missing")</f>
        <v>Cookies Pack</v>
      </c>
      <c r="O369" s="25" t="str">
        <f>IFERROR(VLOOKUP(tbl_clean_sales[[#This Row],[Product_ID]],'03_Product_Master'!$A$1:$D$14,3,FALSE),"Missing")</f>
        <v>Snacks</v>
      </c>
      <c r="P369" s="25">
        <f>IFERROR(VLOOKUP(tbl_clean_sales[[#This Row],[Product_ID]],'03_Product_Master'!$A$1:$D$14,4,FALSE),"Missing")</f>
        <v>160</v>
      </c>
      <c r="Q369" s="25" t="str">
        <f>IF('03_Clean_data'!E369="","Missing",IFERROR(IF(VLOOKUP(E369,'04_Branch_Master'!$A$1:$C$7,1,FALSE)='03_Clean_data'!E369,"Valid","Invalid"),"Invalid"))</f>
        <v>Valid</v>
      </c>
      <c r="R369" s="25" t="str">
        <f>IFERROR(VLOOKUP(tbl_clean_sales[[#This Row],[Branch_ID]],'04_Branch_Master'!$A$1:$C$7,2,FALSE),"Missing")</f>
        <v>Palladam</v>
      </c>
      <c r="S369" s="25" t="str">
        <f>IFERROR(VLOOKUP(tbl_clean_sales[[#This Row],[Branch_ID]],'04_Branch_Master'!$A$1:$C$7,3,FALSE),"Missing")</f>
        <v>South</v>
      </c>
      <c r="T369" s="25" t="str">
        <f>C369&amp;"|"&amp;TEXT(tbl_clean_sales[[#This Row],[Date]],"yyyymm")</f>
        <v>E005|2026/13/05</v>
      </c>
      <c r="U369" s="25" t="str">
        <f>IFERROR(INDEX('05_Target_Master'!$A$1:$F$32,MATCH(tbl_clean_sales[[#This Row],[target key]],'05_Target_Master'!$F$1:$F$32,0),3),"Missing")</f>
        <v>Missing</v>
      </c>
    </row>
    <row r="370" spans="1:21" x14ac:dyDescent="0.3">
      <c r="A370" s="21">
        <v>46195</v>
      </c>
      <c r="B370" s="22" t="s">
        <v>403</v>
      </c>
      <c r="C370" s="22" t="s">
        <v>24</v>
      </c>
      <c r="D370" s="22" t="s">
        <v>19</v>
      </c>
      <c r="E370" s="22" t="s">
        <v>26</v>
      </c>
      <c r="F370" s="22">
        <v>12</v>
      </c>
      <c r="G370" s="23">
        <v>2648.35</v>
      </c>
      <c r="H370" s="25" t="str">
        <f>IF(COUNTIF(tbl_clean_sales[Invoice_ID],tbl_clean_sales[[#This Row],[Invoice_ID]])&gt;1,"Duplicate","Unique")</f>
        <v>Unique</v>
      </c>
      <c r="I370" s="25"/>
      <c r="J37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0" s="25" t="str">
        <f>IFERROR(VLOOKUP(tbl_clean_sales[[#This Row],[Employee_ID]],'02_Employee_Master'!$A$1:$C$12,2,FALSE),"Employee Name Missing")</f>
        <v>Karthik P</v>
      </c>
      <c r="L370" s="25" t="str">
        <f>IFERROR(VLOOKUP(tbl_clean_sales[[#This Row],[Employee_ID]],'02_Employee_Master'!$A$1:$C$12,3,FALSE),"Department Name Missing")</f>
        <v>Sales</v>
      </c>
      <c r="M370" s="25" t="str">
        <f>IF('03_Clean_data'!D370="","Missing",IFERROR(IF(VLOOKUP(D370,'03_Product_Master'!$A$1:$D$14,1,FALSE)='03_Clean_data'!D370,"Valid","Invalid"),"Invalid"))</f>
        <v>Valid</v>
      </c>
      <c r="N370" s="25" t="str">
        <f>IFERROR(VLOOKUP(tbl_clean_sales[[#This Row],[Product_ID]],'03_Product_Master'!$A$1:$D$14,2,FALSE),"Missing")</f>
        <v>Floor Cleaner</v>
      </c>
      <c r="O370" s="25" t="str">
        <f>IFERROR(VLOOKUP(tbl_clean_sales[[#This Row],[Product_ID]],'03_Product_Master'!$A$1:$D$14,3,FALSE),"Missing")</f>
        <v>Home Care</v>
      </c>
      <c r="P370" s="25">
        <f>IFERROR(VLOOKUP(tbl_clean_sales[[#This Row],[Product_ID]],'03_Product_Master'!$A$1:$D$14,4,FALSE),"Missing")</f>
        <v>230</v>
      </c>
      <c r="Q370" s="25" t="str">
        <f>IF('03_Clean_data'!E370="","Missing",IFERROR(IF(VLOOKUP(E370,'04_Branch_Master'!$A$1:$C$7,1,FALSE)='03_Clean_data'!E370,"Valid","Invalid"),"Invalid"))</f>
        <v>Valid</v>
      </c>
      <c r="R370" s="25" t="str">
        <f>IFERROR(VLOOKUP(tbl_clean_sales[[#This Row],[Branch_ID]],'04_Branch_Master'!$A$1:$C$7,2,FALSE),"Missing")</f>
        <v>Palladam</v>
      </c>
      <c r="S370" s="25" t="str">
        <f>IFERROR(VLOOKUP(tbl_clean_sales[[#This Row],[Branch_ID]],'04_Branch_Master'!$A$1:$C$7,3,FALSE),"Missing")</f>
        <v>South</v>
      </c>
      <c r="T370" s="25" t="str">
        <f>C370&amp;"|"&amp;TEXT(tbl_clean_sales[[#This Row],[Date]],"yyyymm")</f>
        <v>E005|202606</v>
      </c>
      <c r="U370" s="25">
        <f>IFERROR(INDEX('05_Target_Master'!$A$1:$F$32,MATCH(tbl_clean_sales[[#This Row],[target key]],'05_Target_Master'!$F$1:$F$32,0),3),"Missing")</f>
        <v>127700</v>
      </c>
    </row>
    <row r="371" spans="1:21" x14ac:dyDescent="0.3">
      <c r="A371" s="21">
        <v>46150</v>
      </c>
      <c r="B371" s="22" t="s">
        <v>404</v>
      </c>
      <c r="C371" s="22" t="s">
        <v>29</v>
      </c>
      <c r="D371" s="22" t="s">
        <v>43</v>
      </c>
      <c r="E371" s="22" t="s">
        <v>10</v>
      </c>
      <c r="F371" s="22">
        <v>3</v>
      </c>
      <c r="G371" s="23">
        <v>945.22</v>
      </c>
      <c r="H371" s="25" t="str">
        <f>IF(COUNTIF(tbl_clean_sales[Invoice_ID],tbl_clean_sales[[#This Row],[Invoice_ID]])&gt;1,"Duplicate","Unique")</f>
        <v>Unique</v>
      </c>
      <c r="I371" s="25"/>
      <c r="J37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1" s="25" t="str">
        <f>IFERROR(VLOOKUP(tbl_clean_sales[[#This Row],[Employee_ID]],'02_Employee_Master'!$A$1:$C$12,2,FALSE),"Employee Name Missing")</f>
        <v>Swetha L</v>
      </c>
      <c r="L371" s="25" t="str">
        <f>IFERROR(VLOOKUP(tbl_clean_sales[[#This Row],[Employee_ID]],'02_Employee_Master'!$A$1:$C$12,3,FALSE),"Department Name Missing")</f>
        <v>Sales</v>
      </c>
      <c r="M371" s="25" t="str">
        <f>IF('03_Clean_data'!D371="","Missing",IFERROR(IF(VLOOKUP(D371,'03_Product_Master'!$A$1:$D$14,1,FALSE)='03_Clean_data'!D371,"Valid","Invalid"),"Invalid"))</f>
        <v>Valid</v>
      </c>
      <c r="N371" s="25" t="str">
        <f>IFERROR(VLOOKUP(tbl_clean_sales[[#This Row],[Product_ID]],'03_Product_Master'!$A$1:$D$14,2,FALSE),"Missing")</f>
        <v>Laundry Liquid</v>
      </c>
      <c r="O371" s="25" t="str">
        <f>IFERROR(VLOOKUP(tbl_clean_sales[[#This Row],[Product_ID]],'03_Product_Master'!$A$1:$D$14,3,FALSE),"Missing")</f>
        <v>Home Care</v>
      </c>
      <c r="P371" s="25">
        <f>IFERROR(VLOOKUP(tbl_clean_sales[[#This Row],[Product_ID]],'03_Product_Master'!$A$1:$D$14,4,FALSE),"Missing")</f>
        <v>340</v>
      </c>
      <c r="Q371" s="25" t="str">
        <f>IF('03_Clean_data'!E371="","Missing",IFERROR(IF(VLOOKUP(E371,'04_Branch_Master'!$A$1:$C$7,1,FALSE)='03_Clean_data'!E371,"Valid","Invalid"),"Invalid"))</f>
        <v>Valid</v>
      </c>
      <c r="R371" s="25" t="str">
        <f>IFERROR(VLOOKUP(tbl_clean_sales[[#This Row],[Branch_ID]],'04_Branch_Master'!$A$1:$C$7,2,FALSE),"Missing")</f>
        <v>Dharapuram</v>
      </c>
      <c r="S371" s="25" t="str">
        <f>IFERROR(VLOOKUP(tbl_clean_sales[[#This Row],[Branch_ID]],'04_Branch_Master'!$A$1:$C$7,3,FALSE),"Missing")</f>
        <v>South</v>
      </c>
      <c r="T371" s="25" t="str">
        <f>C371&amp;"|"&amp;TEXT(tbl_clean_sales[[#This Row],[Date]],"yyyymm")</f>
        <v>E010|202605</v>
      </c>
      <c r="U371" s="25">
        <f>IFERROR(INDEX('05_Target_Master'!$A$1:$F$32,MATCH(tbl_clean_sales[[#This Row],[target key]],'05_Target_Master'!$F$1:$F$32,0),3),"Missing")</f>
        <v>131500</v>
      </c>
    </row>
    <row r="372" spans="1:21" x14ac:dyDescent="0.3">
      <c r="A372" s="21">
        <v>46194</v>
      </c>
      <c r="B372" s="22" t="s">
        <v>405</v>
      </c>
      <c r="C372" s="22" t="s">
        <v>46</v>
      </c>
      <c r="D372" s="22" t="s">
        <v>16</v>
      </c>
      <c r="E372" s="22" t="s">
        <v>32</v>
      </c>
      <c r="F372" s="22">
        <v>2</v>
      </c>
      <c r="G372" s="23">
        <v>590.17999999999995</v>
      </c>
      <c r="H372" s="25" t="str">
        <f>IF(COUNTIF(tbl_clean_sales[Invoice_ID],tbl_clean_sales[[#This Row],[Invoice_ID]])&gt;1,"Duplicate","Unique")</f>
        <v>Unique</v>
      </c>
      <c r="I372" s="25"/>
      <c r="J37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2" s="25" t="str">
        <f>IFERROR(VLOOKUP(tbl_clean_sales[[#This Row],[Employee_ID]],'02_Employee_Master'!$A$1:$C$12,2,FALSE),"Employee Name Missing")</f>
        <v>Suresh B</v>
      </c>
      <c r="L372" s="25" t="str">
        <f>IFERROR(VLOOKUP(tbl_clean_sales[[#This Row],[Employee_ID]],'02_Employee_Master'!$A$1:$C$12,3,FALSE),"Department Name Missing")</f>
        <v>Sales</v>
      </c>
      <c r="M372" s="25" t="str">
        <f>IF('03_Clean_data'!D372="","Missing",IFERROR(IF(VLOOKUP(D372,'03_Product_Master'!$A$1:$D$14,1,FALSE)='03_Clean_data'!D372,"Valid","Invalid"),"Invalid"))</f>
        <v>Valid</v>
      </c>
      <c r="N372" s="25" t="str">
        <f>IFERROR(VLOOKUP(tbl_clean_sales[[#This Row],[Product_ID]],'03_Product_Master'!$A$1:$D$14,2,FALSE),"Missing")</f>
        <v>Shampoo</v>
      </c>
      <c r="O372" s="25" t="str">
        <f>IFERROR(VLOOKUP(tbl_clean_sales[[#This Row],[Product_ID]],'03_Product_Master'!$A$1:$D$14,3,FALSE),"Missing")</f>
        <v>Personal Care</v>
      </c>
      <c r="P372" s="25">
        <f>IFERROR(VLOOKUP(tbl_clean_sales[[#This Row],[Product_ID]],'03_Product_Master'!$A$1:$D$14,4,FALSE),"Missing")</f>
        <v>310</v>
      </c>
      <c r="Q372" s="25" t="str">
        <f>IF('03_Clean_data'!E372="","Missing",IFERROR(IF(VLOOKUP(E372,'04_Branch_Master'!$A$1:$C$7,1,FALSE)='03_Clean_data'!E372,"Valid","Invalid"),"Invalid"))</f>
        <v>Valid</v>
      </c>
      <c r="R372" s="25" t="str">
        <f>IFERROR(VLOOKUP(tbl_clean_sales[[#This Row],[Branch_ID]],'04_Branch_Master'!$A$1:$C$7,2,FALSE),"Missing")</f>
        <v>Kangeyam</v>
      </c>
      <c r="S372" s="25" t="str">
        <f>IFERROR(VLOOKUP(tbl_clean_sales[[#This Row],[Branch_ID]],'04_Branch_Master'!$A$1:$C$7,3,FALSE),"Missing")</f>
        <v>East</v>
      </c>
      <c r="T372" s="25" t="str">
        <f>C372&amp;"|"&amp;TEXT(tbl_clean_sales[[#This Row],[Date]],"yyyymm")</f>
        <v>E007|202606</v>
      </c>
      <c r="U372" s="25">
        <f>IFERROR(INDEX('05_Target_Master'!$A$1:$F$32,MATCH(tbl_clean_sales[[#This Row],[target key]],'05_Target_Master'!$F$1:$F$32,0),3),"Missing")</f>
        <v>124400</v>
      </c>
    </row>
    <row r="373" spans="1:21" x14ac:dyDescent="0.3">
      <c r="A373" s="21">
        <v>46125</v>
      </c>
      <c r="B373" s="22" t="s">
        <v>406</v>
      </c>
      <c r="C373" s="22" t="s">
        <v>18</v>
      </c>
      <c r="D373" s="22" t="s">
        <v>53</v>
      </c>
      <c r="E373" s="22" t="s">
        <v>14</v>
      </c>
      <c r="F373" s="22">
        <v>4</v>
      </c>
      <c r="G373" s="23">
        <v>1398.85</v>
      </c>
      <c r="H373" s="25" t="str">
        <f>IF(COUNTIF(tbl_clean_sales[Invoice_ID],tbl_clean_sales[[#This Row],[Invoice_ID]])&gt;1,"Duplicate","Unique")</f>
        <v>Unique</v>
      </c>
      <c r="I373" s="25"/>
      <c r="J37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3" s="25" t="str">
        <f>IFERROR(VLOOKUP(tbl_clean_sales[[#This Row],[Employee_ID]],'02_Employee_Master'!$A$1:$C$12,2,FALSE),"Employee Name Missing")</f>
        <v>Rahul M</v>
      </c>
      <c r="L373" s="25" t="str">
        <f>IFERROR(VLOOKUP(tbl_clean_sales[[#This Row],[Employee_ID]],'02_Employee_Master'!$A$1:$C$12,3,FALSE),"Department Name Missing")</f>
        <v>Sales</v>
      </c>
      <c r="M373" s="25" t="str">
        <f>IF('03_Clean_data'!D373="","Missing",IFERROR(IF(VLOOKUP(D373,'03_Product_Master'!$A$1:$D$14,1,FALSE)='03_Clean_data'!D373,"Valid","Invalid"),"Invalid"))</f>
        <v>Valid</v>
      </c>
      <c r="N373" s="25" t="str">
        <f>IFERROR(VLOOKUP(tbl_clean_sales[[#This Row],[Product_ID]],'03_Product_Master'!$A$1:$D$14,2,FALSE),"Missing")</f>
        <v>Instant Coffee</v>
      </c>
      <c r="O373" s="25" t="str">
        <f>IFERROR(VLOOKUP(tbl_clean_sales[[#This Row],[Product_ID]],'03_Product_Master'!$A$1:$D$14,3,FALSE),"Missing")</f>
        <v>Beverages</v>
      </c>
      <c r="P373" s="25">
        <f>IFERROR(VLOOKUP(tbl_clean_sales[[#This Row],[Product_ID]],'03_Product_Master'!$A$1:$D$14,4,FALSE),"Missing")</f>
        <v>350</v>
      </c>
      <c r="Q373" s="25" t="str">
        <f>IF('03_Clean_data'!E373="","Missing",IFERROR(IF(VLOOKUP(E373,'04_Branch_Master'!$A$1:$C$7,1,FALSE)='03_Clean_data'!E373,"Valid","Invalid"),"Invalid"))</f>
        <v>Valid</v>
      </c>
      <c r="R373" s="25" t="str">
        <f>IFERROR(VLOOKUP(tbl_clean_sales[[#This Row],[Branch_ID]],'04_Branch_Master'!$A$1:$C$7,2,FALSE),"Missing")</f>
        <v>Avinashi Road</v>
      </c>
      <c r="S373" s="25" t="str">
        <f>IFERROR(VLOOKUP(tbl_clean_sales[[#This Row],[Branch_ID]],'04_Branch_Master'!$A$1:$C$7,3,FALSE),"Missing")</f>
        <v>North</v>
      </c>
      <c r="T373" s="25" t="str">
        <f>C373&amp;"|"&amp;TEXT(tbl_clean_sales[[#This Row],[Date]],"yyyymm")</f>
        <v>E003|202604</v>
      </c>
      <c r="U373" s="25">
        <f>IFERROR(INDEX('05_Target_Master'!$A$1:$F$32,MATCH(tbl_clean_sales[[#This Row],[target key]],'05_Target_Master'!$F$1:$F$32,0),3),"Missing")</f>
        <v>116600</v>
      </c>
    </row>
    <row r="374" spans="1:21" x14ac:dyDescent="0.3">
      <c r="A374" s="21">
        <v>46162</v>
      </c>
      <c r="B374" s="22" t="s">
        <v>407</v>
      </c>
      <c r="C374" s="22" t="s">
        <v>12</v>
      </c>
      <c r="D374" s="22" t="s">
        <v>48</v>
      </c>
      <c r="E374" s="22" t="s">
        <v>14</v>
      </c>
      <c r="F374" s="22">
        <v>6</v>
      </c>
      <c r="G374" s="23">
        <v>1503.48</v>
      </c>
      <c r="H374" s="25" t="str">
        <f>IF(COUNTIF(tbl_clean_sales[Invoice_ID],tbl_clean_sales[[#This Row],[Invoice_ID]])&gt;1,"Duplicate","Unique")</f>
        <v>Unique</v>
      </c>
      <c r="I374" s="25"/>
      <c r="J37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4" s="25" t="str">
        <f>IFERROR(VLOOKUP(tbl_clean_sales[[#This Row],[Employee_ID]],'02_Employee_Master'!$A$1:$C$12,2,FALSE),"Employee Name Missing")</f>
        <v>Divya R</v>
      </c>
      <c r="L374" s="25" t="str">
        <f>IFERROR(VLOOKUP(tbl_clean_sales[[#This Row],[Employee_ID]],'02_Employee_Master'!$A$1:$C$12,3,FALSE),"Department Name Missing")</f>
        <v>Sales</v>
      </c>
      <c r="M374" s="25" t="str">
        <f>IF('03_Clean_data'!D374="","Missing",IFERROR(IF(VLOOKUP(D374,'03_Product_Master'!$A$1:$D$14,1,FALSE)='03_Clean_data'!D374,"Valid","Invalid"),"Invalid"))</f>
        <v>Valid</v>
      </c>
      <c r="N374" s="25" t="str">
        <f>IFERROR(VLOOKUP(tbl_clean_sales[[#This Row],[Product_ID]],'03_Product_Master'!$A$1:$D$14,2,FALSE),"Missing")</f>
        <v>Face Wash</v>
      </c>
      <c r="O374" s="25" t="str">
        <f>IFERROR(VLOOKUP(tbl_clean_sales[[#This Row],[Product_ID]],'03_Product_Master'!$A$1:$D$14,3,FALSE),"Missing")</f>
        <v>Personal Care</v>
      </c>
      <c r="P374" s="25">
        <f>IFERROR(VLOOKUP(tbl_clean_sales[[#This Row],[Product_ID]],'03_Product_Master'!$A$1:$D$14,4,FALSE),"Missing")</f>
        <v>260</v>
      </c>
      <c r="Q374" s="25" t="str">
        <f>IF('03_Clean_data'!E374="","Missing",IFERROR(IF(VLOOKUP(E374,'04_Branch_Master'!$A$1:$C$7,1,FALSE)='03_Clean_data'!E374,"Valid","Invalid"),"Invalid"))</f>
        <v>Valid</v>
      </c>
      <c r="R374" s="25" t="str">
        <f>IFERROR(VLOOKUP(tbl_clean_sales[[#This Row],[Branch_ID]],'04_Branch_Master'!$A$1:$C$7,2,FALSE),"Missing")</f>
        <v>Avinashi Road</v>
      </c>
      <c r="S374" s="25" t="str">
        <f>IFERROR(VLOOKUP(tbl_clean_sales[[#This Row],[Branch_ID]],'04_Branch_Master'!$A$1:$C$7,3,FALSE),"Missing")</f>
        <v>North</v>
      </c>
      <c r="T374" s="25" t="str">
        <f>C374&amp;"|"&amp;TEXT(tbl_clean_sales[[#This Row],[Date]],"yyyymm")</f>
        <v>E004|202605</v>
      </c>
      <c r="U374" s="25">
        <f>IFERROR(INDEX('05_Target_Master'!$A$1:$F$32,MATCH(tbl_clean_sales[[#This Row],[target key]],'05_Target_Master'!$F$1:$F$32,0),3),"Missing")</f>
        <v>176700</v>
      </c>
    </row>
    <row r="375" spans="1:21" x14ac:dyDescent="0.3">
      <c r="A375" s="21">
        <v>46186</v>
      </c>
      <c r="B375" s="22" t="s">
        <v>408</v>
      </c>
      <c r="C375" s="22" t="s">
        <v>74</v>
      </c>
      <c r="D375" s="22" t="s">
        <v>82</v>
      </c>
      <c r="E375" s="22" t="s">
        <v>22</v>
      </c>
      <c r="F375" s="22">
        <v>12</v>
      </c>
      <c r="G375" s="23">
        <v>1399.17</v>
      </c>
      <c r="H375" s="25" t="str">
        <f>IF(COUNTIF(tbl_clean_sales[Invoice_ID],tbl_clean_sales[[#This Row],[Invoice_ID]])&gt;1,"Duplicate","Unique")</f>
        <v>Unique</v>
      </c>
      <c r="I375" s="25"/>
      <c r="J37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5" s="25" t="str">
        <f>IFERROR(VLOOKUP(tbl_clean_sales[[#This Row],[Employee_ID]],'02_Employee_Master'!$A$1:$C$12,2,FALSE),"Employee Name Missing")</f>
        <v>Arun Kumar</v>
      </c>
      <c r="L375" s="25" t="str">
        <f>IFERROR(VLOOKUP(tbl_clean_sales[[#This Row],[Employee_ID]],'02_Employee_Master'!$A$1:$C$12,3,FALSE),"Department Name Missing")</f>
        <v>Sales</v>
      </c>
      <c r="M375" s="25" t="str">
        <f>IF('03_Clean_data'!D375="","Missing",IFERROR(IF(VLOOKUP(D375,'03_Product_Master'!$A$1:$D$14,1,FALSE)='03_Clean_data'!D375,"Valid","Invalid"),"Invalid"))</f>
        <v>Valid</v>
      </c>
      <c r="N375" s="25" t="str">
        <f>IFERROR(VLOOKUP(tbl_clean_sales[[#This Row],[Product_ID]],'03_Product_Master'!$A$1:$D$14,2,FALSE),"Missing")</f>
        <v>Chocolate Bar</v>
      </c>
      <c r="O375" s="25" t="str">
        <f>IFERROR(VLOOKUP(tbl_clean_sales[[#This Row],[Product_ID]],'03_Product_Master'!$A$1:$D$14,3,FALSE),"Missing")</f>
        <v>Snacks</v>
      </c>
      <c r="P375" s="25">
        <f>IFERROR(VLOOKUP(tbl_clean_sales[[#This Row],[Product_ID]],'03_Product_Master'!$A$1:$D$14,4,FALSE),"Missing")</f>
        <v>120</v>
      </c>
      <c r="Q375" s="25" t="str">
        <f>IF('03_Clean_data'!E375="","Missing",IFERROR(IF(VLOOKUP(E375,'04_Branch_Master'!$A$1:$C$7,1,FALSE)='03_Clean_data'!E375,"Valid","Invalid"),"Invalid"))</f>
        <v>Valid</v>
      </c>
      <c r="R375" s="25" t="str">
        <f>IFERROR(VLOOKUP(tbl_clean_sales[[#This Row],[Branch_ID]],'04_Branch_Master'!$A$1:$C$7,2,FALSE),"Missing")</f>
        <v>Tirupur Central</v>
      </c>
      <c r="S375" s="25" t="str">
        <f>IFERROR(VLOOKUP(tbl_clean_sales[[#This Row],[Branch_ID]],'04_Branch_Master'!$A$1:$C$7,3,FALSE),"Missing")</f>
        <v>North</v>
      </c>
      <c r="T375" s="25" t="str">
        <f>C375&amp;"|"&amp;TEXT(tbl_clean_sales[[#This Row],[Date]],"yyyymm")</f>
        <v>E001|202606</v>
      </c>
      <c r="U375" s="25">
        <f>IFERROR(INDEX('05_Target_Master'!$A$1:$F$32,MATCH(tbl_clean_sales[[#This Row],[target key]],'05_Target_Master'!$F$1:$F$32,0),3),"Missing")</f>
        <v>150600</v>
      </c>
    </row>
    <row r="376" spans="1:21" x14ac:dyDescent="0.3">
      <c r="A376" s="21">
        <v>46198</v>
      </c>
      <c r="B376" s="22" t="s">
        <v>409</v>
      </c>
      <c r="C376" s="22" t="s">
        <v>21</v>
      </c>
      <c r="D376" s="22" t="s">
        <v>48</v>
      </c>
      <c r="E376" s="22" t="s">
        <v>22</v>
      </c>
      <c r="F376" s="22">
        <v>7</v>
      </c>
      <c r="G376" s="23">
        <v>1670.16</v>
      </c>
      <c r="H376" s="25" t="str">
        <f>IF(COUNTIF(tbl_clean_sales[Invoice_ID],tbl_clean_sales[[#This Row],[Invoice_ID]])&gt;1,"Duplicate","Unique")</f>
        <v>Unique</v>
      </c>
      <c r="I376" s="25"/>
      <c r="J37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6" s="25" t="str">
        <f>IFERROR(VLOOKUP(tbl_clean_sales[[#This Row],[Employee_ID]],'02_Employee_Master'!$A$1:$C$12,2,FALSE),"Employee Name Missing")</f>
        <v>Priya S</v>
      </c>
      <c r="L376" s="25" t="str">
        <f>IFERROR(VLOOKUP(tbl_clean_sales[[#This Row],[Employee_ID]],'02_Employee_Master'!$A$1:$C$12,3,FALSE),"Department Name Missing")</f>
        <v>Sales</v>
      </c>
      <c r="M376" s="25" t="str">
        <f>IF('03_Clean_data'!D376="","Missing",IFERROR(IF(VLOOKUP(D376,'03_Product_Master'!$A$1:$D$14,1,FALSE)='03_Clean_data'!D376,"Valid","Invalid"),"Invalid"))</f>
        <v>Valid</v>
      </c>
      <c r="N376" s="25" t="str">
        <f>IFERROR(VLOOKUP(tbl_clean_sales[[#This Row],[Product_ID]],'03_Product_Master'!$A$1:$D$14,2,FALSE),"Missing")</f>
        <v>Face Wash</v>
      </c>
      <c r="O376" s="25" t="str">
        <f>IFERROR(VLOOKUP(tbl_clean_sales[[#This Row],[Product_ID]],'03_Product_Master'!$A$1:$D$14,3,FALSE),"Missing")</f>
        <v>Personal Care</v>
      </c>
      <c r="P376" s="25">
        <f>IFERROR(VLOOKUP(tbl_clean_sales[[#This Row],[Product_ID]],'03_Product_Master'!$A$1:$D$14,4,FALSE),"Missing")</f>
        <v>260</v>
      </c>
      <c r="Q376" s="25" t="str">
        <f>IF('03_Clean_data'!E376="","Missing",IFERROR(IF(VLOOKUP(E376,'04_Branch_Master'!$A$1:$C$7,1,FALSE)='03_Clean_data'!E376,"Valid","Invalid"),"Invalid"))</f>
        <v>Valid</v>
      </c>
      <c r="R376" s="25" t="str">
        <f>IFERROR(VLOOKUP(tbl_clean_sales[[#This Row],[Branch_ID]],'04_Branch_Master'!$A$1:$C$7,2,FALSE),"Missing")</f>
        <v>Tirupur Central</v>
      </c>
      <c r="S376" s="25" t="str">
        <f>IFERROR(VLOOKUP(tbl_clean_sales[[#This Row],[Branch_ID]],'04_Branch_Master'!$A$1:$C$7,3,FALSE),"Missing")</f>
        <v>North</v>
      </c>
      <c r="T376" s="25" t="str">
        <f>C376&amp;"|"&amp;TEXT(tbl_clean_sales[[#This Row],[Date]],"yyyymm")</f>
        <v>E002|202606</v>
      </c>
      <c r="U376" s="25">
        <f>IFERROR(INDEX('05_Target_Master'!$A$1:$F$32,MATCH(tbl_clean_sales[[#This Row],[target key]],'05_Target_Master'!$F$1:$F$32,0),3),"Missing")</f>
        <v>117400</v>
      </c>
    </row>
    <row r="377" spans="1:21" x14ac:dyDescent="0.3">
      <c r="A377" s="21">
        <v>46203</v>
      </c>
      <c r="B377" s="22" t="s">
        <v>410</v>
      </c>
      <c r="C377" s="22" t="s">
        <v>24</v>
      </c>
      <c r="D377" s="22" t="s">
        <v>19</v>
      </c>
      <c r="E377" s="22" t="s">
        <v>26</v>
      </c>
      <c r="F377" s="22">
        <v>5</v>
      </c>
      <c r="G377" s="23">
        <v>1099.28</v>
      </c>
      <c r="H377" s="25" t="str">
        <f>IF(COUNTIF(tbl_clean_sales[Invoice_ID],tbl_clean_sales[[#This Row],[Invoice_ID]])&gt;1,"Duplicate","Unique")</f>
        <v>Unique</v>
      </c>
      <c r="I377" s="25"/>
      <c r="J37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7" s="25" t="str">
        <f>IFERROR(VLOOKUP(tbl_clean_sales[[#This Row],[Employee_ID]],'02_Employee_Master'!$A$1:$C$12,2,FALSE),"Employee Name Missing")</f>
        <v>Karthik P</v>
      </c>
      <c r="L377" s="25" t="str">
        <f>IFERROR(VLOOKUP(tbl_clean_sales[[#This Row],[Employee_ID]],'02_Employee_Master'!$A$1:$C$12,3,FALSE),"Department Name Missing")</f>
        <v>Sales</v>
      </c>
      <c r="M377" s="25" t="str">
        <f>IF('03_Clean_data'!D377="","Missing",IFERROR(IF(VLOOKUP(D377,'03_Product_Master'!$A$1:$D$14,1,FALSE)='03_Clean_data'!D377,"Valid","Invalid"),"Invalid"))</f>
        <v>Valid</v>
      </c>
      <c r="N377" s="25" t="str">
        <f>IFERROR(VLOOKUP(tbl_clean_sales[[#This Row],[Product_ID]],'03_Product_Master'!$A$1:$D$14,2,FALSE),"Missing")</f>
        <v>Floor Cleaner</v>
      </c>
      <c r="O377" s="25" t="str">
        <f>IFERROR(VLOOKUP(tbl_clean_sales[[#This Row],[Product_ID]],'03_Product_Master'!$A$1:$D$14,3,FALSE),"Missing")</f>
        <v>Home Care</v>
      </c>
      <c r="P377" s="25">
        <f>IFERROR(VLOOKUP(tbl_clean_sales[[#This Row],[Product_ID]],'03_Product_Master'!$A$1:$D$14,4,FALSE),"Missing")</f>
        <v>230</v>
      </c>
      <c r="Q377" s="25" t="str">
        <f>IF('03_Clean_data'!E377="","Missing",IFERROR(IF(VLOOKUP(E377,'04_Branch_Master'!$A$1:$C$7,1,FALSE)='03_Clean_data'!E377,"Valid","Invalid"),"Invalid"))</f>
        <v>Valid</v>
      </c>
      <c r="R377" s="25" t="str">
        <f>IFERROR(VLOOKUP(tbl_clean_sales[[#This Row],[Branch_ID]],'04_Branch_Master'!$A$1:$C$7,2,FALSE),"Missing")</f>
        <v>Palladam</v>
      </c>
      <c r="S377" s="25" t="str">
        <f>IFERROR(VLOOKUP(tbl_clean_sales[[#This Row],[Branch_ID]],'04_Branch_Master'!$A$1:$C$7,3,FALSE),"Missing")</f>
        <v>South</v>
      </c>
      <c r="T377" s="25" t="str">
        <f>C377&amp;"|"&amp;TEXT(tbl_clean_sales[[#This Row],[Date]],"yyyymm")</f>
        <v>E005|202606</v>
      </c>
      <c r="U377" s="25">
        <f>IFERROR(INDEX('05_Target_Master'!$A$1:$F$32,MATCH(tbl_clean_sales[[#This Row],[target key]],'05_Target_Master'!$F$1:$F$32,0),3),"Missing")</f>
        <v>127700</v>
      </c>
    </row>
    <row r="378" spans="1:21" x14ac:dyDescent="0.3">
      <c r="A378" s="21">
        <v>46141</v>
      </c>
      <c r="B378" s="22" t="s">
        <v>411</v>
      </c>
      <c r="C378" s="22" t="s">
        <v>12</v>
      </c>
      <c r="D378" s="22" t="s">
        <v>53</v>
      </c>
      <c r="E378" s="22" t="s">
        <v>14</v>
      </c>
      <c r="F378" s="22">
        <v>8</v>
      </c>
      <c r="G378" s="23">
        <v>2548.7600000000002</v>
      </c>
      <c r="H378" s="25" t="str">
        <f>IF(COUNTIF(tbl_clean_sales[Invoice_ID],tbl_clean_sales[[#This Row],[Invoice_ID]])&gt;1,"Duplicate","Unique")</f>
        <v>Unique</v>
      </c>
      <c r="I378" s="25"/>
      <c r="J37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8" s="25" t="str">
        <f>IFERROR(VLOOKUP(tbl_clean_sales[[#This Row],[Employee_ID]],'02_Employee_Master'!$A$1:$C$12,2,FALSE),"Employee Name Missing")</f>
        <v>Divya R</v>
      </c>
      <c r="L378" s="25" t="str">
        <f>IFERROR(VLOOKUP(tbl_clean_sales[[#This Row],[Employee_ID]],'02_Employee_Master'!$A$1:$C$12,3,FALSE),"Department Name Missing")</f>
        <v>Sales</v>
      </c>
      <c r="M378" s="25" t="str">
        <f>IF('03_Clean_data'!D378="","Missing",IFERROR(IF(VLOOKUP(D378,'03_Product_Master'!$A$1:$D$14,1,FALSE)='03_Clean_data'!D378,"Valid","Invalid"),"Invalid"))</f>
        <v>Valid</v>
      </c>
      <c r="N378" s="25" t="str">
        <f>IFERROR(VLOOKUP(tbl_clean_sales[[#This Row],[Product_ID]],'03_Product_Master'!$A$1:$D$14,2,FALSE),"Missing")</f>
        <v>Instant Coffee</v>
      </c>
      <c r="O378" s="25" t="str">
        <f>IFERROR(VLOOKUP(tbl_clean_sales[[#This Row],[Product_ID]],'03_Product_Master'!$A$1:$D$14,3,FALSE),"Missing")</f>
        <v>Beverages</v>
      </c>
      <c r="P378" s="25">
        <f>IFERROR(VLOOKUP(tbl_clean_sales[[#This Row],[Product_ID]],'03_Product_Master'!$A$1:$D$14,4,FALSE),"Missing")</f>
        <v>350</v>
      </c>
      <c r="Q378" s="25" t="str">
        <f>IF('03_Clean_data'!E378="","Missing",IFERROR(IF(VLOOKUP(E378,'04_Branch_Master'!$A$1:$C$7,1,FALSE)='03_Clean_data'!E378,"Valid","Invalid"),"Invalid"))</f>
        <v>Valid</v>
      </c>
      <c r="R378" s="25" t="str">
        <f>IFERROR(VLOOKUP(tbl_clean_sales[[#This Row],[Branch_ID]],'04_Branch_Master'!$A$1:$C$7,2,FALSE),"Missing")</f>
        <v>Avinashi Road</v>
      </c>
      <c r="S378" s="25" t="str">
        <f>IFERROR(VLOOKUP(tbl_clean_sales[[#This Row],[Branch_ID]],'04_Branch_Master'!$A$1:$C$7,3,FALSE),"Missing")</f>
        <v>North</v>
      </c>
      <c r="T378" s="25" t="str">
        <f>C378&amp;"|"&amp;TEXT(tbl_clean_sales[[#This Row],[Date]],"yyyymm")</f>
        <v>E004|202604</v>
      </c>
      <c r="U378" s="25">
        <f>IFERROR(INDEX('05_Target_Master'!$A$1:$F$32,MATCH(tbl_clean_sales[[#This Row],[target key]],'05_Target_Master'!$F$1:$F$32,0),3),"Missing")</f>
        <v>163600</v>
      </c>
    </row>
    <row r="379" spans="1:21" x14ac:dyDescent="0.3">
      <c r="A379" s="21">
        <v>46190</v>
      </c>
      <c r="B379" s="22" t="s">
        <v>412</v>
      </c>
      <c r="C379" s="22" t="s">
        <v>40</v>
      </c>
      <c r="D379" s="22" t="s">
        <v>16</v>
      </c>
      <c r="E379" s="22" t="s">
        <v>26</v>
      </c>
      <c r="F379" s="22">
        <v>8</v>
      </c>
      <c r="G379" s="23">
        <v>2254.61</v>
      </c>
      <c r="H379" s="25" t="str">
        <f>IF(COUNTIF(tbl_clean_sales[Invoice_ID],tbl_clean_sales[[#This Row],[Invoice_ID]])&gt;1,"Duplicate","Unique")</f>
        <v>Unique</v>
      </c>
      <c r="I379" s="25"/>
      <c r="J37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79" s="25" t="str">
        <f>IFERROR(VLOOKUP(tbl_clean_sales[[#This Row],[Employee_ID]],'02_Employee_Master'!$A$1:$C$12,2,FALSE),"Employee Name Missing")</f>
        <v>Meena V</v>
      </c>
      <c r="L379" s="25" t="str">
        <f>IFERROR(VLOOKUP(tbl_clean_sales[[#This Row],[Employee_ID]],'02_Employee_Master'!$A$1:$C$12,3,FALSE),"Department Name Missing")</f>
        <v>Sales</v>
      </c>
      <c r="M379" s="25" t="str">
        <f>IF('03_Clean_data'!D379="","Missing",IFERROR(IF(VLOOKUP(D379,'03_Product_Master'!$A$1:$D$14,1,FALSE)='03_Clean_data'!D379,"Valid","Invalid"),"Invalid"))</f>
        <v>Valid</v>
      </c>
      <c r="N379" s="25" t="str">
        <f>IFERROR(VLOOKUP(tbl_clean_sales[[#This Row],[Product_ID]],'03_Product_Master'!$A$1:$D$14,2,FALSE),"Missing")</f>
        <v>Shampoo</v>
      </c>
      <c r="O379" s="25" t="str">
        <f>IFERROR(VLOOKUP(tbl_clean_sales[[#This Row],[Product_ID]],'03_Product_Master'!$A$1:$D$14,3,FALSE),"Missing")</f>
        <v>Personal Care</v>
      </c>
      <c r="P379" s="25">
        <f>IFERROR(VLOOKUP(tbl_clean_sales[[#This Row],[Product_ID]],'03_Product_Master'!$A$1:$D$14,4,FALSE),"Missing")</f>
        <v>310</v>
      </c>
      <c r="Q379" s="25" t="str">
        <f>IF('03_Clean_data'!E379="","Missing",IFERROR(IF(VLOOKUP(E379,'04_Branch_Master'!$A$1:$C$7,1,FALSE)='03_Clean_data'!E379,"Valid","Invalid"),"Invalid"))</f>
        <v>Valid</v>
      </c>
      <c r="R379" s="25" t="str">
        <f>IFERROR(VLOOKUP(tbl_clean_sales[[#This Row],[Branch_ID]],'04_Branch_Master'!$A$1:$C$7,2,FALSE),"Missing")</f>
        <v>Palladam</v>
      </c>
      <c r="S379" s="25" t="str">
        <f>IFERROR(VLOOKUP(tbl_clean_sales[[#This Row],[Branch_ID]],'04_Branch_Master'!$A$1:$C$7,3,FALSE),"Missing")</f>
        <v>South</v>
      </c>
      <c r="T379" s="25" t="str">
        <f>C379&amp;"|"&amp;TEXT(tbl_clean_sales[[#This Row],[Date]],"yyyymm")</f>
        <v>E006|202606</v>
      </c>
      <c r="U379" s="25">
        <f>IFERROR(INDEX('05_Target_Master'!$A$1:$F$32,MATCH(tbl_clean_sales[[#This Row],[target key]],'05_Target_Master'!$F$1:$F$32,0),3),"Missing")</f>
        <v>125800</v>
      </c>
    </row>
    <row r="380" spans="1:21" x14ac:dyDescent="0.3">
      <c r="A380" s="21">
        <v>46198</v>
      </c>
      <c r="B380" s="22" t="s">
        <v>413</v>
      </c>
      <c r="C380" s="22" t="s">
        <v>12</v>
      </c>
      <c r="D380" s="22" t="s">
        <v>30</v>
      </c>
      <c r="E380" s="22" t="s">
        <v>14</v>
      </c>
      <c r="F380" s="22">
        <v>10</v>
      </c>
      <c r="G380" s="23">
        <v>1432.36</v>
      </c>
      <c r="H380" s="25" t="str">
        <f>IF(COUNTIF(tbl_clean_sales[Invoice_ID],tbl_clean_sales[[#This Row],[Invoice_ID]])&gt;1,"Duplicate","Unique")</f>
        <v>Unique</v>
      </c>
      <c r="I380" s="25"/>
      <c r="J38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0" s="25" t="str">
        <f>IFERROR(VLOOKUP(tbl_clean_sales[[#This Row],[Employee_ID]],'02_Employee_Master'!$A$1:$C$12,2,FALSE),"Employee Name Missing")</f>
        <v>Divya R</v>
      </c>
      <c r="L380" s="25" t="str">
        <f>IFERROR(VLOOKUP(tbl_clean_sales[[#This Row],[Employee_ID]],'02_Employee_Master'!$A$1:$C$12,3,FALSE),"Department Name Missing")</f>
        <v>Sales</v>
      </c>
      <c r="M380" s="25" t="str">
        <f>IF('03_Clean_data'!D380="","Missing",IFERROR(IF(VLOOKUP(D380,'03_Product_Master'!$A$1:$D$14,1,FALSE)='03_Clean_data'!D380,"Valid","Invalid"),"Invalid"))</f>
        <v>Valid</v>
      </c>
      <c r="N380" s="25" t="str">
        <f>IFERROR(VLOOKUP(tbl_clean_sales[[#This Row],[Product_ID]],'03_Product_Master'!$A$1:$D$14,2,FALSE),"Missing")</f>
        <v>Cookies Pack</v>
      </c>
      <c r="O380" s="25" t="str">
        <f>IFERROR(VLOOKUP(tbl_clean_sales[[#This Row],[Product_ID]],'03_Product_Master'!$A$1:$D$14,3,FALSE),"Missing")</f>
        <v>Snacks</v>
      </c>
      <c r="P380" s="25">
        <f>IFERROR(VLOOKUP(tbl_clean_sales[[#This Row],[Product_ID]],'03_Product_Master'!$A$1:$D$14,4,FALSE),"Missing")</f>
        <v>160</v>
      </c>
      <c r="Q380" s="25" t="str">
        <f>IF('03_Clean_data'!E380="","Missing",IFERROR(IF(VLOOKUP(E380,'04_Branch_Master'!$A$1:$C$7,1,FALSE)='03_Clean_data'!E380,"Valid","Invalid"),"Invalid"))</f>
        <v>Valid</v>
      </c>
      <c r="R380" s="25" t="str">
        <f>IFERROR(VLOOKUP(tbl_clean_sales[[#This Row],[Branch_ID]],'04_Branch_Master'!$A$1:$C$7,2,FALSE),"Missing")</f>
        <v>Avinashi Road</v>
      </c>
      <c r="S380" s="25" t="str">
        <f>IFERROR(VLOOKUP(tbl_clean_sales[[#This Row],[Branch_ID]],'04_Branch_Master'!$A$1:$C$7,3,FALSE),"Missing")</f>
        <v>North</v>
      </c>
      <c r="T380" s="25" t="str">
        <f>C380&amp;"|"&amp;TEXT(tbl_clean_sales[[#This Row],[Date]],"yyyymm")</f>
        <v>E004|202606</v>
      </c>
      <c r="U380" s="25">
        <f>IFERROR(INDEX('05_Target_Master'!$A$1:$F$32,MATCH(tbl_clean_sales[[#This Row],[target key]],'05_Target_Master'!$F$1:$F$32,0),3),"Missing")</f>
        <v>157100</v>
      </c>
    </row>
    <row r="381" spans="1:21" x14ac:dyDescent="0.3">
      <c r="A381" s="21">
        <v>46123</v>
      </c>
      <c r="B381" s="22" t="s">
        <v>414</v>
      </c>
      <c r="C381" s="22" t="s">
        <v>8</v>
      </c>
      <c r="D381" s="22" t="s">
        <v>48</v>
      </c>
      <c r="E381" s="22" t="s">
        <v>10</v>
      </c>
      <c r="F381" s="22">
        <v>6</v>
      </c>
      <c r="G381" s="23">
        <v>1545.38</v>
      </c>
      <c r="H381" s="25" t="str">
        <f>IF(COUNTIF(tbl_clean_sales[Invoice_ID],tbl_clean_sales[[#This Row],[Invoice_ID]])&gt;1,"Duplicate","Unique")</f>
        <v>Unique</v>
      </c>
      <c r="I381" s="25"/>
      <c r="J38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1" s="25" t="str">
        <f>IFERROR(VLOOKUP(tbl_clean_sales[[#This Row],[Employee_ID]],'02_Employee_Master'!$A$1:$C$12,2,FALSE),"Employee Name Missing")</f>
        <v>Vignesh R</v>
      </c>
      <c r="L381" s="25" t="str">
        <f>IFERROR(VLOOKUP(tbl_clean_sales[[#This Row],[Employee_ID]],'02_Employee_Master'!$A$1:$C$12,3,FALSE),"Department Name Missing")</f>
        <v>Sales</v>
      </c>
      <c r="M381" s="25" t="str">
        <f>IF('03_Clean_data'!D381="","Missing",IFERROR(IF(VLOOKUP(D381,'03_Product_Master'!$A$1:$D$14,1,FALSE)='03_Clean_data'!D381,"Valid","Invalid"),"Invalid"))</f>
        <v>Valid</v>
      </c>
      <c r="N381" s="25" t="str">
        <f>IFERROR(VLOOKUP(tbl_clean_sales[[#This Row],[Product_ID]],'03_Product_Master'!$A$1:$D$14,2,FALSE),"Missing")</f>
        <v>Face Wash</v>
      </c>
      <c r="O381" s="25" t="str">
        <f>IFERROR(VLOOKUP(tbl_clean_sales[[#This Row],[Product_ID]],'03_Product_Master'!$A$1:$D$14,3,FALSE),"Missing")</f>
        <v>Personal Care</v>
      </c>
      <c r="P381" s="25">
        <f>IFERROR(VLOOKUP(tbl_clean_sales[[#This Row],[Product_ID]],'03_Product_Master'!$A$1:$D$14,4,FALSE),"Missing")</f>
        <v>260</v>
      </c>
      <c r="Q381" s="25" t="str">
        <f>IF('03_Clean_data'!E381="","Missing",IFERROR(IF(VLOOKUP(E381,'04_Branch_Master'!$A$1:$C$7,1,FALSE)='03_Clean_data'!E381,"Valid","Invalid"),"Invalid"))</f>
        <v>Valid</v>
      </c>
      <c r="R381" s="25" t="str">
        <f>IFERROR(VLOOKUP(tbl_clean_sales[[#This Row],[Branch_ID]],'04_Branch_Master'!$A$1:$C$7,2,FALSE),"Missing")</f>
        <v>Dharapuram</v>
      </c>
      <c r="S381" s="25" t="str">
        <f>IFERROR(VLOOKUP(tbl_clean_sales[[#This Row],[Branch_ID]],'04_Branch_Master'!$A$1:$C$7,3,FALSE),"Missing")</f>
        <v>South</v>
      </c>
      <c r="T381" s="25" t="str">
        <f>C381&amp;"|"&amp;TEXT(tbl_clean_sales[[#This Row],[Date]],"yyyymm")</f>
        <v>E009|202604</v>
      </c>
      <c r="U381" s="25">
        <f>IFERROR(INDEX('05_Target_Master'!$A$1:$F$32,MATCH(tbl_clean_sales[[#This Row],[target key]],'05_Target_Master'!$F$1:$F$32,0),3),"Missing")</f>
        <v>163300</v>
      </c>
    </row>
    <row r="382" spans="1:21" x14ac:dyDescent="0.3">
      <c r="A382" s="21">
        <v>46185</v>
      </c>
      <c r="B382" s="22" t="s">
        <v>415</v>
      </c>
      <c r="C382" s="22" t="s">
        <v>21</v>
      </c>
      <c r="D382" s="22" t="s">
        <v>25</v>
      </c>
      <c r="E382" s="22" t="s">
        <v>10</v>
      </c>
      <c r="F382" s="22">
        <v>4</v>
      </c>
      <c r="G382" s="23">
        <v>1564.54</v>
      </c>
      <c r="H382" s="25" t="str">
        <f>IF(COUNTIF(tbl_clean_sales[Invoice_ID],tbl_clean_sales[[#This Row],[Invoice_ID]])&gt;1,"Duplicate","Unique")</f>
        <v>Unique</v>
      </c>
      <c r="I382" s="25"/>
      <c r="J38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2" s="25" t="str">
        <f>IFERROR(VLOOKUP(tbl_clean_sales[[#This Row],[Employee_ID]],'02_Employee_Master'!$A$1:$C$12,2,FALSE),"Employee Name Missing")</f>
        <v>Priya S</v>
      </c>
      <c r="L382" s="25" t="str">
        <f>IFERROR(VLOOKUP(tbl_clean_sales[[#This Row],[Employee_ID]],'02_Employee_Master'!$A$1:$C$12,3,FALSE),"Department Name Missing")</f>
        <v>Sales</v>
      </c>
      <c r="M382" s="25" t="str">
        <f>IF('03_Clean_data'!D382="","Missing",IFERROR(IF(VLOOKUP(D382,'03_Product_Master'!$A$1:$D$14,1,FALSE)='03_Clean_data'!D382,"Valid","Invalid"),"Invalid"))</f>
        <v>Valid</v>
      </c>
      <c r="N382" s="25" t="str">
        <f>IFERROR(VLOOKUP(tbl_clean_sales[[#This Row],[Product_ID]],'03_Product_Master'!$A$1:$D$14,2,FALSE),"Missing")</f>
        <v>Premium Coffee</v>
      </c>
      <c r="O382" s="25" t="str">
        <f>IFERROR(VLOOKUP(tbl_clean_sales[[#This Row],[Product_ID]],'03_Product_Master'!$A$1:$D$14,3,FALSE),"Missing")</f>
        <v>Beverages</v>
      </c>
      <c r="P382" s="25">
        <f>IFERROR(VLOOKUP(tbl_clean_sales[[#This Row],[Product_ID]],'03_Product_Master'!$A$1:$D$14,4,FALSE),"Missing")</f>
        <v>420</v>
      </c>
      <c r="Q382" s="25" t="str">
        <f>IF('03_Clean_data'!E382="","Missing",IFERROR(IF(VLOOKUP(E382,'04_Branch_Master'!$A$1:$C$7,1,FALSE)='03_Clean_data'!E382,"Valid","Invalid"),"Invalid"))</f>
        <v>Valid</v>
      </c>
      <c r="R382" s="25" t="str">
        <f>IFERROR(VLOOKUP(tbl_clean_sales[[#This Row],[Branch_ID]],'04_Branch_Master'!$A$1:$C$7,2,FALSE),"Missing")</f>
        <v>Dharapuram</v>
      </c>
      <c r="S382" s="25" t="str">
        <f>IFERROR(VLOOKUP(tbl_clean_sales[[#This Row],[Branch_ID]],'04_Branch_Master'!$A$1:$C$7,3,FALSE),"Missing")</f>
        <v>South</v>
      </c>
      <c r="T382" s="25" t="str">
        <f>C382&amp;"|"&amp;TEXT(tbl_clean_sales[[#This Row],[Date]],"yyyymm")</f>
        <v>E002|202606</v>
      </c>
      <c r="U382" s="25">
        <f>IFERROR(INDEX('05_Target_Master'!$A$1:$F$32,MATCH(tbl_clean_sales[[#This Row],[target key]],'05_Target_Master'!$F$1:$F$32,0),3),"Missing")</f>
        <v>117400</v>
      </c>
    </row>
    <row r="383" spans="1:21" x14ac:dyDescent="0.3">
      <c r="A383" s="21">
        <v>46132</v>
      </c>
      <c r="B383" s="22" t="s">
        <v>416</v>
      </c>
      <c r="C383" s="22" t="s">
        <v>18</v>
      </c>
      <c r="D383" s="22" t="s">
        <v>34</v>
      </c>
      <c r="E383" s="22" t="s">
        <v>32</v>
      </c>
      <c r="F383" s="22">
        <v>2</v>
      </c>
      <c r="G383" s="23">
        <v>202.04</v>
      </c>
      <c r="H383" s="25" t="str">
        <f>IF(COUNTIF(tbl_clean_sales[Invoice_ID],tbl_clean_sales[[#This Row],[Invoice_ID]])&gt;1,"Duplicate","Unique")</f>
        <v>Unique</v>
      </c>
      <c r="I383" s="25"/>
      <c r="J38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3" s="25" t="str">
        <f>IFERROR(VLOOKUP(tbl_clean_sales[[#This Row],[Employee_ID]],'02_Employee_Master'!$A$1:$C$12,2,FALSE),"Employee Name Missing")</f>
        <v>Rahul M</v>
      </c>
      <c r="L383" s="25" t="str">
        <f>IFERROR(VLOOKUP(tbl_clean_sales[[#This Row],[Employee_ID]],'02_Employee_Master'!$A$1:$C$12,3,FALSE),"Department Name Missing")</f>
        <v>Sales</v>
      </c>
      <c r="M383" s="25" t="str">
        <f>IF('03_Clean_data'!D383="","Missing",IFERROR(IF(VLOOKUP(D383,'03_Product_Master'!$A$1:$D$14,1,FALSE)='03_Clean_data'!D383,"Valid","Invalid"),"Invalid"))</f>
        <v>Valid</v>
      </c>
      <c r="N383" s="25" t="str">
        <f>IFERROR(VLOOKUP(tbl_clean_sales[[#This Row],[Product_ID]],'03_Product_Master'!$A$1:$D$14,2,FALSE),"Missing")</f>
        <v>Potato Chips</v>
      </c>
      <c r="O383" s="25" t="str">
        <f>IFERROR(VLOOKUP(tbl_clean_sales[[#This Row],[Product_ID]],'03_Product_Master'!$A$1:$D$14,3,FALSE),"Missing")</f>
        <v>Snacks</v>
      </c>
      <c r="P383" s="25">
        <f>IFERROR(VLOOKUP(tbl_clean_sales[[#This Row],[Product_ID]],'03_Product_Master'!$A$1:$D$14,4,FALSE),"Missing")</f>
        <v>110</v>
      </c>
      <c r="Q383" s="25" t="str">
        <f>IF('03_Clean_data'!E383="","Missing",IFERROR(IF(VLOOKUP(E383,'04_Branch_Master'!$A$1:$C$7,1,FALSE)='03_Clean_data'!E383,"Valid","Invalid"),"Invalid"))</f>
        <v>Valid</v>
      </c>
      <c r="R383" s="25" t="str">
        <f>IFERROR(VLOOKUP(tbl_clean_sales[[#This Row],[Branch_ID]],'04_Branch_Master'!$A$1:$C$7,2,FALSE),"Missing")</f>
        <v>Kangeyam</v>
      </c>
      <c r="S383" s="25" t="str">
        <f>IFERROR(VLOOKUP(tbl_clean_sales[[#This Row],[Branch_ID]],'04_Branch_Master'!$A$1:$C$7,3,FALSE),"Missing")</f>
        <v>East</v>
      </c>
      <c r="T383" s="25" t="str">
        <f>C383&amp;"|"&amp;TEXT(tbl_clean_sales[[#This Row],[Date]],"yyyymm")</f>
        <v>E003|202604</v>
      </c>
      <c r="U383" s="25">
        <f>IFERROR(INDEX('05_Target_Master'!$A$1:$F$32,MATCH(tbl_clean_sales[[#This Row],[target key]],'05_Target_Master'!$F$1:$F$32,0),3),"Missing")</f>
        <v>116600</v>
      </c>
    </row>
    <row r="384" spans="1:21" x14ac:dyDescent="0.3">
      <c r="A384" s="21">
        <v>46187</v>
      </c>
      <c r="B384" s="22" t="s">
        <v>417</v>
      </c>
      <c r="C384" s="22" t="s">
        <v>38</v>
      </c>
      <c r="D384" s="22" t="s">
        <v>9</v>
      </c>
      <c r="E384" s="22" t="s">
        <v>32</v>
      </c>
      <c r="F384" s="22">
        <v>1</v>
      </c>
      <c r="G384" s="23">
        <v>264.76</v>
      </c>
      <c r="H384" s="25" t="str">
        <f>IF(COUNTIF(tbl_clean_sales[Invoice_ID],tbl_clean_sales[[#This Row],[Invoice_ID]])&gt;1,"Duplicate","Unique")</f>
        <v>Unique</v>
      </c>
      <c r="I384" s="25"/>
      <c r="J38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4" s="25" t="str">
        <f>IFERROR(VLOOKUP(tbl_clean_sales[[#This Row],[Employee_ID]],'02_Employee_Master'!$A$1:$C$12,2,FALSE),"Employee Name Missing")</f>
        <v>Nandhini K</v>
      </c>
      <c r="L384" s="25" t="str">
        <f>IFERROR(VLOOKUP(tbl_clean_sales[[#This Row],[Employee_ID]],'02_Employee_Master'!$A$1:$C$12,3,FALSE),"Department Name Missing")</f>
        <v>Sales</v>
      </c>
      <c r="M384" s="25" t="str">
        <f>IF('03_Clean_data'!D384="","Missing",IFERROR(IF(VLOOKUP(D384,'03_Product_Master'!$A$1:$D$14,1,FALSE)='03_Clean_data'!D384,"Valid","Invalid"),"Invalid"))</f>
        <v>Valid</v>
      </c>
      <c r="N384" s="25" t="str">
        <f>IFERROR(VLOOKUP(tbl_clean_sales[[#This Row],[Product_ID]],'03_Product_Master'!$A$1:$D$14,2,FALSE),"Missing")</f>
        <v>Green Tea</v>
      </c>
      <c r="O384" s="25" t="str">
        <f>IFERROR(VLOOKUP(tbl_clean_sales[[#This Row],[Product_ID]],'03_Product_Master'!$A$1:$D$14,3,FALSE),"Missing")</f>
        <v>Beverages</v>
      </c>
      <c r="P384" s="25">
        <f>IFERROR(VLOOKUP(tbl_clean_sales[[#This Row],[Product_ID]],'03_Product_Master'!$A$1:$D$14,4,FALSE),"Missing")</f>
        <v>280</v>
      </c>
      <c r="Q384" s="25" t="str">
        <f>IF('03_Clean_data'!E384="","Missing",IFERROR(IF(VLOOKUP(E384,'04_Branch_Master'!$A$1:$C$7,1,FALSE)='03_Clean_data'!E384,"Valid","Invalid"),"Invalid"))</f>
        <v>Valid</v>
      </c>
      <c r="R384" s="25" t="str">
        <f>IFERROR(VLOOKUP(tbl_clean_sales[[#This Row],[Branch_ID]],'04_Branch_Master'!$A$1:$C$7,2,FALSE),"Missing")</f>
        <v>Kangeyam</v>
      </c>
      <c r="S384" s="25" t="str">
        <f>IFERROR(VLOOKUP(tbl_clean_sales[[#This Row],[Branch_ID]],'04_Branch_Master'!$A$1:$C$7,3,FALSE),"Missing")</f>
        <v>East</v>
      </c>
      <c r="T384" s="25" t="str">
        <f>C384&amp;"|"&amp;TEXT(tbl_clean_sales[[#This Row],[Date]],"yyyymm")</f>
        <v>E008|202606</v>
      </c>
      <c r="U384" s="25">
        <f>IFERROR(INDEX('05_Target_Master'!$A$1:$F$32,MATCH(tbl_clean_sales[[#This Row],[target key]],'05_Target_Master'!$F$1:$F$32,0),3),"Missing")</f>
        <v>119200</v>
      </c>
    </row>
    <row r="385" spans="1:21" x14ac:dyDescent="0.3">
      <c r="A385" s="21">
        <v>46178</v>
      </c>
      <c r="B385" s="22" t="s">
        <v>418</v>
      </c>
      <c r="C385" s="22" t="s">
        <v>46</v>
      </c>
      <c r="D385" s="22" t="s">
        <v>48</v>
      </c>
      <c r="E385" s="22" t="s">
        <v>32</v>
      </c>
      <c r="F385" s="22">
        <v>9</v>
      </c>
      <c r="G385" s="23">
        <v>2210.16</v>
      </c>
      <c r="H385" s="25" t="str">
        <f>IF(COUNTIF(tbl_clean_sales[Invoice_ID],tbl_clean_sales[[#This Row],[Invoice_ID]])&gt;1,"Duplicate","Unique")</f>
        <v>Unique</v>
      </c>
      <c r="I385" s="25"/>
      <c r="J38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5" s="25" t="str">
        <f>IFERROR(VLOOKUP(tbl_clean_sales[[#This Row],[Employee_ID]],'02_Employee_Master'!$A$1:$C$12,2,FALSE),"Employee Name Missing")</f>
        <v>Suresh B</v>
      </c>
      <c r="L385" s="25" t="str">
        <f>IFERROR(VLOOKUP(tbl_clean_sales[[#This Row],[Employee_ID]],'02_Employee_Master'!$A$1:$C$12,3,FALSE),"Department Name Missing")</f>
        <v>Sales</v>
      </c>
      <c r="M385" s="25" t="str">
        <f>IF('03_Clean_data'!D385="","Missing",IFERROR(IF(VLOOKUP(D385,'03_Product_Master'!$A$1:$D$14,1,FALSE)='03_Clean_data'!D385,"Valid","Invalid"),"Invalid"))</f>
        <v>Valid</v>
      </c>
      <c r="N385" s="25" t="str">
        <f>IFERROR(VLOOKUP(tbl_clean_sales[[#This Row],[Product_ID]],'03_Product_Master'!$A$1:$D$14,2,FALSE),"Missing")</f>
        <v>Face Wash</v>
      </c>
      <c r="O385" s="25" t="str">
        <f>IFERROR(VLOOKUP(tbl_clean_sales[[#This Row],[Product_ID]],'03_Product_Master'!$A$1:$D$14,3,FALSE),"Missing")</f>
        <v>Personal Care</v>
      </c>
      <c r="P385" s="25">
        <f>IFERROR(VLOOKUP(tbl_clean_sales[[#This Row],[Product_ID]],'03_Product_Master'!$A$1:$D$14,4,FALSE),"Missing")</f>
        <v>260</v>
      </c>
      <c r="Q385" s="25" t="str">
        <f>IF('03_Clean_data'!E385="","Missing",IFERROR(IF(VLOOKUP(E385,'04_Branch_Master'!$A$1:$C$7,1,FALSE)='03_Clean_data'!E385,"Valid","Invalid"),"Invalid"))</f>
        <v>Valid</v>
      </c>
      <c r="R385" s="25" t="str">
        <f>IFERROR(VLOOKUP(tbl_clean_sales[[#This Row],[Branch_ID]],'04_Branch_Master'!$A$1:$C$7,2,FALSE),"Missing")</f>
        <v>Kangeyam</v>
      </c>
      <c r="S385" s="25" t="str">
        <f>IFERROR(VLOOKUP(tbl_clean_sales[[#This Row],[Branch_ID]],'04_Branch_Master'!$A$1:$C$7,3,FALSE),"Missing")</f>
        <v>East</v>
      </c>
      <c r="T385" s="25" t="str">
        <f>C385&amp;"|"&amp;TEXT(tbl_clean_sales[[#This Row],[Date]],"yyyymm")</f>
        <v>E007|202606</v>
      </c>
      <c r="U385" s="25">
        <f>IFERROR(INDEX('05_Target_Master'!$A$1:$F$32,MATCH(tbl_clean_sales[[#This Row],[target key]],'05_Target_Master'!$F$1:$F$32,0),3),"Missing")</f>
        <v>124400</v>
      </c>
    </row>
    <row r="386" spans="1:21" x14ac:dyDescent="0.3">
      <c r="A386" s="21">
        <v>46152</v>
      </c>
      <c r="B386" s="22" t="s">
        <v>419</v>
      </c>
      <c r="C386" s="22" t="s">
        <v>74</v>
      </c>
      <c r="D386" s="22" t="s">
        <v>16</v>
      </c>
      <c r="E386" s="22" t="s">
        <v>22</v>
      </c>
      <c r="F386" s="22">
        <v>1</v>
      </c>
      <c r="G386" s="23">
        <v>282.26</v>
      </c>
      <c r="H386" s="25" t="str">
        <f>IF(COUNTIF(tbl_clean_sales[Invoice_ID],tbl_clean_sales[[#This Row],[Invoice_ID]])&gt;1,"Duplicate","Unique")</f>
        <v>Unique</v>
      </c>
      <c r="I386" s="25"/>
      <c r="J38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6" s="25" t="str">
        <f>IFERROR(VLOOKUP(tbl_clean_sales[[#This Row],[Employee_ID]],'02_Employee_Master'!$A$1:$C$12,2,FALSE),"Employee Name Missing")</f>
        <v>Arun Kumar</v>
      </c>
      <c r="L386" s="25" t="str">
        <f>IFERROR(VLOOKUP(tbl_clean_sales[[#This Row],[Employee_ID]],'02_Employee_Master'!$A$1:$C$12,3,FALSE),"Department Name Missing")</f>
        <v>Sales</v>
      </c>
      <c r="M386" s="25" t="str">
        <f>IF('03_Clean_data'!D386="","Missing",IFERROR(IF(VLOOKUP(D386,'03_Product_Master'!$A$1:$D$14,1,FALSE)='03_Clean_data'!D386,"Valid","Invalid"),"Invalid"))</f>
        <v>Valid</v>
      </c>
      <c r="N386" s="25" t="str">
        <f>IFERROR(VLOOKUP(tbl_clean_sales[[#This Row],[Product_ID]],'03_Product_Master'!$A$1:$D$14,2,FALSE),"Missing")</f>
        <v>Shampoo</v>
      </c>
      <c r="O386" s="25" t="str">
        <f>IFERROR(VLOOKUP(tbl_clean_sales[[#This Row],[Product_ID]],'03_Product_Master'!$A$1:$D$14,3,FALSE),"Missing")</f>
        <v>Personal Care</v>
      </c>
      <c r="P386" s="25">
        <f>IFERROR(VLOOKUP(tbl_clean_sales[[#This Row],[Product_ID]],'03_Product_Master'!$A$1:$D$14,4,FALSE),"Missing")</f>
        <v>310</v>
      </c>
      <c r="Q386" s="25" t="str">
        <f>IF('03_Clean_data'!E386="","Missing",IFERROR(IF(VLOOKUP(E386,'04_Branch_Master'!$A$1:$C$7,1,FALSE)='03_Clean_data'!E386,"Valid","Invalid"),"Invalid"))</f>
        <v>Valid</v>
      </c>
      <c r="R386" s="25" t="str">
        <f>IFERROR(VLOOKUP(tbl_clean_sales[[#This Row],[Branch_ID]],'04_Branch_Master'!$A$1:$C$7,2,FALSE),"Missing")</f>
        <v>Tirupur Central</v>
      </c>
      <c r="S386" s="25" t="str">
        <f>IFERROR(VLOOKUP(tbl_clean_sales[[#This Row],[Branch_ID]],'04_Branch_Master'!$A$1:$C$7,3,FALSE),"Missing")</f>
        <v>North</v>
      </c>
      <c r="T386" s="25" t="str">
        <f>C386&amp;"|"&amp;TEXT(tbl_clean_sales[[#This Row],[Date]],"yyyymm")</f>
        <v>E001|202605</v>
      </c>
      <c r="U386" s="25">
        <f>IFERROR(INDEX('05_Target_Master'!$A$1:$F$32,MATCH(tbl_clean_sales[[#This Row],[target key]],'05_Target_Master'!$F$1:$F$32,0),3),"Missing")</f>
        <v>169500</v>
      </c>
    </row>
    <row r="387" spans="1:21" x14ac:dyDescent="0.3">
      <c r="A387" s="21">
        <v>46187</v>
      </c>
      <c r="B387" s="22" t="s">
        <v>420</v>
      </c>
      <c r="C387" s="22" t="s">
        <v>21</v>
      </c>
      <c r="D387" s="22" t="s">
        <v>25</v>
      </c>
      <c r="E387" s="22" t="s">
        <v>22</v>
      </c>
      <c r="F387" s="22">
        <v>12</v>
      </c>
      <c r="G387" s="23">
        <v>5001.4399999999996</v>
      </c>
      <c r="H387" s="25" t="str">
        <f>IF(COUNTIF(tbl_clean_sales[Invoice_ID],tbl_clean_sales[[#This Row],[Invoice_ID]])&gt;1,"Duplicate","Unique")</f>
        <v>Unique</v>
      </c>
      <c r="I387" s="25"/>
      <c r="J38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7" s="25" t="str">
        <f>IFERROR(VLOOKUP(tbl_clean_sales[[#This Row],[Employee_ID]],'02_Employee_Master'!$A$1:$C$12,2,FALSE),"Employee Name Missing")</f>
        <v>Priya S</v>
      </c>
      <c r="L387" s="25" t="str">
        <f>IFERROR(VLOOKUP(tbl_clean_sales[[#This Row],[Employee_ID]],'02_Employee_Master'!$A$1:$C$12,3,FALSE),"Department Name Missing")</f>
        <v>Sales</v>
      </c>
      <c r="M387" s="25" t="str">
        <f>IF('03_Clean_data'!D387="","Missing",IFERROR(IF(VLOOKUP(D387,'03_Product_Master'!$A$1:$D$14,1,FALSE)='03_Clean_data'!D387,"Valid","Invalid"),"Invalid"))</f>
        <v>Valid</v>
      </c>
      <c r="N387" s="25" t="str">
        <f>IFERROR(VLOOKUP(tbl_clean_sales[[#This Row],[Product_ID]],'03_Product_Master'!$A$1:$D$14,2,FALSE),"Missing")</f>
        <v>Premium Coffee</v>
      </c>
      <c r="O387" s="25" t="str">
        <f>IFERROR(VLOOKUP(tbl_clean_sales[[#This Row],[Product_ID]],'03_Product_Master'!$A$1:$D$14,3,FALSE),"Missing")</f>
        <v>Beverages</v>
      </c>
      <c r="P387" s="25">
        <f>IFERROR(VLOOKUP(tbl_clean_sales[[#This Row],[Product_ID]],'03_Product_Master'!$A$1:$D$14,4,FALSE),"Missing")</f>
        <v>420</v>
      </c>
      <c r="Q387" s="25" t="str">
        <f>IF('03_Clean_data'!E387="","Missing",IFERROR(IF(VLOOKUP(E387,'04_Branch_Master'!$A$1:$C$7,1,FALSE)='03_Clean_data'!E387,"Valid","Invalid"),"Invalid"))</f>
        <v>Valid</v>
      </c>
      <c r="R387" s="25" t="str">
        <f>IFERROR(VLOOKUP(tbl_clean_sales[[#This Row],[Branch_ID]],'04_Branch_Master'!$A$1:$C$7,2,FALSE),"Missing")</f>
        <v>Tirupur Central</v>
      </c>
      <c r="S387" s="25" t="str">
        <f>IFERROR(VLOOKUP(tbl_clean_sales[[#This Row],[Branch_ID]],'04_Branch_Master'!$A$1:$C$7,3,FALSE),"Missing")</f>
        <v>North</v>
      </c>
      <c r="T387" s="25" t="str">
        <f>C387&amp;"|"&amp;TEXT(tbl_clean_sales[[#This Row],[Date]],"yyyymm")</f>
        <v>E002|202606</v>
      </c>
      <c r="U387" s="25">
        <f>IFERROR(INDEX('05_Target_Master'!$A$1:$F$32,MATCH(tbl_clean_sales[[#This Row],[target key]],'05_Target_Master'!$F$1:$F$32,0),3),"Missing")</f>
        <v>117400</v>
      </c>
    </row>
    <row r="388" spans="1:21" x14ac:dyDescent="0.3">
      <c r="A388" s="21">
        <v>46120</v>
      </c>
      <c r="B388" s="22" t="s">
        <v>421</v>
      </c>
      <c r="C388" s="22" t="s">
        <v>21</v>
      </c>
      <c r="D388" s="22" t="s">
        <v>48</v>
      </c>
      <c r="E388" s="22" t="s">
        <v>22</v>
      </c>
      <c r="F388" s="22">
        <v>7</v>
      </c>
      <c r="G388" s="23">
        <v>1780.69</v>
      </c>
      <c r="H388" s="25" t="str">
        <f>IF(COUNTIF(tbl_clean_sales[Invoice_ID],tbl_clean_sales[[#This Row],[Invoice_ID]])&gt;1,"Duplicate","Unique")</f>
        <v>Unique</v>
      </c>
      <c r="I388" s="25"/>
      <c r="J38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8" s="25" t="str">
        <f>IFERROR(VLOOKUP(tbl_clean_sales[[#This Row],[Employee_ID]],'02_Employee_Master'!$A$1:$C$12,2,FALSE),"Employee Name Missing")</f>
        <v>Priya S</v>
      </c>
      <c r="L388" s="25" t="str">
        <f>IFERROR(VLOOKUP(tbl_clean_sales[[#This Row],[Employee_ID]],'02_Employee_Master'!$A$1:$C$12,3,FALSE),"Department Name Missing")</f>
        <v>Sales</v>
      </c>
      <c r="M388" s="25" t="str">
        <f>IF('03_Clean_data'!D388="","Missing",IFERROR(IF(VLOOKUP(D388,'03_Product_Master'!$A$1:$D$14,1,FALSE)='03_Clean_data'!D388,"Valid","Invalid"),"Invalid"))</f>
        <v>Valid</v>
      </c>
      <c r="N388" s="25" t="str">
        <f>IFERROR(VLOOKUP(tbl_clean_sales[[#This Row],[Product_ID]],'03_Product_Master'!$A$1:$D$14,2,FALSE),"Missing")</f>
        <v>Face Wash</v>
      </c>
      <c r="O388" s="25" t="str">
        <f>IFERROR(VLOOKUP(tbl_clean_sales[[#This Row],[Product_ID]],'03_Product_Master'!$A$1:$D$14,3,FALSE),"Missing")</f>
        <v>Personal Care</v>
      </c>
      <c r="P388" s="25">
        <f>IFERROR(VLOOKUP(tbl_clean_sales[[#This Row],[Product_ID]],'03_Product_Master'!$A$1:$D$14,4,FALSE),"Missing")</f>
        <v>260</v>
      </c>
      <c r="Q388" s="25" t="str">
        <f>IF('03_Clean_data'!E388="","Missing",IFERROR(IF(VLOOKUP(E388,'04_Branch_Master'!$A$1:$C$7,1,FALSE)='03_Clean_data'!E388,"Valid","Invalid"),"Invalid"))</f>
        <v>Valid</v>
      </c>
      <c r="R388" s="25" t="str">
        <f>IFERROR(VLOOKUP(tbl_clean_sales[[#This Row],[Branch_ID]],'04_Branch_Master'!$A$1:$C$7,2,FALSE),"Missing")</f>
        <v>Tirupur Central</v>
      </c>
      <c r="S388" s="25" t="str">
        <f>IFERROR(VLOOKUP(tbl_clean_sales[[#This Row],[Branch_ID]],'04_Branch_Master'!$A$1:$C$7,3,FALSE),"Missing")</f>
        <v>North</v>
      </c>
      <c r="T388" s="25" t="str">
        <f>C388&amp;"|"&amp;TEXT(tbl_clean_sales[[#This Row],[Date]],"yyyymm")</f>
        <v>E002|202604</v>
      </c>
      <c r="U388" s="25">
        <f>IFERROR(INDEX('05_Target_Master'!$A$1:$F$32,MATCH(tbl_clean_sales[[#This Row],[target key]],'05_Target_Master'!$F$1:$F$32,0),3),"Missing")</f>
        <v>122300</v>
      </c>
    </row>
    <row r="389" spans="1:21" x14ac:dyDescent="0.3">
      <c r="A389" s="21">
        <v>46130</v>
      </c>
      <c r="B389" s="22" t="s">
        <v>422</v>
      </c>
      <c r="C389" s="22" t="s">
        <v>46</v>
      </c>
      <c r="D389" s="22" t="s">
        <v>34</v>
      </c>
      <c r="E389" s="22" t="s">
        <v>32</v>
      </c>
      <c r="F389" s="22">
        <v>8</v>
      </c>
      <c r="G389" s="23">
        <v>788.17</v>
      </c>
      <c r="H389" s="25" t="str">
        <f>IF(COUNTIF(tbl_clean_sales[Invoice_ID],tbl_clean_sales[[#This Row],[Invoice_ID]])&gt;1,"Duplicate","Unique")</f>
        <v>Unique</v>
      </c>
      <c r="I389" s="25"/>
      <c r="J38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89" s="25" t="str">
        <f>IFERROR(VLOOKUP(tbl_clean_sales[[#This Row],[Employee_ID]],'02_Employee_Master'!$A$1:$C$12,2,FALSE),"Employee Name Missing")</f>
        <v>Suresh B</v>
      </c>
      <c r="L389" s="25" t="str">
        <f>IFERROR(VLOOKUP(tbl_clean_sales[[#This Row],[Employee_ID]],'02_Employee_Master'!$A$1:$C$12,3,FALSE),"Department Name Missing")</f>
        <v>Sales</v>
      </c>
      <c r="M389" s="25" t="str">
        <f>IF('03_Clean_data'!D389="","Missing",IFERROR(IF(VLOOKUP(D389,'03_Product_Master'!$A$1:$D$14,1,FALSE)='03_Clean_data'!D389,"Valid","Invalid"),"Invalid"))</f>
        <v>Valid</v>
      </c>
      <c r="N389" s="25" t="str">
        <f>IFERROR(VLOOKUP(tbl_clean_sales[[#This Row],[Product_ID]],'03_Product_Master'!$A$1:$D$14,2,FALSE),"Missing")</f>
        <v>Potato Chips</v>
      </c>
      <c r="O389" s="25" t="str">
        <f>IFERROR(VLOOKUP(tbl_clean_sales[[#This Row],[Product_ID]],'03_Product_Master'!$A$1:$D$14,3,FALSE),"Missing")</f>
        <v>Snacks</v>
      </c>
      <c r="P389" s="25">
        <f>IFERROR(VLOOKUP(tbl_clean_sales[[#This Row],[Product_ID]],'03_Product_Master'!$A$1:$D$14,4,FALSE),"Missing")</f>
        <v>110</v>
      </c>
      <c r="Q389" s="25" t="str">
        <f>IF('03_Clean_data'!E389="","Missing",IFERROR(IF(VLOOKUP(E389,'04_Branch_Master'!$A$1:$C$7,1,FALSE)='03_Clean_data'!E389,"Valid","Invalid"),"Invalid"))</f>
        <v>Valid</v>
      </c>
      <c r="R389" s="25" t="str">
        <f>IFERROR(VLOOKUP(tbl_clean_sales[[#This Row],[Branch_ID]],'04_Branch_Master'!$A$1:$C$7,2,FALSE),"Missing")</f>
        <v>Kangeyam</v>
      </c>
      <c r="S389" s="25" t="str">
        <f>IFERROR(VLOOKUP(tbl_clean_sales[[#This Row],[Branch_ID]],'04_Branch_Master'!$A$1:$C$7,3,FALSE),"Missing")</f>
        <v>East</v>
      </c>
      <c r="T389" s="25" t="str">
        <f>C389&amp;"|"&amp;TEXT(tbl_clean_sales[[#This Row],[Date]],"yyyymm")</f>
        <v>E007|202604</v>
      </c>
      <c r="U389" s="25">
        <f>IFERROR(INDEX('05_Target_Master'!$A$1:$F$32,MATCH(tbl_clean_sales[[#This Row],[target key]],'05_Target_Master'!$F$1:$F$32,0),3),"Missing")</f>
        <v>129600</v>
      </c>
    </row>
    <row r="390" spans="1:21" x14ac:dyDescent="0.3">
      <c r="A390" s="21">
        <v>46161</v>
      </c>
      <c r="B390" s="22" t="s">
        <v>423</v>
      </c>
      <c r="C390" s="22" t="s">
        <v>46</v>
      </c>
      <c r="D390" s="22" t="s">
        <v>9</v>
      </c>
      <c r="E390" s="22" t="s">
        <v>32</v>
      </c>
      <c r="F390" s="22">
        <v>11</v>
      </c>
      <c r="G390" s="23">
        <v>2756.76</v>
      </c>
      <c r="H390" s="25" t="str">
        <f>IF(COUNTIF(tbl_clean_sales[Invoice_ID],tbl_clean_sales[[#This Row],[Invoice_ID]])&gt;1,"Duplicate","Unique")</f>
        <v>Unique</v>
      </c>
      <c r="I390" s="25"/>
      <c r="J39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0" s="25" t="str">
        <f>IFERROR(VLOOKUP(tbl_clean_sales[[#This Row],[Employee_ID]],'02_Employee_Master'!$A$1:$C$12,2,FALSE),"Employee Name Missing")</f>
        <v>Suresh B</v>
      </c>
      <c r="L390" s="25" t="str">
        <f>IFERROR(VLOOKUP(tbl_clean_sales[[#This Row],[Employee_ID]],'02_Employee_Master'!$A$1:$C$12,3,FALSE),"Department Name Missing")</f>
        <v>Sales</v>
      </c>
      <c r="M390" s="25" t="str">
        <f>IF('03_Clean_data'!D390="","Missing",IFERROR(IF(VLOOKUP(D390,'03_Product_Master'!$A$1:$D$14,1,FALSE)='03_Clean_data'!D390,"Valid","Invalid"),"Invalid"))</f>
        <v>Valid</v>
      </c>
      <c r="N390" s="25" t="str">
        <f>IFERROR(VLOOKUP(tbl_clean_sales[[#This Row],[Product_ID]],'03_Product_Master'!$A$1:$D$14,2,FALSE),"Missing")</f>
        <v>Green Tea</v>
      </c>
      <c r="O390" s="25" t="str">
        <f>IFERROR(VLOOKUP(tbl_clean_sales[[#This Row],[Product_ID]],'03_Product_Master'!$A$1:$D$14,3,FALSE),"Missing")</f>
        <v>Beverages</v>
      </c>
      <c r="P390" s="25">
        <f>IFERROR(VLOOKUP(tbl_clean_sales[[#This Row],[Product_ID]],'03_Product_Master'!$A$1:$D$14,4,FALSE),"Missing")</f>
        <v>280</v>
      </c>
      <c r="Q390" s="25" t="str">
        <f>IF('03_Clean_data'!E390="","Missing",IFERROR(IF(VLOOKUP(E390,'04_Branch_Master'!$A$1:$C$7,1,FALSE)='03_Clean_data'!E390,"Valid","Invalid"),"Invalid"))</f>
        <v>Valid</v>
      </c>
      <c r="R390" s="25" t="str">
        <f>IFERROR(VLOOKUP(tbl_clean_sales[[#This Row],[Branch_ID]],'04_Branch_Master'!$A$1:$C$7,2,FALSE),"Missing")</f>
        <v>Kangeyam</v>
      </c>
      <c r="S390" s="25" t="str">
        <f>IFERROR(VLOOKUP(tbl_clean_sales[[#This Row],[Branch_ID]],'04_Branch_Master'!$A$1:$C$7,3,FALSE),"Missing")</f>
        <v>East</v>
      </c>
      <c r="T390" s="25" t="str">
        <f>C390&amp;"|"&amp;TEXT(tbl_clean_sales[[#This Row],[Date]],"yyyymm")</f>
        <v>E007|202605</v>
      </c>
      <c r="U390" s="25">
        <f>IFERROR(INDEX('05_Target_Master'!$A$1:$F$32,MATCH(tbl_clean_sales[[#This Row],[target key]],'05_Target_Master'!$F$1:$F$32,0),3),"Missing")</f>
        <v>140000</v>
      </c>
    </row>
    <row r="391" spans="1:21" x14ac:dyDescent="0.3">
      <c r="A391" s="21">
        <v>46130</v>
      </c>
      <c r="B391" s="22" t="s">
        <v>424</v>
      </c>
      <c r="C391" s="22" t="s">
        <v>40</v>
      </c>
      <c r="D391" s="22" t="s">
        <v>9</v>
      </c>
      <c r="E391" s="22" t="s">
        <v>26</v>
      </c>
      <c r="F391" s="22">
        <v>9</v>
      </c>
      <c r="G391" s="23">
        <v>2401.14</v>
      </c>
      <c r="H391" s="25" t="str">
        <f>IF(COUNTIF(tbl_clean_sales[Invoice_ID],tbl_clean_sales[[#This Row],[Invoice_ID]])&gt;1,"Duplicate","Unique")</f>
        <v>Unique</v>
      </c>
      <c r="I391" s="25"/>
      <c r="J39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1" s="25" t="str">
        <f>IFERROR(VLOOKUP(tbl_clean_sales[[#This Row],[Employee_ID]],'02_Employee_Master'!$A$1:$C$12,2,FALSE),"Employee Name Missing")</f>
        <v>Meena V</v>
      </c>
      <c r="L391" s="25" t="str">
        <f>IFERROR(VLOOKUP(tbl_clean_sales[[#This Row],[Employee_ID]],'02_Employee_Master'!$A$1:$C$12,3,FALSE),"Department Name Missing")</f>
        <v>Sales</v>
      </c>
      <c r="M391" s="25" t="str">
        <f>IF('03_Clean_data'!D391="","Missing",IFERROR(IF(VLOOKUP(D391,'03_Product_Master'!$A$1:$D$14,1,FALSE)='03_Clean_data'!D391,"Valid","Invalid"),"Invalid"))</f>
        <v>Valid</v>
      </c>
      <c r="N391" s="25" t="str">
        <f>IFERROR(VLOOKUP(tbl_clean_sales[[#This Row],[Product_ID]],'03_Product_Master'!$A$1:$D$14,2,FALSE),"Missing")</f>
        <v>Green Tea</v>
      </c>
      <c r="O391" s="25" t="str">
        <f>IFERROR(VLOOKUP(tbl_clean_sales[[#This Row],[Product_ID]],'03_Product_Master'!$A$1:$D$14,3,FALSE),"Missing")</f>
        <v>Beverages</v>
      </c>
      <c r="P391" s="25">
        <f>IFERROR(VLOOKUP(tbl_clean_sales[[#This Row],[Product_ID]],'03_Product_Master'!$A$1:$D$14,4,FALSE),"Missing")</f>
        <v>280</v>
      </c>
      <c r="Q391" s="25" t="str">
        <f>IF('03_Clean_data'!E391="","Missing",IFERROR(IF(VLOOKUP(E391,'04_Branch_Master'!$A$1:$C$7,1,FALSE)='03_Clean_data'!E391,"Valid","Invalid"),"Invalid"))</f>
        <v>Valid</v>
      </c>
      <c r="R391" s="25" t="str">
        <f>IFERROR(VLOOKUP(tbl_clean_sales[[#This Row],[Branch_ID]],'04_Branch_Master'!$A$1:$C$7,2,FALSE),"Missing")</f>
        <v>Palladam</v>
      </c>
      <c r="S391" s="25" t="str">
        <f>IFERROR(VLOOKUP(tbl_clean_sales[[#This Row],[Branch_ID]],'04_Branch_Master'!$A$1:$C$7,3,FALSE),"Missing")</f>
        <v>South</v>
      </c>
      <c r="T391" s="25" t="str">
        <f>C391&amp;"|"&amp;TEXT(tbl_clean_sales[[#This Row],[Date]],"yyyymm")</f>
        <v>E006|202604</v>
      </c>
      <c r="U391" s="25">
        <f>IFERROR(INDEX('05_Target_Master'!$A$1:$F$32,MATCH(tbl_clean_sales[[#This Row],[target key]],'05_Target_Master'!$F$1:$F$32,0),3),"Missing")</f>
        <v>131000</v>
      </c>
    </row>
    <row r="392" spans="1:21" x14ac:dyDescent="0.3">
      <c r="A392" s="21">
        <v>46129</v>
      </c>
      <c r="B392" s="22" t="s">
        <v>425</v>
      </c>
      <c r="C392" s="22" t="s">
        <v>12</v>
      </c>
      <c r="D392" s="22" t="s">
        <v>25</v>
      </c>
      <c r="E392" s="22" t="s">
        <v>14</v>
      </c>
      <c r="F392" s="22">
        <v>5</v>
      </c>
      <c r="G392" s="23">
        <v>1983.32</v>
      </c>
      <c r="H392" s="25" t="str">
        <f>IF(COUNTIF(tbl_clean_sales[Invoice_ID],tbl_clean_sales[[#This Row],[Invoice_ID]])&gt;1,"Duplicate","Unique")</f>
        <v>Unique</v>
      </c>
      <c r="I392" s="25"/>
      <c r="J39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2" s="25" t="str">
        <f>IFERROR(VLOOKUP(tbl_clean_sales[[#This Row],[Employee_ID]],'02_Employee_Master'!$A$1:$C$12,2,FALSE),"Employee Name Missing")</f>
        <v>Divya R</v>
      </c>
      <c r="L392" s="25" t="str">
        <f>IFERROR(VLOOKUP(tbl_clean_sales[[#This Row],[Employee_ID]],'02_Employee_Master'!$A$1:$C$12,3,FALSE),"Department Name Missing")</f>
        <v>Sales</v>
      </c>
      <c r="M392" s="25" t="str">
        <f>IF('03_Clean_data'!D392="","Missing",IFERROR(IF(VLOOKUP(D392,'03_Product_Master'!$A$1:$D$14,1,FALSE)='03_Clean_data'!D392,"Valid","Invalid"),"Invalid"))</f>
        <v>Valid</v>
      </c>
      <c r="N392" s="25" t="str">
        <f>IFERROR(VLOOKUP(tbl_clean_sales[[#This Row],[Product_ID]],'03_Product_Master'!$A$1:$D$14,2,FALSE),"Missing")</f>
        <v>Premium Coffee</v>
      </c>
      <c r="O392" s="25" t="str">
        <f>IFERROR(VLOOKUP(tbl_clean_sales[[#This Row],[Product_ID]],'03_Product_Master'!$A$1:$D$14,3,FALSE),"Missing")</f>
        <v>Beverages</v>
      </c>
      <c r="P392" s="25">
        <f>IFERROR(VLOOKUP(tbl_clean_sales[[#This Row],[Product_ID]],'03_Product_Master'!$A$1:$D$14,4,FALSE),"Missing")</f>
        <v>420</v>
      </c>
      <c r="Q392" s="25" t="str">
        <f>IF('03_Clean_data'!E392="","Missing",IFERROR(IF(VLOOKUP(E392,'04_Branch_Master'!$A$1:$C$7,1,FALSE)='03_Clean_data'!E392,"Valid","Invalid"),"Invalid"))</f>
        <v>Valid</v>
      </c>
      <c r="R392" s="25" t="str">
        <f>IFERROR(VLOOKUP(tbl_clean_sales[[#This Row],[Branch_ID]],'04_Branch_Master'!$A$1:$C$7,2,FALSE),"Missing")</f>
        <v>Avinashi Road</v>
      </c>
      <c r="S392" s="25" t="str">
        <f>IFERROR(VLOOKUP(tbl_clean_sales[[#This Row],[Branch_ID]],'04_Branch_Master'!$A$1:$C$7,3,FALSE),"Missing")</f>
        <v>North</v>
      </c>
      <c r="T392" s="25" t="str">
        <f>C392&amp;"|"&amp;TEXT(tbl_clean_sales[[#This Row],[Date]],"yyyymm")</f>
        <v>E004|202604</v>
      </c>
      <c r="U392" s="25">
        <f>IFERROR(INDEX('05_Target_Master'!$A$1:$F$32,MATCH(tbl_clean_sales[[#This Row],[target key]],'05_Target_Master'!$F$1:$F$32,0),3),"Missing")</f>
        <v>163600</v>
      </c>
    </row>
    <row r="393" spans="1:21" x14ac:dyDescent="0.3">
      <c r="A393" s="21">
        <v>46182</v>
      </c>
      <c r="B393" s="22" t="s">
        <v>426</v>
      </c>
      <c r="C393" s="22" t="s">
        <v>46</v>
      </c>
      <c r="D393" s="22" t="s">
        <v>13</v>
      </c>
      <c r="E393" s="22" t="s">
        <v>32</v>
      </c>
      <c r="F393" s="22">
        <v>4</v>
      </c>
      <c r="G393" s="23">
        <v>1513.67</v>
      </c>
      <c r="H393" s="25" t="str">
        <f>IF(COUNTIF(tbl_clean_sales[Invoice_ID],tbl_clean_sales[[#This Row],[Invoice_ID]])&gt;1,"Duplicate","Unique")</f>
        <v>Unique</v>
      </c>
      <c r="I393" s="25"/>
      <c r="J39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3" s="25" t="str">
        <f>IFERROR(VLOOKUP(tbl_clean_sales[[#This Row],[Employee_ID]],'02_Employee_Master'!$A$1:$C$12,2,FALSE),"Employee Name Missing")</f>
        <v>Suresh B</v>
      </c>
      <c r="L393" s="25" t="str">
        <f>IFERROR(VLOOKUP(tbl_clean_sales[[#This Row],[Employee_ID]],'02_Employee_Master'!$A$1:$C$12,3,FALSE),"Department Name Missing")</f>
        <v>Sales</v>
      </c>
      <c r="M393" s="25" t="str">
        <f>IF('03_Clean_data'!D393="","Missing",IFERROR(IF(VLOOKUP(D393,'03_Product_Master'!$A$1:$D$14,1,FALSE)='03_Clean_data'!D393,"Valid","Invalid"),"Invalid"))</f>
        <v>Valid</v>
      </c>
      <c r="N393" s="25" t="str">
        <f>IFERROR(VLOOKUP(tbl_clean_sales[[#This Row],[Product_ID]],'03_Product_Master'!$A$1:$D$14,2,FALSE),"Missing")</f>
        <v>Body Lotion</v>
      </c>
      <c r="O393" s="25" t="str">
        <f>IFERROR(VLOOKUP(tbl_clean_sales[[#This Row],[Product_ID]],'03_Product_Master'!$A$1:$D$14,3,FALSE),"Missing")</f>
        <v>Personal Care</v>
      </c>
      <c r="P393" s="25">
        <f>IFERROR(VLOOKUP(tbl_clean_sales[[#This Row],[Product_ID]],'03_Product_Master'!$A$1:$D$14,4,FALSE),"Missing")</f>
        <v>390</v>
      </c>
      <c r="Q393" s="25" t="str">
        <f>IF('03_Clean_data'!E393="","Missing",IFERROR(IF(VLOOKUP(E393,'04_Branch_Master'!$A$1:$C$7,1,FALSE)='03_Clean_data'!E393,"Valid","Invalid"),"Invalid"))</f>
        <v>Valid</v>
      </c>
      <c r="R393" s="25" t="str">
        <f>IFERROR(VLOOKUP(tbl_clean_sales[[#This Row],[Branch_ID]],'04_Branch_Master'!$A$1:$C$7,2,FALSE),"Missing")</f>
        <v>Kangeyam</v>
      </c>
      <c r="S393" s="25" t="str">
        <f>IFERROR(VLOOKUP(tbl_clean_sales[[#This Row],[Branch_ID]],'04_Branch_Master'!$A$1:$C$7,3,FALSE),"Missing")</f>
        <v>East</v>
      </c>
      <c r="T393" s="25" t="str">
        <f>C393&amp;"|"&amp;TEXT(tbl_clean_sales[[#This Row],[Date]],"yyyymm")</f>
        <v>E007|202606</v>
      </c>
      <c r="U393" s="25">
        <f>IFERROR(INDEX('05_Target_Master'!$A$1:$F$32,MATCH(tbl_clean_sales[[#This Row],[target key]],'05_Target_Master'!$F$1:$F$32,0),3),"Missing")</f>
        <v>124400</v>
      </c>
    </row>
    <row r="394" spans="1:21" x14ac:dyDescent="0.3">
      <c r="A394" s="21">
        <v>46157</v>
      </c>
      <c r="B394" s="22" t="s">
        <v>427</v>
      </c>
      <c r="C394" s="22" t="s">
        <v>18</v>
      </c>
      <c r="D394" s="22" t="s">
        <v>82</v>
      </c>
      <c r="E394" s="22" t="s">
        <v>14</v>
      </c>
      <c r="F394" s="22">
        <v>12</v>
      </c>
      <c r="G394" s="23">
        <v>1307.72</v>
      </c>
      <c r="H394" s="25" t="str">
        <f>IF(COUNTIF(tbl_clean_sales[Invoice_ID],tbl_clean_sales[[#This Row],[Invoice_ID]])&gt;1,"Duplicate","Unique")</f>
        <v>Unique</v>
      </c>
      <c r="I394" s="25"/>
      <c r="J39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4" s="25" t="str">
        <f>IFERROR(VLOOKUP(tbl_clean_sales[[#This Row],[Employee_ID]],'02_Employee_Master'!$A$1:$C$12,2,FALSE),"Employee Name Missing")</f>
        <v>Rahul M</v>
      </c>
      <c r="L394" s="25" t="str">
        <f>IFERROR(VLOOKUP(tbl_clean_sales[[#This Row],[Employee_ID]],'02_Employee_Master'!$A$1:$C$12,3,FALSE),"Department Name Missing")</f>
        <v>Sales</v>
      </c>
      <c r="M394" s="25" t="str">
        <f>IF('03_Clean_data'!D394="","Missing",IFERROR(IF(VLOOKUP(D394,'03_Product_Master'!$A$1:$D$14,1,FALSE)='03_Clean_data'!D394,"Valid","Invalid"),"Invalid"))</f>
        <v>Valid</v>
      </c>
      <c r="N394" s="25" t="str">
        <f>IFERROR(VLOOKUP(tbl_clean_sales[[#This Row],[Product_ID]],'03_Product_Master'!$A$1:$D$14,2,FALSE),"Missing")</f>
        <v>Chocolate Bar</v>
      </c>
      <c r="O394" s="25" t="str">
        <f>IFERROR(VLOOKUP(tbl_clean_sales[[#This Row],[Product_ID]],'03_Product_Master'!$A$1:$D$14,3,FALSE),"Missing")</f>
        <v>Snacks</v>
      </c>
      <c r="P394" s="25">
        <f>IFERROR(VLOOKUP(tbl_clean_sales[[#This Row],[Product_ID]],'03_Product_Master'!$A$1:$D$14,4,FALSE),"Missing")</f>
        <v>120</v>
      </c>
      <c r="Q394" s="25" t="str">
        <f>IF('03_Clean_data'!E394="","Missing",IFERROR(IF(VLOOKUP(E394,'04_Branch_Master'!$A$1:$C$7,1,FALSE)='03_Clean_data'!E394,"Valid","Invalid"),"Invalid"))</f>
        <v>Valid</v>
      </c>
      <c r="R394" s="25" t="str">
        <f>IFERROR(VLOOKUP(tbl_clean_sales[[#This Row],[Branch_ID]],'04_Branch_Master'!$A$1:$C$7,2,FALSE),"Missing")</f>
        <v>Avinashi Road</v>
      </c>
      <c r="S394" s="25" t="str">
        <f>IFERROR(VLOOKUP(tbl_clean_sales[[#This Row],[Branch_ID]],'04_Branch_Master'!$A$1:$C$7,3,FALSE),"Missing")</f>
        <v>North</v>
      </c>
      <c r="T394" s="25" t="str">
        <f>C394&amp;"|"&amp;TEXT(tbl_clean_sales[[#This Row],[Date]],"yyyymm")</f>
        <v>E003|202605</v>
      </c>
      <c r="U394" s="25">
        <f>IFERROR(INDEX('05_Target_Master'!$A$1:$F$32,MATCH(tbl_clean_sales[[#This Row],[target key]],'05_Target_Master'!$F$1:$F$32,0),3),"Missing")</f>
        <v>126000</v>
      </c>
    </row>
    <row r="395" spans="1:21" x14ac:dyDescent="0.3">
      <c r="A395" s="21">
        <v>46117</v>
      </c>
      <c r="B395" s="22" t="s">
        <v>428</v>
      </c>
      <c r="C395" s="22" t="s">
        <v>46</v>
      </c>
      <c r="D395" s="22" t="s">
        <v>36</v>
      </c>
      <c r="E395" s="22" t="s">
        <v>32</v>
      </c>
      <c r="F395" s="22">
        <v>1</v>
      </c>
      <c r="G395" s="23">
        <v>184.51</v>
      </c>
      <c r="H395" s="25" t="str">
        <f>IF(COUNTIF(tbl_clean_sales[Invoice_ID],tbl_clean_sales[[#This Row],[Invoice_ID]])&gt;1,"Duplicate","Unique")</f>
        <v>Unique</v>
      </c>
      <c r="I395" s="25"/>
      <c r="J39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5" s="25" t="str">
        <f>IFERROR(VLOOKUP(tbl_clean_sales[[#This Row],[Employee_ID]],'02_Employee_Master'!$A$1:$C$12,2,FALSE),"Employee Name Missing")</f>
        <v>Suresh B</v>
      </c>
      <c r="L395" s="25" t="str">
        <f>IFERROR(VLOOKUP(tbl_clean_sales[[#This Row],[Employee_ID]],'02_Employee_Master'!$A$1:$C$12,3,FALSE),"Department Name Missing")</f>
        <v>Sales</v>
      </c>
      <c r="M395" s="25" t="str">
        <f>IF('03_Clean_data'!D395="","Missing",IFERROR(IF(VLOOKUP(D395,'03_Product_Master'!$A$1:$D$14,1,FALSE)='03_Clean_data'!D395,"Valid","Invalid"),"Invalid"))</f>
        <v>Valid</v>
      </c>
      <c r="N395" s="25" t="str">
        <f>IFERROR(VLOOKUP(tbl_clean_sales[[#This Row],[Product_ID]],'03_Product_Master'!$A$1:$D$14,2,FALSE),"Missing")</f>
        <v>Dish Wash</v>
      </c>
      <c r="O395" s="25" t="str">
        <f>IFERROR(VLOOKUP(tbl_clean_sales[[#This Row],[Product_ID]],'03_Product_Master'!$A$1:$D$14,3,FALSE),"Missing")</f>
        <v>Home Care</v>
      </c>
      <c r="P395" s="25">
        <f>IFERROR(VLOOKUP(tbl_clean_sales[[#This Row],[Product_ID]],'03_Product_Master'!$A$1:$D$14,4,FALSE),"Missing")</f>
        <v>190</v>
      </c>
      <c r="Q395" s="25" t="str">
        <f>IF('03_Clean_data'!E395="","Missing",IFERROR(IF(VLOOKUP(E395,'04_Branch_Master'!$A$1:$C$7,1,FALSE)='03_Clean_data'!E395,"Valid","Invalid"),"Invalid"))</f>
        <v>Valid</v>
      </c>
      <c r="R395" s="25" t="str">
        <f>IFERROR(VLOOKUP(tbl_clean_sales[[#This Row],[Branch_ID]],'04_Branch_Master'!$A$1:$C$7,2,FALSE),"Missing")</f>
        <v>Kangeyam</v>
      </c>
      <c r="S395" s="25" t="str">
        <f>IFERROR(VLOOKUP(tbl_clean_sales[[#This Row],[Branch_ID]],'04_Branch_Master'!$A$1:$C$7,3,FALSE),"Missing")</f>
        <v>East</v>
      </c>
      <c r="T395" s="25" t="str">
        <f>C395&amp;"|"&amp;TEXT(tbl_clean_sales[[#This Row],[Date]],"yyyymm")</f>
        <v>E007|202604</v>
      </c>
      <c r="U395" s="25">
        <f>IFERROR(INDEX('05_Target_Master'!$A$1:$F$32,MATCH(tbl_clean_sales[[#This Row],[target key]],'05_Target_Master'!$F$1:$F$32,0),3),"Missing")</f>
        <v>129600</v>
      </c>
    </row>
    <row r="396" spans="1:21" x14ac:dyDescent="0.3">
      <c r="A396" s="21">
        <v>46121</v>
      </c>
      <c r="B396" s="22" t="s">
        <v>429</v>
      </c>
      <c r="C396" s="22" t="s">
        <v>21</v>
      </c>
      <c r="D396" s="22" t="s">
        <v>36</v>
      </c>
      <c r="E396" s="22" t="s">
        <v>22</v>
      </c>
      <c r="F396" s="22">
        <v>10</v>
      </c>
      <c r="G396" s="23">
        <v>1746.78</v>
      </c>
      <c r="H396" s="25" t="str">
        <f>IF(COUNTIF(tbl_clean_sales[Invoice_ID],tbl_clean_sales[[#This Row],[Invoice_ID]])&gt;1,"Duplicate","Unique")</f>
        <v>Unique</v>
      </c>
      <c r="I396" s="25"/>
      <c r="J39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6" s="25" t="str">
        <f>IFERROR(VLOOKUP(tbl_clean_sales[[#This Row],[Employee_ID]],'02_Employee_Master'!$A$1:$C$12,2,FALSE),"Employee Name Missing")</f>
        <v>Priya S</v>
      </c>
      <c r="L396" s="25" t="str">
        <f>IFERROR(VLOOKUP(tbl_clean_sales[[#This Row],[Employee_ID]],'02_Employee_Master'!$A$1:$C$12,3,FALSE),"Department Name Missing")</f>
        <v>Sales</v>
      </c>
      <c r="M396" s="25" t="str">
        <f>IF('03_Clean_data'!D396="","Missing",IFERROR(IF(VLOOKUP(D396,'03_Product_Master'!$A$1:$D$14,1,FALSE)='03_Clean_data'!D396,"Valid","Invalid"),"Invalid"))</f>
        <v>Valid</v>
      </c>
      <c r="N396" s="25" t="str">
        <f>IFERROR(VLOOKUP(tbl_clean_sales[[#This Row],[Product_ID]],'03_Product_Master'!$A$1:$D$14,2,FALSE),"Missing")</f>
        <v>Dish Wash</v>
      </c>
      <c r="O396" s="25" t="str">
        <f>IFERROR(VLOOKUP(tbl_clean_sales[[#This Row],[Product_ID]],'03_Product_Master'!$A$1:$D$14,3,FALSE),"Missing")</f>
        <v>Home Care</v>
      </c>
      <c r="P396" s="25">
        <f>IFERROR(VLOOKUP(tbl_clean_sales[[#This Row],[Product_ID]],'03_Product_Master'!$A$1:$D$14,4,FALSE),"Missing")</f>
        <v>190</v>
      </c>
      <c r="Q396" s="25" t="str">
        <f>IF('03_Clean_data'!E396="","Missing",IFERROR(IF(VLOOKUP(E396,'04_Branch_Master'!$A$1:$C$7,1,FALSE)='03_Clean_data'!E396,"Valid","Invalid"),"Invalid"))</f>
        <v>Valid</v>
      </c>
      <c r="R396" s="25" t="str">
        <f>IFERROR(VLOOKUP(tbl_clean_sales[[#This Row],[Branch_ID]],'04_Branch_Master'!$A$1:$C$7,2,FALSE),"Missing")</f>
        <v>Tirupur Central</v>
      </c>
      <c r="S396" s="25" t="str">
        <f>IFERROR(VLOOKUP(tbl_clean_sales[[#This Row],[Branch_ID]],'04_Branch_Master'!$A$1:$C$7,3,FALSE),"Missing")</f>
        <v>North</v>
      </c>
      <c r="T396" s="25" t="str">
        <f>C396&amp;"|"&amp;TEXT(tbl_clean_sales[[#This Row],[Date]],"yyyymm")</f>
        <v>E002|202604</v>
      </c>
      <c r="U396" s="25">
        <f>IFERROR(INDEX('05_Target_Master'!$A$1:$F$32,MATCH(tbl_clean_sales[[#This Row],[target key]],'05_Target_Master'!$F$1:$F$32,0),3),"Missing")</f>
        <v>122300</v>
      </c>
    </row>
    <row r="397" spans="1:21" x14ac:dyDescent="0.3">
      <c r="A397" s="21">
        <v>46119</v>
      </c>
      <c r="B397" s="22" t="s">
        <v>430</v>
      </c>
      <c r="C397" s="22" t="s">
        <v>12</v>
      </c>
      <c r="D397" s="22" t="s">
        <v>19</v>
      </c>
      <c r="E397" s="22" t="s">
        <v>14</v>
      </c>
      <c r="F397" s="22">
        <v>8</v>
      </c>
      <c r="G397" s="23">
        <v>1788.26</v>
      </c>
      <c r="H397" s="25" t="str">
        <f>IF(COUNTIF(tbl_clean_sales[Invoice_ID],tbl_clean_sales[[#This Row],[Invoice_ID]])&gt;1,"Duplicate","Unique")</f>
        <v>Unique</v>
      </c>
      <c r="I397" s="25"/>
      <c r="J39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7" s="25" t="str">
        <f>IFERROR(VLOOKUP(tbl_clean_sales[[#This Row],[Employee_ID]],'02_Employee_Master'!$A$1:$C$12,2,FALSE),"Employee Name Missing")</f>
        <v>Divya R</v>
      </c>
      <c r="L397" s="25" t="str">
        <f>IFERROR(VLOOKUP(tbl_clean_sales[[#This Row],[Employee_ID]],'02_Employee_Master'!$A$1:$C$12,3,FALSE),"Department Name Missing")</f>
        <v>Sales</v>
      </c>
      <c r="M397" s="25" t="str">
        <f>IF('03_Clean_data'!D397="","Missing",IFERROR(IF(VLOOKUP(D397,'03_Product_Master'!$A$1:$D$14,1,FALSE)='03_Clean_data'!D397,"Valid","Invalid"),"Invalid"))</f>
        <v>Valid</v>
      </c>
      <c r="N397" s="25" t="str">
        <f>IFERROR(VLOOKUP(tbl_clean_sales[[#This Row],[Product_ID]],'03_Product_Master'!$A$1:$D$14,2,FALSE),"Missing")</f>
        <v>Floor Cleaner</v>
      </c>
      <c r="O397" s="25" t="str">
        <f>IFERROR(VLOOKUP(tbl_clean_sales[[#This Row],[Product_ID]],'03_Product_Master'!$A$1:$D$14,3,FALSE),"Missing")</f>
        <v>Home Care</v>
      </c>
      <c r="P397" s="25">
        <f>IFERROR(VLOOKUP(tbl_clean_sales[[#This Row],[Product_ID]],'03_Product_Master'!$A$1:$D$14,4,FALSE),"Missing")</f>
        <v>230</v>
      </c>
      <c r="Q397" s="25" t="str">
        <f>IF('03_Clean_data'!E397="","Missing",IFERROR(IF(VLOOKUP(E397,'04_Branch_Master'!$A$1:$C$7,1,FALSE)='03_Clean_data'!E397,"Valid","Invalid"),"Invalid"))</f>
        <v>Valid</v>
      </c>
      <c r="R397" s="25" t="str">
        <f>IFERROR(VLOOKUP(tbl_clean_sales[[#This Row],[Branch_ID]],'04_Branch_Master'!$A$1:$C$7,2,FALSE),"Missing")</f>
        <v>Avinashi Road</v>
      </c>
      <c r="S397" s="25" t="str">
        <f>IFERROR(VLOOKUP(tbl_clean_sales[[#This Row],[Branch_ID]],'04_Branch_Master'!$A$1:$C$7,3,FALSE),"Missing")</f>
        <v>North</v>
      </c>
      <c r="T397" s="25" t="str">
        <f>C397&amp;"|"&amp;TEXT(tbl_clean_sales[[#This Row],[Date]],"yyyymm")</f>
        <v>E004|202604</v>
      </c>
      <c r="U397" s="25">
        <f>IFERROR(INDEX('05_Target_Master'!$A$1:$F$32,MATCH(tbl_clean_sales[[#This Row],[target key]],'05_Target_Master'!$F$1:$F$32,0),3),"Missing")</f>
        <v>163600</v>
      </c>
    </row>
    <row r="398" spans="1:21" x14ac:dyDescent="0.3">
      <c r="A398" s="21">
        <v>46140</v>
      </c>
      <c r="B398" s="22" t="s">
        <v>431</v>
      </c>
      <c r="C398" s="22" t="s">
        <v>74</v>
      </c>
      <c r="D398" s="22" t="s">
        <v>53</v>
      </c>
      <c r="E398" s="22" t="s">
        <v>22</v>
      </c>
      <c r="F398" s="22">
        <v>5</v>
      </c>
      <c r="G398" s="23">
        <v>1700.83</v>
      </c>
      <c r="H398" s="25" t="str">
        <f>IF(COUNTIF(tbl_clean_sales[Invoice_ID],tbl_clean_sales[[#This Row],[Invoice_ID]])&gt;1,"Duplicate","Unique")</f>
        <v>Unique</v>
      </c>
      <c r="I398" s="25"/>
      <c r="J39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8" s="25" t="str">
        <f>IFERROR(VLOOKUP(tbl_clean_sales[[#This Row],[Employee_ID]],'02_Employee_Master'!$A$1:$C$12,2,FALSE),"Employee Name Missing")</f>
        <v>Arun Kumar</v>
      </c>
      <c r="L398" s="25" t="str">
        <f>IFERROR(VLOOKUP(tbl_clean_sales[[#This Row],[Employee_ID]],'02_Employee_Master'!$A$1:$C$12,3,FALSE),"Department Name Missing")</f>
        <v>Sales</v>
      </c>
      <c r="M398" s="25" t="str">
        <f>IF('03_Clean_data'!D398="","Missing",IFERROR(IF(VLOOKUP(D398,'03_Product_Master'!$A$1:$D$14,1,FALSE)='03_Clean_data'!D398,"Valid","Invalid"),"Invalid"))</f>
        <v>Valid</v>
      </c>
      <c r="N398" s="25" t="str">
        <f>IFERROR(VLOOKUP(tbl_clean_sales[[#This Row],[Product_ID]],'03_Product_Master'!$A$1:$D$14,2,FALSE),"Missing")</f>
        <v>Instant Coffee</v>
      </c>
      <c r="O398" s="25" t="str">
        <f>IFERROR(VLOOKUP(tbl_clean_sales[[#This Row],[Product_ID]],'03_Product_Master'!$A$1:$D$14,3,FALSE),"Missing")</f>
        <v>Beverages</v>
      </c>
      <c r="P398" s="25">
        <f>IFERROR(VLOOKUP(tbl_clean_sales[[#This Row],[Product_ID]],'03_Product_Master'!$A$1:$D$14,4,FALSE),"Missing")</f>
        <v>350</v>
      </c>
      <c r="Q398" s="25" t="str">
        <f>IF('03_Clean_data'!E398="","Missing",IFERROR(IF(VLOOKUP(E398,'04_Branch_Master'!$A$1:$C$7,1,FALSE)='03_Clean_data'!E398,"Valid","Invalid"),"Invalid"))</f>
        <v>Valid</v>
      </c>
      <c r="R398" s="25" t="str">
        <f>IFERROR(VLOOKUP(tbl_clean_sales[[#This Row],[Branch_ID]],'04_Branch_Master'!$A$1:$C$7,2,FALSE),"Missing")</f>
        <v>Tirupur Central</v>
      </c>
      <c r="S398" s="25" t="str">
        <f>IFERROR(VLOOKUP(tbl_clean_sales[[#This Row],[Branch_ID]],'04_Branch_Master'!$A$1:$C$7,3,FALSE),"Missing")</f>
        <v>North</v>
      </c>
      <c r="T398" s="25" t="str">
        <f>C398&amp;"|"&amp;TEXT(tbl_clean_sales[[#This Row],[Date]],"yyyymm")</f>
        <v>E001|202604</v>
      </c>
      <c r="U398" s="25">
        <f>IFERROR(INDEX('05_Target_Master'!$A$1:$F$32,MATCH(tbl_clean_sales[[#This Row],[target key]],'05_Target_Master'!$F$1:$F$32,0),3),"Missing")</f>
        <v>156900</v>
      </c>
    </row>
    <row r="399" spans="1:21" x14ac:dyDescent="0.3">
      <c r="A399" s="21">
        <v>46186</v>
      </c>
      <c r="B399" s="22" t="s">
        <v>432</v>
      </c>
      <c r="C399" s="22" t="s">
        <v>40</v>
      </c>
      <c r="D399" s="22" t="s">
        <v>36</v>
      </c>
      <c r="E399" s="22" t="s">
        <v>26</v>
      </c>
      <c r="F399" s="22">
        <v>11</v>
      </c>
      <c r="G399" s="23">
        <v>1884.75</v>
      </c>
      <c r="H399" s="25" t="str">
        <f>IF(COUNTIF(tbl_clean_sales[Invoice_ID],tbl_clean_sales[[#This Row],[Invoice_ID]])&gt;1,"Duplicate","Unique")</f>
        <v>Unique</v>
      </c>
      <c r="I399" s="25"/>
      <c r="J39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399" s="25" t="str">
        <f>IFERROR(VLOOKUP(tbl_clean_sales[[#This Row],[Employee_ID]],'02_Employee_Master'!$A$1:$C$12,2,FALSE),"Employee Name Missing")</f>
        <v>Meena V</v>
      </c>
      <c r="L399" s="25" t="str">
        <f>IFERROR(VLOOKUP(tbl_clean_sales[[#This Row],[Employee_ID]],'02_Employee_Master'!$A$1:$C$12,3,FALSE),"Department Name Missing")</f>
        <v>Sales</v>
      </c>
      <c r="M399" s="25" t="str">
        <f>IF('03_Clean_data'!D399="","Missing",IFERROR(IF(VLOOKUP(D399,'03_Product_Master'!$A$1:$D$14,1,FALSE)='03_Clean_data'!D399,"Valid","Invalid"),"Invalid"))</f>
        <v>Valid</v>
      </c>
      <c r="N399" s="25" t="str">
        <f>IFERROR(VLOOKUP(tbl_clean_sales[[#This Row],[Product_ID]],'03_Product_Master'!$A$1:$D$14,2,FALSE),"Missing")</f>
        <v>Dish Wash</v>
      </c>
      <c r="O399" s="25" t="str">
        <f>IFERROR(VLOOKUP(tbl_clean_sales[[#This Row],[Product_ID]],'03_Product_Master'!$A$1:$D$14,3,FALSE),"Missing")</f>
        <v>Home Care</v>
      </c>
      <c r="P399" s="25">
        <f>IFERROR(VLOOKUP(tbl_clean_sales[[#This Row],[Product_ID]],'03_Product_Master'!$A$1:$D$14,4,FALSE),"Missing")</f>
        <v>190</v>
      </c>
      <c r="Q399" s="25" t="str">
        <f>IF('03_Clean_data'!E399="","Missing",IFERROR(IF(VLOOKUP(E399,'04_Branch_Master'!$A$1:$C$7,1,FALSE)='03_Clean_data'!E399,"Valid","Invalid"),"Invalid"))</f>
        <v>Valid</v>
      </c>
      <c r="R399" s="25" t="str">
        <f>IFERROR(VLOOKUP(tbl_clean_sales[[#This Row],[Branch_ID]],'04_Branch_Master'!$A$1:$C$7,2,FALSE),"Missing")</f>
        <v>Palladam</v>
      </c>
      <c r="S399" s="25" t="str">
        <f>IFERROR(VLOOKUP(tbl_clean_sales[[#This Row],[Branch_ID]],'04_Branch_Master'!$A$1:$C$7,3,FALSE),"Missing")</f>
        <v>South</v>
      </c>
      <c r="T399" s="25" t="str">
        <f>C399&amp;"|"&amp;TEXT(tbl_clean_sales[[#This Row],[Date]],"yyyymm")</f>
        <v>E006|202606</v>
      </c>
      <c r="U399" s="25">
        <f>IFERROR(INDEX('05_Target_Master'!$A$1:$F$32,MATCH(tbl_clean_sales[[#This Row],[target key]],'05_Target_Master'!$F$1:$F$32,0),3),"Missing")</f>
        <v>125800</v>
      </c>
    </row>
    <row r="400" spans="1:21" x14ac:dyDescent="0.3">
      <c r="A400" s="21">
        <v>46143</v>
      </c>
      <c r="B400" s="22" t="s">
        <v>433</v>
      </c>
      <c r="C400" s="22" t="s">
        <v>24</v>
      </c>
      <c r="D400" s="22" t="s">
        <v>53</v>
      </c>
      <c r="E400" s="22" t="s">
        <v>10</v>
      </c>
      <c r="F400" s="22">
        <v>4</v>
      </c>
      <c r="G400" s="23">
        <v>1330.52</v>
      </c>
      <c r="H400" s="25" t="str">
        <f>IF(COUNTIF(tbl_clean_sales[Invoice_ID],tbl_clean_sales[[#This Row],[Invoice_ID]])&gt;1,"Duplicate","Unique")</f>
        <v>Unique</v>
      </c>
      <c r="I400" s="25"/>
      <c r="J40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0" s="25" t="str">
        <f>IFERROR(VLOOKUP(tbl_clean_sales[[#This Row],[Employee_ID]],'02_Employee_Master'!$A$1:$C$12,2,FALSE),"Employee Name Missing")</f>
        <v>Karthik P</v>
      </c>
      <c r="L400" s="25" t="str">
        <f>IFERROR(VLOOKUP(tbl_clean_sales[[#This Row],[Employee_ID]],'02_Employee_Master'!$A$1:$C$12,3,FALSE),"Department Name Missing")</f>
        <v>Sales</v>
      </c>
      <c r="M400" s="25" t="str">
        <f>IF('03_Clean_data'!D400="","Missing",IFERROR(IF(VLOOKUP(D400,'03_Product_Master'!$A$1:$D$14,1,FALSE)='03_Clean_data'!D400,"Valid","Invalid"),"Invalid"))</f>
        <v>Valid</v>
      </c>
      <c r="N400" s="25" t="str">
        <f>IFERROR(VLOOKUP(tbl_clean_sales[[#This Row],[Product_ID]],'03_Product_Master'!$A$1:$D$14,2,FALSE),"Missing")</f>
        <v>Instant Coffee</v>
      </c>
      <c r="O400" s="25" t="str">
        <f>IFERROR(VLOOKUP(tbl_clean_sales[[#This Row],[Product_ID]],'03_Product_Master'!$A$1:$D$14,3,FALSE),"Missing")</f>
        <v>Beverages</v>
      </c>
      <c r="P400" s="25">
        <f>IFERROR(VLOOKUP(tbl_clean_sales[[#This Row],[Product_ID]],'03_Product_Master'!$A$1:$D$14,4,FALSE),"Missing")</f>
        <v>350</v>
      </c>
      <c r="Q400" s="25" t="str">
        <f>IF('03_Clean_data'!E400="","Missing",IFERROR(IF(VLOOKUP(E400,'04_Branch_Master'!$A$1:$C$7,1,FALSE)='03_Clean_data'!E400,"Valid","Invalid"),"Invalid"))</f>
        <v>Valid</v>
      </c>
      <c r="R400" s="25" t="str">
        <f>IFERROR(VLOOKUP(tbl_clean_sales[[#This Row],[Branch_ID]],'04_Branch_Master'!$A$1:$C$7,2,FALSE),"Missing")</f>
        <v>Dharapuram</v>
      </c>
      <c r="S400" s="25" t="str">
        <f>IFERROR(VLOOKUP(tbl_clean_sales[[#This Row],[Branch_ID]],'04_Branch_Master'!$A$1:$C$7,3,FALSE),"Missing")</f>
        <v>South</v>
      </c>
      <c r="T400" s="25" t="str">
        <f>C400&amp;"|"&amp;TEXT(tbl_clean_sales[[#This Row],[Date]],"yyyymm")</f>
        <v>E005|202605</v>
      </c>
      <c r="U400" s="25">
        <f>IFERROR(INDEX('05_Target_Master'!$A$1:$F$32,MATCH(tbl_clean_sales[[#This Row],[target key]],'05_Target_Master'!$F$1:$F$32,0),3),"Missing")</f>
        <v>143700</v>
      </c>
    </row>
    <row r="401" spans="1:21" x14ac:dyDescent="0.3">
      <c r="A401" s="21">
        <v>46148</v>
      </c>
      <c r="B401" s="22" t="s">
        <v>434</v>
      </c>
      <c r="C401" s="22" t="s">
        <v>74</v>
      </c>
      <c r="D401" s="22" t="s">
        <v>13</v>
      </c>
      <c r="E401" s="22" t="s">
        <v>14</v>
      </c>
      <c r="F401" s="22">
        <v>11</v>
      </c>
      <c r="G401" s="23">
        <v>3940.58</v>
      </c>
      <c r="H401" s="25" t="str">
        <f>IF(COUNTIF(tbl_clean_sales[Invoice_ID],tbl_clean_sales[[#This Row],[Invoice_ID]])&gt;1,"Duplicate","Unique")</f>
        <v>Unique</v>
      </c>
      <c r="I401" s="25"/>
      <c r="J40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1" s="25" t="str">
        <f>IFERROR(VLOOKUP(tbl_clean_sales[[#This Row],[Employee_ID]],'02_Employee_Master'!$A$1:$C$12,2,FALSE),"Employee Name Missing")</f>
        <v>Arun Kumar</v>
      </c>
      <c r="L401" s="25" t="str">
        <f>IFERROR(VLOOKUP(tbl_clean_sales[[#This Row],[Employee_ID]],'02_Employee_Master'!$A$1:$C$12,3,FALSE),"Department Name Missing")</f>
        <v>Sales</v>
      </c>
      <c r="M401" s="25" t="str">
        <f>IF('03_Clean_data'!D401="","Missing",IFERROR(IF(VLOOKUP(D401,'03_Product_Master'!$A$1:$D$14,1,FALSE)='03_Clean_data'!D401,"Valid","Invalid"),"Invalid"))</f>
        <v>Valid</v>
      </c>
      <c r="N401" s="25" t="str">
        <f>IFERROR(VLOOKUP(tbl_clean_sales[[#This Row],[Product_ID]],'03_Product_Master'!$A$1:$D$14,2,FALSE),"Missing")</f>
        <v>Body Lotion</v>
      </c>
      <c r="O401" s="25" t="str">
        <f>IFERROR(VLOOKUP(tbl_clean_sales[[#This Row],[Product_ID]],'03_Product_Master'!$A$1:$D$14,3,FALSE),"Missing")</f>
        <v>Personal Care</v>
      </c>
      <c r="P401" s="25">
        <f>IFERROR(VLOOKUP(tbl_clean_sales[[#This Row],[Product_ID]],'03_Product_Master'!$A$1:$D$14,4,FALSE),"Missing")</f>
        <v>390</v>
      </c>
      <c r="Q401" s="25" t="str">
        <f>IF('03_Clean_data'!E401="","Missing",IFERROR(IF(VLOOKUP(E401,'04_Branch_Master'!$A$1:$C$7,1,FALSE)='03_Clean_data'!E401,"Valid","Invalid"),"Invalid"))</f>
        <v>Valid</v>
      </c>
      <c r="R401" s="25" t="str">
        <f>IFERROR(VLOOKUP(tbl_clean_sales[[#This Row],[Branch_ID]],'04_Branch_Master'!$A$1:$C$7,2,FALSE),"Missing")</f>
        <v>Avinashi Road</v>
      </c>
      <c r="S401" s="25" t="str">
        <f>IFERROR(VLOOKUP(tbl_clean_sales[[#This Row],[Branch_ID]],'04_Branch_Master'!$A$1:$C$7,3,FALSE),"Missing")</f>
        <v>North</v>
      </c>
      <c r="T401" s="25" t="str">
        <f>C401&amp;"|"&amp;TEXT(tbl_clean_sales[[#This Row],[Date]],"yyyymm")</f>
        <v>E001|202605</v>
      </c>
      <c r="U401" s="25">
        <f>IFERROR(INDEX('05_Target_Master'!$A$1:$F$32,MATCH(tbl_clean_sales[[#This Row],[target key]],'05_Target_Master'!$F$1:$F$32,0),3),"Missing")</f>
        <v>169500</v>
      </c>
    </row>
    <row r="402" spans="1:21" x14ac:dyDescent="0.3">
      <c r="A402" s="21">
        <v>46184</v>
      </c>
      <c r="B402" s="22" t="s">
        <v>435</v>
      </c>
      <c r="C402" s="22" t="s">
        <v>38</v>
      </c>
      <c r="D402" s="22" t="s">
        <v>25</v>
      </c>
      <c r="E402" s="22" t="s">
        <v>32</v>
      </c>
      <c r="F402" s="22">
        <v>9</v>
      </c>
      <c r="G402" s="23">
        <v>3635.42</v>
      </c>
      <c r="H402" s="25" t="str">
        <f>IF(COUNTIF(tbl_clean_sales[Invoice_ID],tbl_clean_sales[[#This Row],[Invoice_ID]])&gt;1,"Duplicate","Unique")</f>
        <v>Unique</v>
      </c>
      <c r="I402" s="25"/>
      <c r="J40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2" s="25" t="str">
        <f>IFERROR(VLOOKUP(tbl_clean_sales[[#This Row],[Employee_ID]],'02_Employee_Master'!$A$1:$C$12,2,FALSE),"Employee Name Missing")</f>
        <v>Nandhini K</v>
      </c>
      <c r="L402" s="25" t="str">
        <f>IFERROR(VLOOKUP(tbl_clean_sales[[#This Row],[Employee_ID]],'02_Employee_Master'!$A$1:$C$12,3,FALSE),"Department Name Missing")</f>
        <v>Sales</v>
      </c>
      <c r="M402" s="25" t="str">
        <f>IF('03_Clean_data'!D402="","Missing",IFERROR(IF(VLOOKUP(D402,'03_Product_Master'!$A$1:$D$14,1,FALSE)='03_Clean_data'!D402,"Valid","Invalid"),"Invalid"))</f>
        <v>Valid</v>
      </c>
      <c r="N402" s="25" t="str">
        <f>IFERROR(VLOOKUP(tbl_clean_sales[[#This Row],[Product_ID]],'03_Product_Master'!$A$1:$D$14,2,FALSE),"Missing")</f>
        <v>Premium Coffee</v>
      </c>
      <c r="O402" s="25" t="str">
        <f>IFERROR(VLOOKUP(tbl_clean_sales[[#This Row],[Product_ID]],'03_Product_Master'!$A$1:$D$14,3,FALSE),"Missing")</f>
        <v>Beverages</v>
      </c>
      <c r="P402" s="25">
        <f>IFERROR(VLOOKUP(tbl_clean_sales[[#This Row],[Product_ID]],'03_Product_Master'!$A$1:$D$14,4,FALSE),"Missing")</f>
        <v>420</v>
      </c>
      <c r="Q402" s="25" t="str">
        <f>IF('03_Clean_data'!E402="","Missing",IFERROR(IF(VLOOKUP(E402,'04_Branch_Master'!$A$1:$C$7,1,FALSE)='03_Clean_data'!E402,"Valid","Invalid"),"Invalid"))</f>
        <v>Valid</v>
      </c>
      <c r="R402" s="25" t="str">
        <f>IFERROR(VLOOKUP(tbl_clean_sales[[#This Row],[Branch_ID]],'04_Branch_Master'!$A$1:$C$7,2,FALSE),"Missing")</f>
        <v>Kangeyam</v>
      </c>
      <c r="S402" s="25" t="str">
        <f>IFERROR(VLOOKUP(tbl_clean_sales[[#This Row],[Branch_ID]],'04_Branch_Master'!$A$1:$C$7,3,FALSE),"Missing")</f>
        <v>East</v>
      </c>
      <c r="T402" s="25" t="str">
        <f>C402&amp;"|"&amp;TEXT(tbl_clean_sales[[#This Row],[Date]],"yyyymm")</f>
        <v>E008|202606</v>
      </c>
      <c r="U402" s="25">
        <f>IFERROR(INDEX('05_Target_Master'!$A$1:$F$32,MATCH(tbl_clean_sales[[#This Row],[target key]],'05_Target_Master'!$F$1:$F$32,0),3),"Missing")</f>
        <v>119200</v>
      </c>
    </row>
    <row r="403" spans="1:21" x14ac:dyDescent="0.3">
      <c r="A403" s="21">
        <v>46166</v>
      </c>
      <c r="B403" s="22" t="s">
        <v>436</v>
      </c>
      <c r="C403" s="22" t="s">
        <v>46</v>
      </c>
      <c r="D403" s="22" t="s">
        <v>53</v>
      </c>
      <c r="E403" s="22" t="s">
        <v>32</v>
      </c>
      <c r="F403" s="22">
        <v>3</v>
      </c>
      <c r="G403" s="23">
        <v>954.94</v>
      </c>
      <c r="H403" s="25" t="str">
        <f>IF(COUNTIF(tbl_clean_sales[Invoice_ID],tbl_clean_sales[[#This Row],[Invoice_ID]])&gt;1,"Duplicate","Unique")</f>
        <v>Unique</v>
      </c>
      <c r="I403" s="25"/>
      <c r="J40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3" s="25" t="str">
        <f>IFERROR(VLOOKUP(tbl_clean_sales[[#This Row],[Employee_ID]],'02_Employee_Master'!$A$1:$C$12,2,FALSE),"Employee Name Missing")</f>
        <v>Suresh B</v>
      </c>
      <c r="L403" s="25" t="str">
        <f>IFERROR(VLOOKUP(tbl_clean_sales[[#This Row],[Employee_ID]],'02_Employee_Master'!$A$1:$C$12,3,FALSE),"Department Name Missing")</f>
        <v>Sales</v>
      </c>
      <c r="M403" s="25" t="str">
        <f>IF('03_Clean_data'!D403="","Missing",IFERROR(IF(VLOOKUP(D403,'03_Product_Master'!$A$1:$D$14,1,FALSE)='03_Clean_data'!D403,"Valid","Invalid"),"Invalid"))</f>
        <v>Valid</v>
      </c>
      <c r="N403" s="25" t="str">
        <f>IFERROR(VLOOKUP(tbl_clean_sales[[#This Row],[Product_ID]],'03_Product_Master'!$A$1:$D$14,2,FALSE),"Missing")</f>
        <v>Instant Coffee</v>
      </c>
      <c r="O403" s="25" t="str">
        <f>IFERROR(VLOOKUP(tbl_clean_sales[[#This Row],[Product_ID]],'03_Product_Master'!$A$1:$D$14,3,FALSE),"Missing")</f>
        <v>Beverages</v>
      </c>
      <c r="P403" s="25">
        <f>IFERROR(VLOOKUP(tbl_clean_sales[[#This Row],[Product_ID]],'03_Product_Master'!$A$1:$D$14,4,FALSE),"Missing")</f>
        <v>350</v>
      </c>
      <c r="Q403" s="25" t="str">
        <f>IF('03_Clean_data'!E403="","Missing",IFERROR(IF(VLOOKUP(E403,'04_Branch_Master'!$A$1:$C$7,1,FALSE)='03_Clean_data'!E403,"Valid","Invalid"),"Invalid"))</f>
        <v>Valid</v>
      </c>
      <c r="R403" s="25" t="str">
        <f>IFERROR(VLOOKUP(tbl_clean_sales[[#This Row],[Branch_ID]],'04_Branch_Master'!$A$1:$C$7,2,FALSE),"Missing")</f>
        <v>Kangeyam</v>
      </c>
      <c r="S403" s="25" t="str">
        <f>IFERROR(VLOOKUP(tbl_clean_sales[[#This Row],[Branch_ID]],'04_Branch_Master'!$A$1:$C$7,3,FALSE),"Missing")</f>
        <v>East</v>
      </c>
      <c r="T403" s="25" t="str">
        <f>C403&amp;"|"&amp;TEXT(tbl_clean_sales[[#This Row],[Date]],"yyyymm")</f>
        <v>E007|202605</v>
      </c>
      <c r="U403" s="25">
        <f>IFERROR(INDEX('05_Target_Master'!$A$1:$F$32,MATCH(tbl_clean_sales[[#This Row],[target key]],'05_Target_Master'!$F$1:$F$32,0),3),"Missing")</f>
        <v>140000</v>
      </c>
    </row>
    <row r="404" spans="1:21" x14ac:dyDescent="0.3">
      <c r="A404" s="21">
        <v>46173</v>
      </c>
      <c r="B404" s="22" t="s">
        <v>437</v>
      </c>
      <c r="C404" s="22" t="s">
        <v>12</v>
      </c>
      <c r="D404" s="22" t="s">
        <v>30</v>
      </c>
      <c r="E404" s="22" t="s">
        <v>14</v>
      </c>
      <c r="F404" s="22">
        <v>12</v>
      </c>
      <c r="G404" s="23">
        <v>1886.74</v>
      </c>
      <c r="H404" s="25" t="str">
        <f>IF(COUNTIF(tbl_clean_sales[Invoice_ID],tbl_clean_sales[[#This Row],[Invoice_ID]])&gt;1,"Duplicate","Unique")</f>
        <v>Unique</v>
      </c>
      <c r="I404" s="25"/>
      <c r="J40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4" s="25" t="str">
        <f>IFERROR(VLOOKUP(tbl_clean_sales[[#This Row],[Employee_ID]],'02_Employee_Master'!$A$1:$C$12,2,FALSE),"Employee Name Missing")</f>
        <v>Divya R</v>
      </c>
      <c r="L404" s="25" t="str">
        <f>IFERROR(VLOOKUP(tbl_clean_sales[[#This Row],[Employee_ID]],'02_Employee_Master'!$A$1:$C$12,3,FALSE),"Department Name Missing")</f>
        <v>Sales</v>
      </c>
      <c r="M404" s="25" t="str">
        <f>IF('03_Clean_data'!D404="","Missing",IFERROR(IF(VLOOKUP(D404,'03_Product_Master'!$A$1:$D$14,1,FALSE)='03_Clean_data'!D404,"Valid","Invalid"),"Invalid"))</f>
        <v>Valid</v>
      </c>
      <c r="N404" s="25" t="str">
        <f>IFERROR(VLOOKUP(tbl_clean_sales[[#This Row],[Product_ID]],'03_Product_Master'!$A$1:$D$14,2,FALSE),"Missing")</f>
        <v>Cookies Pack</v>
      </c>
      <c r="O404" s="25" t="str">
        <f>IFERROR(VLOOKUP(tbl_clean_sales[[#This Row],[Product_ID]],'03_Product_Master'!$A$1:$D$14,3,FALSE),"Missing")</f>
        <v>Snacks</v>
      </c>
      <c r="P404" s="25">
        <f>IFERROR(VLOOKUP(tbl_clean_sales[[#This Row],[Product_ID]],'03_Product_Master'!$A$1:$D$14,4,FALSE),"Missing")</f>
        <v>160</v>
      </c>
      <c r="Q404" s="25" t="str">
        <f>IF('03_Clean_data'!E404="","Missing",IFERROR(IF(VLOOKUP(E404,'04_Branch_Master'!$A$1:$C$7,1,FALSE)='03_Clean_data'!E404,"Valid","Invalid"),"Invalid"))</f>
        <v>Valid</v>
      </c>
      <c r="R404" s="25" t="str">
        <f>IFERROR(VLOOKUP(tbl_clean_sales[[#This Row],[Branch_ID]],'04_Branch_Master'!$A$1:$C$7,2,FALSE),"Missing")</f>
        <v>Avinashi Road</v>
      </c>
      <c r="S404" s="25" t="str">
        <f>IFERROR(VLOOKUP(tbl_clean_sales[[#This Row],[Branch_ID]],'04_Branch_Master'!$A$1:$C$7,3,FALSE),"Missing")</f>
        <v>North</v>
      </c>
      <c r="T404" s="25" t="str">
        <f>C404&amp;"|"&amp;TEXT(tbl_clean_sales[[#This Row],[Date]],"yyyymm")</f>
        <v>E004|202605</v>
      </c>
      <c r="U404" s="25">
        <f>IFERROR(INDEX('05_Target_Master'!$A$1:$F$32,MATCH(tbl_clean_sales[[#This Row],[target key]],'05_Target_Master'!$F$1:$F$32,0),3),"Missing")</f>
        <v>176700</v>
      </c>
    </row>
    <row r="405" spans="1:21" x14ac:dyDescent="0.3">
      <c r="A405" s="21">
        <v>46172</v>
      </c>
      <c r="B405" s="22" t="s">
        <v>438</v>
      </c>
      <c r="C405" s="22" t="s">
        <v>74</v>
      </c>
      <c r="D405" s="22" t="s">
        <v>13</v>
      </c>
      <c r="E405" s="22" t="s">
        <v>22</v>
      </c>
      <c r="F405" s="22">
        <v>7</v>
      </c>
      <c r="G405" s="23">
        <v>2547.4299999999998</v>
      </c>
      <c r="H405" s="25" t="str">
        <f>IF(COUNTIF(tbl_clean_sales[Invoice_ID],tbl_clean_sales[[#This Row],[Invoice_ID]])&gt;1,"Duplicate","Unique")</f>
        <v>Unique</v>
      </c>
      <c r="I405" s="25"/>
      <c r="J40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5" s="25" t="str">
        <f>IFERROR(VLOOKUP(tbl_clean_sales[[#This Row],[Employee_ID]],'02_Employee_Master'!$A$1:$C$12,2,FALSE),"Employee Name Missing")</f>
        <v>Arun Kumar</v>
      </c>
      <c r="L405" s="25" t="str">
        <f>IFERROR(VLOOKUP(tbl_clean_sales[[#This Row],[Employee_ID]],'02_Employee_Master'!$A$1:$C$12,3,FALSE),"Department Name Missing")</f>
        <v>Sales</v>
      </c>
      <c r="M405" s="25" t="str">
        <f>IF('03_Clean_data'!D405="","Missing",IFERROR(IF(VLOOKUP(D405,'03_Product_Master'!$A$1:$D$14,1,FALSE)='03_Clean_data'!D405,"Valid","Invalid"),"Invalid"))</f>
        <v>Valid</v>
      </c>
      <c r="N405" s="25" t="str">
        <f>IFERROR(VLOOKUP(tbl_clean_sales[[#This Row],[Product_ID]],'03_Product_Master'!$A$1:$D$14,2,FALSE),"Missing")</f>
        <v>Body Lotion</v>
      </c>
      <c r="O405" s="25" t="str">
        <f>IFERROR(VLOOKUP(tbl_clean_sales[[#This Row],[Product_ID]],'03_Product_Master'!$A$1:$D$14,3,FALSE),"Missing")</f>
        <v>Personal Care</v>
      </c>
      <c r="P405" s="25">
        <f>IFERROR(VLOOKUP(tbl_clean_sales[[#This Row],[Product_ID]],'03_Product_Master'!$A$1:$D$14,4,FALSE),"Missing")</f>
        <v>390</v>
      </c>
      <c r="Q405" s="25" t="str">
        <f>IF('03_Clean_data'!E405="","Missing",IFERROR(IF(VLOOKUP(E405,'04_Branch_Master'!$A$1:$C$7,1,FALSE)='03_Clean_data'!E405,"Valid","Invalid"),"Invalid"))</f>
        <v>Valid</v>
      </c>
      <c r="R405" s="25" t="str">
        <f>IFERROR(VLOOKUP(tbl_clean_sales[[#This Row],[Branch_ID]],'04_Branch_Master'!$A$1:$C$7,2,FALSE),"Missing")</f>
        <v>Tirupur Central</v>
      </c>
      <c r="S405" s="25" t="str">
        <f>IFERROR(VLOOKUP(tbl_clean_sales[[#This Row],[Branch_ID]],'04_Branch_Master'!$A$1:$C$7,3,FALSE),"Missing")</f>
        <v>North</v>
      </c>
      <c r="T405" s="25" t="str">
        <f>C405&amp;"|"&amp;TEXT(tbl_clean_sales[[#This Row],[Date]],"yyyymm")</f>
        <v>E001|202605</v>
      </c>
      <c r="U405" s="25">
        <f>IFERROR(INDEX('05_Target_Master'!$A$1:$F$32,MATCH(tbl_clean_sales[[#This Row],[target key]],'05_Target_Master'!$F$1:$F$32,0),3),"Missing")</f>
        <v>169500</v>
      </c>
    </row>
    <row r="406" spans="1:21" x14ac:dyDescent="0.3">
      <c r="A406" s="21">
        <v>46130</v>
      </c>
      <c r="B406" s="22" t="s">
        <v>439</v>
      </c>
      <c r="C406" s="22" t="s">
        <v>46</v>
      </c>
      <c r="D406" s="22" t="s">
        <v>30</v>
      </c>
      <c r="E406" s="22" t="s">
        <v>32</v>
      </c>
      <c r="F406" s="22">
        <v>6</v>
      </c>
      <c r="G406" s="23">
        <v>885.5</v>
      </c>
      <c r="H406" s="25" t="str">
        <f>IF(COUNTIF(tbl_clean_sales[Invoice_ID],tbl_clean_sales[[#This Row],[Invoice_ID]])&gt;1,"Duplicate","Unique")</f>
        <v>Unique</v>
      </c>
      <c r="I406" s="25"/>
      <c r="J40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6" s="25" t="str">
        <f>IFERROR(VLOOKUP(tbl_clean_sales[[#This Row],[Employee_ID]],'02_Employee_Master'!$A$1:$C$12,2,FALSE),"Employee Name Missing")</f>
        <v>Suresh B</v>
      </c>
      <c r="L406" s="25" t="str">
        <f>IFERROR(VLOOKUP(tbl_clean_sales[[#This Row],[Employee_ID]],'02_Employee_Master'!$A$1:$C$12,3,FALSE),"Department Name Missing")</f>
        <v>Sales</v>
      </c>
      <c r="M406" s="25" t="str">
        <f>IF('03_Clean_data'!D406="","Missing",IFERROR(IF(VLOOKUP(D406,'03_Product_Master'!$A$1:$D$14,1,FALSE)='03_Clean_data'!D406,"Valid","Invalid"),"Invalid"))</f>
        <v>Valid</v>
      </c>
      <c r="N406" s="25" t="str">
        <f>IFERROR(VLOOKUP(tbl_clean_sales[[#This Row],[Product_ID]],'03_Product_Master'!$A$1:$D$14,2,FALSE),"Missing")</f>
        <v>Cookies Pack</v>
      </c>
      <c r="O406" s="25" t="str">
        <f>IFERROR(VLOOKUP(tbl_clean_sales[[#This Row],[Product_ID]],'03_Product_Master'!$A$1:$D$14,3,FALSE),"Missing")</f>
        <v>Snacks</v>
      </c>
      <c r="P406" s="25">
        <f>IFERROR(VLOOKUP(tbl_clean_sales[[#This Row],[Product_ID]],'03_Product_Master'!$A$1:$D$14,4,FALSE),"Missing")</f>
        <v>160</v>
      </c>
      <c r="Q406" s="25" t="str">
        <f>IF('03_Clean_data'!E406="","Missing",IFERROR(IF(VLOOKUP(E406,'04_Branch_Master'!$A$1:$C$7,1,FALSE)='03_Clean_data'!E406,"Valid","Invalid"),"Invalid"))</f>
        <v>Valid</v>
      </c>
      <c r="R406" s="25" t="str">
        <f>IFERROR(VLOOKUP(tbl_clean_sales[[#This Row],[Branch_ID]],'04_Branch_Master'!$A$1:$C$7,2,FALSE),"Missing")</f>
        <v>Kangeyam</v>
      </c>
      <c r="S406" s="25" t="str">
        <f>IFERROR(VLOOKUP(tbl_clean_sales[[#This Row],[Branch_ID]],'04_Branch_Master'!$A$1:$C$7,3,FALSE),"Missing")</f>
        <v>East</v>
      </c>
      <c r="T406" s="25" t="str">
        <f>C406&amp;"|"&amp;TEXT(tbl_clean_sales[[#This Row],[Date]],"yyyymm")</f>
        <v>E007|202604</v>
      </c>
      <c r="U406" s="25">
        <f>IFERROR(INDEX('05_Target_Master'!$A$1:$F$32,MATCH(tbl_clean_sales[[#This Row],[target key]],'05_Target_Master'!$F$1:$F$32,0),3),"Missing")</f>
        <v>129600</v>
      </c>
    </row>
    <row r="407" spans="1:21" x14ac:dyDescent="0.3">
      <c r="A407" s="21">
        <v>46170</v>
      </c>
      <c r="B407" s="22" t="s">
        <v>440</v>
      </c>
      <c r="C407" s="22" t="s">
        <v>40</v>
      </c>
      <c r="D407" s="22" t="s">
        <v>9</v>
      </c>
      <c r="E407" s="22" t="s">
        <v>26</v>
      </c>
      <c r="F407" s="22">
        <v>4</v>
      </c>
      <c r="G407" s="23">
        <v>1113.07</v>
      </c>
      <c r="H407" s="25" t="str">
        <f>IF(COUNTIF(tbl_clean_sales[Invoice_ID],tbl_clean_sales[[#This Row],[Invoice_ID]])&gt;1,"Duplicate","Unique")</f>
        <v>Unique</v>
      </c>
      <c r="I407" s="25"/>
      <c r="J40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7" s="25" t="str">
        <f>IFERROR(VLOOKUP(tbl_clean_sales[[#This Row],[Employee_ID]],'02_Employee_Master'!$A$1:$C$12,2,FALSE),"Employee Name Missing")</f>
        <v>Meena V</v>
      </c>
      <c r="L407" s="25" t="str">
        <f>IFERROR(VLOOKUP(tbl_clean_sales[[#This Row],[Employee_ID]],'02_Employee_Master'!$A$1:$C$12,3,FALSE),"Department Name Missing")</f>
        <v>Sales</v>
      </c>
      <c r="M407" s="25" t="str">
        <f>IF('03_Clean_data'!D407="","Missing",IFERROR(IF(VLOOKUP(D407,'03_Product_Master'!$A$1:$D$14,1,FALSE)='03_Clean_data'!D407,"Valid","Invalid"),"Invalid"))</f>
        <v>Valid</v>
      </c>
      <c r="N407" s="25" t="str">
        <f>IFERROR(VLOOKUP(tbl_clean_sales[[#This Row],[Product_ID]],'03_Product_Master'!$A$1:$D$14,2,FALSE),"Missing")</f>
        <v>Green Tea</v>
      </c>
      <c r="O407" s="25" t="str">
        <f>IFERROR(VLOOKUP(tbl_clean_sales[[#This Row],[Product_ID]],'03_Product_Master'!$A$1:$D$14,3,FALSE),"Missing")</f>
        <v>Beverages</v>
      </c>
      <c r="P407" s="25">
        <f>IFERROR(VLOOKUP(tbl_clean_sales[[#This Row],[Product_ID]],'03_Product_Master'!$A$1:$D$14,4,FALSE),"Missing")</f>
        <v>280</v>
      </c>
      <c r="Q407" s="25" t="str">
        <f>IF('03_Clean_data'!E407="","Missing",IFERROR(IF(VLOOKUP(E407,'04_Branch_Master'!$A$1:$C$7,1,FALSE)='03_Clean_data'!E407,"Valid","Invalid"),"Invalid"))</f>
        <v>Valid</v>
      </c>
      <c r="R407" s="25" t="str">
        <f>IFERROR(VLOOKUP(tbl_clean_sales[[#This Row],[Branch_ID]],'04_Branch_Master'!$A$1:$C$7,2,FALSE),"Missing")</f>
        <v>Palladam</v>
      </c>
      <c r="S407" s="25" t="str">
        <f>IFERROR(VLOOKUP(tbl_clean_sales[[#This Row],[Branch_ID]],'04_Branch_Master'!$A$1:$C$7,3,FALSE),"Missing")</f>
        <v>South</v>
      </c>
      <c r="T407" s="25" t="str">
        <f>C407&amp;"|"&amp;TEXT(tbl_clean_sales[[#This Row],[Date]],"yyyymm")</f>
        <v>E006|202605</v>
      </c>
      <c r="U407" s="25">
        <f>IFERROR(INDEX('05_Target_Master'!$A$1:$F$32,MATCH(tbl_clean_sales[[#This Row],[target key]],'05_Target_Master'!$F$1:$F$32,0),3),"Missing")</f>
        <v>141500</v>
      </c>
    </row>
    <row r="408" spans="1:21" x14ac:dyDescent="0.3">
      <c r="A408" s="21">
        <v>46161</v>
      </c>
      <c r="B408" s="22" t="s">
        <v>441</v>
      </c>
      <c r="C408" s="22" t="s">
        <v>29</v>
      </c>
      <c r="D408" s="22" t="s">
        <v>36</v>
      </c>
      <c r="E408" s="22" t="s">
        <v>10</v>
      </c>
      <c r="F408" s="22">
        <v>2</v>
      </c>
      <c r="G408" s="23">
        <v>371.42</v>
      </c>
      <c r="H408" s="25" t="str">
        <f>IF(COUNTIF(tbl_clean_sales[Invoice_ID],tbl_clean_sales[[#This Row],[Invoice_ID]])&gt;1,"Duplicate","Unique")</f>
        <v>Unique</v>
      </c>
      <c r="I408" s="25"/>
      <c r="J40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8" s="25" t="str">
        <f>IFERROR(VLOOKUP(tbl_clean_sales[[#This Row],[Employee_ID]],'02_Employee_Master'!$A$1:$C$12,2,FALSE),"Employee Name Missing")</f>
        <v>Swetha L</v>
      </c>
      <c r="L408" s="25" t="str">
        <f>IFERROR(VLOOKUP(tbl_clean_sales[[#This Row],[Employee_ID]],'02_Employee_Master'!$A$1:$C$12,3,FALSE),"Department Name Missing")</f>
        <v>Sales</v>
      </c>
      <c r="M408" s="25" t="str">
        <f>IF('03_Clean_data'!D408="","Missing",IFERROR(IF(VLOOKUP(D408,'03_Product_Master'!$A$1:$D$14,1,FALSE)='03_Clean_data'!D408,"Valid","Invalid"),"Invalid"))</f>
        <v>Valid</v>
      </c>
      <c r="N408" s="25" t="str">
        <f>IFERROR(VLOOKUP(tbl_clean_sales[[#This Row],[Product_ID]],'03_Product_Master'!$A$1:$D$14,2,FALSE),"Missing")</f>
        <v>Dish Wash</v>
      </c>
      <c r="O408" s="25" t="str">
        <f>IFERROR(VLOOKUP(tbl_clean_sales[[#This Row],[Product_ID]],'03_Product_Master'!$A$1:$D$14,3,FALSE),"Missing")</f>
        <v>Home Care</v>
      </c>
      <c r="P408" s="25">
        <f>IFERROR(VLOOKUP(tbl_clean_sales[[#This Row],[Product_ID]],'03_Product_Master'!$A$1:$D$14,4,FALSE),"Missing")</f>
        <v>190</v>
      </c>
      <c r="Q408" s="25" t="str">
        <f>IF('03_Clean_data'!E408="","Missing",IFERROR(IF(VLOOKUP(E408,'04_Branch_Master'!$A$1:$C$7,1,FALSE)='03_Clean_data'!E408,"Valid","Invalid"),"Invalid"))</f>
        <v>Valid</v>
      </c>
      <c r="R408" s="25" t="str">
        <f>IFERROR(VLOOKUP(tbl_clean_sales[[#This Row],[Branch_ID]],'04_Branch_Master'!$A$1:$C$7,2,FALSE),"Missing")</f>
        <v>Dharapuram</v>
      </c>
      <c r="S408" s="25" t="str">
        <f>IFERROR(VLOOKUP(tbl_clean_sales[[#This Row],[Branch_ID]],'04_Branch_Master'!$A$1:$C$7,3,FALSE),"Missing")</f>
        <v>South</v>
      </c>
      <c r="T408" s="25" t="str">
        <f>C408&amp;"|"&amp;TEXT(tbl_clean_sales[[#This Row],[Date]],"yyyymm")</f>
        <v>E010|202605</v>
      </c>
      <c r="U408" s="25">
        <f>IFERROR(INDEX('05_Target_Master'!$A$1:$F$32,MATCH(tbl_clean_sales[[#This Row],[target key]],'05_Target_Master'!$F$1:$F$32,0),3),"Missing")</f>
        <v>131500</v>
      </c>
    </row>
    <row r="409" spans="1:21" x14ac:dyDescent="0.3">
      <c r="A409" s="21">
        <v>46188</v>
      </c>
      <c r="B409" s="22" t="s">
        <v>442</v>
      </c>
      <c r="C409" s="22" t="s">
        <v>8</v>
      </c>
      <c r="D409" s="22" t="s">
        <v>30</v>
      </c>
      <c r="E409" s="22" t="s">
        <v>10</v>
      </c>
      <c r="F409" s="22">
        <v>6</v>
      </c>
      <c r="G409" s="23">
        <v>925.07</v>
      </c>
      <c r="H409" s="25" t="str">
        <f>IF(COUNTIF(tbl_clean_sales[Invoice_ID],tbl_clean_sales[[#This Row],[Invoice_ID]])&gt;1,"Duplicate","Unique")</f>
        <v>Unique</v>
      </c>
      <c r="I409" s="25"/>
      <c r="J40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09" s="25" t="str">
        <f>IFERROR(VLOOKUP(tbl_clean_sales[[#This Row],[Employee_ID]],'02_Employee_Master'!$A$1:$C$12,2,FALSE),"Employee Name Missing")</f>
        <v>Vignesh R</v>
      </c>
      <c r="L409" s="25" t="str">
        <f>IFERROR(VLOOKUP(tbl_clean_sales[[#This Row],[Employee_ID]],'02_Employee_Master'!$A$1:$C$12,3,FALSE),"Department Name Missing")</f>
        <v>Sales</v>
      </c>
      <c r="M409" s="25" t="str">
        <f>IF('03_Clean_data'!D409="","Missing",IFERROR(IF(VLOOKUP(D409,'03_Product_Master'!$A$1:$D$14,1,FALSE)='03_Clean_data'!D409,"Valid","Invalid"),"Invalid"))</f>
        <v>Valid</v>
      </c>
      <c r="N409" s="25" t="str">
        <f>IFERROR(VLOOKUP(tbl_clean_sales[[#This Row],[Product_ID]],'03_Product_Master'!$A$1:$D$14,2,FALSE),"Missing")</f>
        <v>Cookies Pack</v>
      </c>
      <c r="O409" s="25" t="str">
        <f>IFERROR(VLOOKUP(tbl_clean_sales[[#This Row],[Product_ID]],'03_Product_Master'!$A$1:$D$14,3,FALSE),"Missing")</f>
        <v>Snacks</v>
      </c>
      <c r="P409" s="25">
        <f>IFERROR(VLOOKUP(tbl_clean_sales[[#This Row],[Product_ID]],'03_Product_Master'!$A$1:$D$14,4,FALSE),"Missing")</f>
        <v>160</v>
      </c>
      <c r="Q409" s="25" t="str">
        <f>IF('03_Clean_data'!E409="","Missing",IFERROR(IF(VLOOKUP(E409,'04_Branch_Master'!$A$1:$C$7,1,FALSE)='03_Clean_data'!E409,"Valid","Invalid"),"Invalid"))</f>
        <v>Valid</v>
      </c>
      <c r="R409" s="25" t="str">
        <f>IFERROR(VLOOKUP(tbl_clean_sales[[#This Row],[Branch_ID]],'04_Branch_Master'!$A$1:$C$7,2,FALSE),"Missing")</f>
        <v>Dharapuram</v>
      </c>
      <c r="S409" s="25" t="str">
        <f>IFERROR(VLOOKUP(tbl_clean_sales[[#This Row],[Branch_ID]],'04_Branch_Master'!$A$1:$C$7,3,FALSE),"Missing")</f>
        <v>South</v>
      </c>
      <c r="T409" s="25" t="str">
        <f>C409&amp;"|"&amp;TEXT(tbl_clean_sales[[#This Row],[Date]],"yyyymm")</f>
        <v>E009|202606</v>
      </c>
      <c r="U409" s="25">
        <f>IFERROR(INDEX('05_Target_Master'!$A$1:$F$32,MATCH(tbl_clean_sales[[#This Row],[target key]],'05_Target_Master'!$F$1:$F$32,0),3),"Missing")</f>
        <v>156700</v>
      </c>
    </row>
    <row r="410" spans="1:21" x14ac:dyDescent="0.3">
      <c r="A410" s="21">
        <v>46114</v>
      </c>
      <c r="B410" s="22" t="s">
        <v>443</v>
      </c>
      <c r="C410" s="22" t="s">
        <v>12</v>
      </c>
      <c r="D410" s="22" t="s">
        <v>30</v>
      </c>
      <c r="E410" s="22" t="s">
        <v>22</v>
      </c>
      <c r="F410" s="22">
        <v>12</v>
      </c>
      <c r="G410" s="23">
        <v>1689.7</v>
      </c>
      <c r="H410" s="25" t="str">
        <f>IF(COUNTIF(tbl_clean_sales[Invoice_ID],tbl_clean_sales[[#This Row],[Invoice_ID]])&gt;1,"Duplicate","Unique")</f>
        <v>Unique</v>
      </c>
      <c r="I410" s="25"/>
      <c r="J4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0" s="25" t="str">
        <f>IFERROR(VLOOKUP(tbl_clean_sales[[#This Row],[Employee_ID]],'02_Employee_Master'!$A$1:$C$12,2,FALSE),"Employee Name Missing")</f>
        <v>Divya R</v>
      </c>
      <c r="L410" s="25" t="str">
        <f>IFERROR(VLOOKUP(tbl_clean_sales[[#This Row],[Employee_ID]],'02_Employee_Master'!$A$1:$C$12,3,FALSE),"Department Name Missing")</f>
        <v>Sales</v>
      </c>
      <c r="M410" s="25" t="str">
        <f>IF('03_Clean_data'!D410="","Missing",IFERROR(IF(VLOOKUP(D410,'03_Product_Master'!$A$1:$D$14,1,FALSE)='03_Clean_data'!D410,"Valid","Invalid"),"Invalid"))</f>
        <v>Valid</v>
      </c>
      <c r="N410" s="25" t="str">
        <f>IFERROR(VLOOKUP(tbl_clean_sales[[#This Row],[Product_ID]],'03_Product_Master'!$A$1:$D$14,2,FALSE),"Missing")</f>
        <v>Cookies Pack</v>
      </c>
      <c r="O410" s="25" t="str">
        <f>IFERROR(VLOOKUP(tbl_clean_sales[[#This Row],[Product_ID]],'03_Product_Master'!$A$1:$D$14,3,FALSE),"Missing")</f>
        <v>Snacks</v>
      </c>
      <c r="P410" s="25">
        <f>IFERROR(VLOOKUP(tbl_clean_sales[[#This Row],[Product_ID]],'03_Product_Master'!$A$1:$D$14,4,FALSE),"Missing")</f>
        <v>160</v>
      </c>
      <c r="Q410" s="25" t="str">
        <f>IF('03_Clean_data'!E410="","Missing",IFERROR(IF(VLOOKUP(E410,'04_Branch_Master'!$A$1:$C$7,1,FALSE)='03_Clean_data'!E410,"Valid","Invalid"),"Invalid"))</f>
        <v>Valid</v>
      </c>
      <c r="R410" s="25" t="str">
        <f>IFERROR(VLOOKUP(tbl_clean_sales[[#This Row],[Branch_ID]],'04_Branch_Master'!$A$1:$C$7,2,FALSE),"Missing")</f>
        <v>Tirupur Central</v>
      </c>
      <c r="S410" s="25" t="str">
        <f>IFERROR(VLOOKUP(tbl_clean_sales[[#This Row],[Branch_ID]],'04_Branch_Master'!$A$1:$C$7,3,FALSE),"Missing")</f>
        <v>North</v>
      </c>
      <c r="T410" s="25" t="str">
        <f>C410&amp;"|"&amp;TEXT(tbl_clean_sales[[#This Row],[Date]],"yyyymm")</f>
        <v>E004|202604</v>
      </c>
      <c r="U410" s="25">
        <f>IFERROR(INDEX('05_Target_Master'!$A$1:$F$32,MATCH(tbl_clean_sales[[#This Row],[target key]],'05_Target_Master'!$F$1:$F$32,0),3),"Missing")</f>
        <v>163600</v>
      </c>
    </row>
    <row r="411" spans="1:21" x14ac:dyDescent="0.3">
      <c r="A411" s="21">
        <v>46174</v>
      </c>
      <c r="B411" s="22" t="s">
        <v>444</v>
      </c>
      <c r="C411" s="22" t="s">
        <v>12</v>
      </c>
      <c r="D411" s="22" t="s">
        <v>19</v>
      </c>
      <c r="E411" s="22" t="s">
        <v>14</v>
      </c>
      <c r="F411" s="22">
        <v>4</v>
      </c>
      <c r="G411" s="23">
        <v>876.21</v>
      </c>
      <c r="H411" s="25" t="str">
        <f>IF(COUNTIF(tbl_clean_sales[Invoice_ID],tbl_clean_sales[[#This Row],[Invoice_ID]])&gt;1,"Duplicate","Unique")</f>
        <v>Unique</v>
      </c>
      <c r="I411" s="25"/>
      <c r="J4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1" s="25" t="str">
        <f>IFERROR(VLOOKUP(tbl_clean_sales[[#This Row],[Employee_ID]],'02_Employee_Master'!$A$1:$C$12,2,FALSE),"Employee Name Missing")</f>
        <v>Divya R</v>
      </c>
      <c r="L411" s="25" t="str">
        <f>IFERROR(VLOOKUP(tbl_clean_sales[[#This Row],[Employee_ID]],'02_Employee_Master'!$A$1:$C$12,3,FALSE),"Department Name Missing")</f>
        <v>Sales</v>
      </c>
      <c r="M411" s="25" t="str">
        <f>IF('03_Clean_data'!D411="","Missing",IFERROR(IF(VLOOKUP(D411,'03_Product_Master'!$A$1:$D$14,1,FALSE)='03_Clean_data'!D411,"Valid","Invalid"),"Invalid"))</f>
        <v>Valid</v>
      </c>
      <c r="N411" s="25" t="str">
        <f>IFERROR(VLOOKUP(tbl_clean_sales[[#This Row],[Product_ID]],'03_Product_Master'!$A$1:$D$14,2,FALSE),"Missing")</f>
        <v>Floor Cleaner</v>
      </c>
      <c r="O411" s="25" t="str">
        <f>IFERROR(VLOOKUP(tbl_clean_sales[[#This Row],[Product_ID]],'03_Product_Master'!$A$1:$D$14,3,FALSE),"Missing")</f>
        <v>Home Care</v>
      </c>
      <c r="P411" s="25">
        <f>IFERROR(VLOOKUP(tbl_clean_sales[[#This Row],[Product_ID]],'03_Product_Master'!$A$1:$D$14,4,FALSE),"Missing")</f>
        <v>230</v>
      </c>
      <c r="Q411" s="25" t="str">
        <f>IF('03_Clean_data'!E411="","Missing",IFERROR(IF(VLOOKUP(E411,'04_Branch_Master'!$A$1:$C$7,1,FALSE)='03_Clean_data'!E411,"Valid","Invalid"),"Invalid"))</f>
        <v>Valid</v>
      </c>
      <c r="R411" s="25" t="str">
        <f>IFERROR(VLOOKUP(tbl_clean_sales[[#This Row],[Branch_ID]],'04_Branch_Master'!$A$1:$C$7,2,FALSE),"Missing")</f>
        <v>Avinashi Road</v>
      </c>
      <c r="S411" s="25" t="str">
        <f>IFERROR(VLOOKUP(tbl_clean_sales[[#This Row],[Branch_ID]],'04_Branch_Master'!$A$1:$C$7,3,FALSE),"Missing")</f>
        <v>North</v>
      </c>
      <c r="T411" s="25" t="str">
        <f>C411&amp;"|"&amp;TEXT(tbl_clean_sales[[#This Row],[Date]],"yyyymm")</f>
        <v>E004|202606</v>
      </c>
      <c r="U411" s="25">
        <f>IFERROR(INDEX('05_Target_Master'!$A$1:$F$32,MATCH(tbl_clean_sales[[#This Row],[target key]],'05_Target_Master'!$F$1:$F$32,0),3),"Missing")</f>
        <v>157100</v>
      </c>
    </row>
    <row r="412" spans="1:21" x14ac:dyDescent="0.3">
      <c r="A412" s="21">
        <v>46143</v>
      </c>
      <c r="B412" s="22" t="s">
        <v>445</v>
      </c>
      <c r="C412" s="22" t="s">
        <v>8</v>
      </c>
      <c r="D412" s="22" t="s">
        <v>34</v>
      </c>
      <c r="E412" s="22" t="s">
        <v>10</v>
      </c>
      <c r="F412" s="22">
        <v>7</v>
      </c>
      <c r="G412" s="23">
        <v>726.92</v>
      </c>
      <c r="H412" s="25" t="str">
        <f>IF(COUNTIF(tbl_clean_sales[Invoice_ID],tbl_clean_sales[[#This Row],[Invoice_ID]])&gt;1,"Duplicate","Unique")</f>
        <v>Unique</v>
      </c>
      <c r="I412" s="25"/>
      <c r="J4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2" s="25" t="str">
        <f>IFERROR(VLOOKUP(tbl_clean_sales[[#This Row],[Employee_ID]],'02_Employee_Master'!$A$1:$C$12,2,FALSE),"Employee Name Missing")</f>
        <v>Vignesh R</v>
      </c>
      <c r="L412" s="25" t="str">
        <f>IFERROR(VLOOKUP(tbl_clean_sales[[#This Row],[Employee_ID]],'02_Employee_Master'!$A$1:$C$12,3,FALSE),"Department Name Missing")</f>
        <v>Sales</v>
      </c>
      <c r="M412" s="25" t="str">
        <f>IF('03_Clean_data'!D412="","Missing",IFERROR(IF(VLOOKUP(D412,'03_Product_Master'!$A$1:$D$14,1,FALSE)='03_Clean_data'!D412,"Valid","Invalid"),"Invalid"))</f>
        <v>Valid</v>
      </c>
      <c r="N412" s="25" t="str">
        <f>IFERROR(VLOOKUP(tbl_clean_sales[[#This Row],[Product_ID]],'03_Product_Master'!$A$1:$D$14,2,FALSE),"Missing")</f>
        <v>Potato Chips</v>
      </c>
      <c r="O412" s="25" t="str">
        <f>IFERROR(VLOOKUP(tbl_clean_sales[[#This Row],[Product_ID]],'03_Product_Master'!$A$1:$D$14,3,FALSE),"Missing")</f>
        <v>Snacks</v>
      </c>
      <c r="P412" s="25">
        <f>IFERROR(VLOOKUP(tbl_clean_sales[[#This Row],[Product_ID]],'03_Product_Master'!$A$1:$D$14,4,FALSE),"Missing")</f>
        <v>110</v>
      </c>
      <c r="Q412" s="25" t="str">
        <f>IF('03_Clean_data'!E412="","Missing",IFERROR(IF(VLOOKUP(E412,'04_Branch_Master'!$A$1:$C$7,1,FALSE)='03_Clean_data'!E412,"Valid","Invalid"),"Invalid"))</f>
        <v>Valid</v>
      </c>
      <c r="R412" s="25" t="str">
        <f>IFERROR(VLOOKUP(tbl_clean_sales[[#This Row],[Branch_ID]],'04_Branch_Master'!$A$1:$C$7,2,FALSE),"Missing")</f>
        <v>Dharapuram</v>
      </c>
      <c r="S412" s="25" t="str">
        <f>IFERROR(VLOOKUP(tbl_clean_sales[[#This Row],[Branch_ID]],'04_Branch_Master'!$A$1:$C$7,3,FALSE),"Missing")</f>
        <v>South</v>
      </c>
      <c r="T412" s="25" t="str">
        <f>C412&amp;"|"&amp;TEXT(tbl_clean_sales[[#This Row],[Date]],"yyyymm")</f>
        <v>E009|202605</v>
      </c>
      <c r="U412" s="25">
        <f>IFERROR(INDEX('05_Target_Master'!$A$1:$F$32,MATCH(tbl_clean_sales[[#This Row],[target key]],'05_Target_Master'!$F$1:$F$32,0),3),"Missing")</f>
        <v>176300</v>
      </c>
    </row>
    <row r="413" spans="1:21" x14ac:dyDescent="0.3">
      <c r="A413" s="21">
        <v>46196</v>
      </c>
      <c r="B413" s="22" t="s">
        <v>446</v>
      </c>
      <c r="C413" s="22" t="s">
        <v>40</v>
      </c>
      <c r="D413" s="22" t="s">
        <v>82</v>
      </c>
      <c r="E413" s="22" t="s">
        <v>26</v>
      </c>
      <c r="F413" s="22">
        <v>9</v>
      </c>
      <c r="G413" s="23">
        <v>965.59</v>
      </c>
      <c r="H413" s="25" t="str">
        <f>IF(COUNTIF(tbl_clean_sales[Invoice_ID],tbl_clean_sales[[#This Row],[Invoice_ID]])&gt;1,"Duplicate","Unique")</f>
        <v>Unique</v>
      </c>
      <c r="I413" s="25"/>
      <c r="J4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3" s="25" t="str">
        <f>IFERROR(VLOOKUP(tbl_clean_sales[[#This Row],[Employee_ID]],'02_Employee_Master'!$A$1:$C$12,2,FALSE),"Employee Name Missing")</f>
        <v>Meena V</v>
      </c>
      <c r="L413" s="25" t="str">
        <f>IFERROR(VLOOKUP(tbl_clean_sales[[#This Row],[Employee_ID]],'02_Employee_Master'!$A$1:$C$12,3,FALSE),"Department Name Missing")</f>
        <v>Sales</v>
      </c>
      <c r="M413" s="25" t="str">
        <f>IF('03_Clean_data'!D413="","Missing",IFERROR(IF(VLOOKUP(D413,'03_Product_Master'!$A$1:$D$14,1,FALSE)='03_Clean_data'!D413,"Valid","Invalid"),"Invalid"))</f>
        <v>Valid</v>
      </c>
      <c r="N413" s="25" t="str">
        <f>IFERROR(VLOOKUP(tbl_clean_sales[[#This Row],[Product_ID]],'03_Product_Master'!$A$1:$D$14,2,FALSE),"Missing")</f>
        <v>Chocolate Bar</v>
      </c>
      <c r="O413" s="25" t="str">
        <f>IFERROR(VLOOKUP(tbl_clean_sales[[#This Row],[Product_ID]],'03_Product_Master'!$A$1:$D$14,3,FALSE),"Missing")</f>
        <v>Snacks</v>
      </c>
      <c r="P413" s="25">
        <f>IFERROR(VLOOKUP(tbl_clean_sales[[#This Row],[Product_ID]],'03_Product_Master'!$A$1:$D$14,4,FALSE),"Missing")</f>
        <v>120</v>
      </c>
      <c r="Q413" s="25" t="str">
        <f>IF('03_Clean_data'!E413="","Missing",IFERROR(IF(VLOOKUP(E413,'04_Branch_Master'!$A$1:$C$7,1,FALSE)='03_Clean_data'!E413,"Valid","Invalid"),"Invalid"))</f>
        <v>Valid</v>
      </c>
      <c r="R413" s="25" t="str">
        <f>IFERROR(VLOOKUP(tbl_clean_sales[[#This Row],[Branch_ID]],'04_Branch_Master'!$A$1:$C$7,2,FALSE),"Missing")</f>
        <v>Palladam</v>
      </c>
      <c r="S413" s="25" t="str">
        <f>IFERROR(VLOOKUP(tbl_clean_sales[[#This Row],[Branch_ID]],'04_Branch_Master'!$A$1:$C$7,3,FALSE),"Missing")</f>
        <v>South</v>
      </c>
      <c r="T413" s="25" t="str">
        <f>C413&amp;"|"&amp;TEXT(tbl_clean_sales[[#This Row],[Date]],"yyyymm")</f>
        <v>E006|202606</v>
      </c>
      <c r="U413" s="25">
        <f>IFERROR(INDEX('05_Target_Master'!$A$1:$F$32,MATCH(tbl_clean_sales[[#This Row],[target key]],'05_Target_Master'!$F$1:$F$32,0),3),"Missing")</f>
        <v>125800</v>
      </c>
    </row>
    <row r="414" spans="1:21" x14ac:dyDescent="0.3">
      <c r="A414" s="21">
        <v>46172</v>
      </c>
      <c r="B414" s="22" t="s">
        <v>447</v>
      </c>
      <c r="C414" s="22" t="s">
        <v>21</v>
      </c>
      <c r="D414" s="22" t="s">
        <v>19</v>
      </c>
      <c r="E414" s="22" t="s">
        <v>22</v>
      </c>
      <c r="F414" s="22">
        <v>6</v>
      </c>
      <c r="G414" s="23">
        <v>1228.5899999999999</v>
      </c>
      <c r="H414" s="25" t="str">
        <f>IF(COUNTIF(tbl_clean_sales[Invoice_ID],tbl_clean_sales[[#This Row],[Invoice_ID]])&gt;1,"Duplicate","Unique")</f>
        <v>Unique</v>
      </c>
      <c r="I414" s="25"/>
      <c r="J4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4" s="25" t="str">
        <f>IFERROR(VLOOKUP(tbl_clean_sales[[#This Row],[Employee_ID]],'02_Employee_Master'!$A$1:$C$12,2,FALSE),"Employee Name Missing")</f>
        <v>Priya S</v>
      </c>
      <c r="L414" s="25" t="str">
        <f>IFERROR(VLOOKUP(tbl_clean_sales[[#This Row],[Employee_ID]],'02_Employee_Master'!$A$1:$C$12,3,FALSE),"Department Name Missing")</f>
        <v>Sales</v>
      </c>
      <c r="M414" s="25" t="str">
        <f>IF('03_Clean_data'!D414="","Missing",IFERROR(IF(VLOOKUP(D414,'03_Product_Master'!$A$1:$D$14,1,FALSE)='03_Clean_data'!D414,"Valid","Invalid"),"Invalid"))</f>
        <v>Valid</v>
      </c>
      <c r="N414" s="25" t="str">
        <f>IFERROR(VLOOKUP(tbl_clean_sales[[#This Row],[Product_ID]],'03_Product_Master'!$A$1:$D$14,2,FALSE),"Missing")</f>
        <v>Floor Cleaner</v>
      </c>
      <c r="O414" s="25" t="str">
        <f>IFERROR(VLOOKUP(tbl_clean_sales[[#This Row],[Product_ID]],'03_Product_Master'!$A$1:$D$14,3,FALSE),"Missing")</f>
        <v>Home Care</v>
      </c>
      <c r="P414" s="25">
        <f>IFERROR(VLOOKUP(tbl_clean_sales[[#This Row],[Product_ID]],'03_Product_Master'!$A$1:$D$14,4,FALSE),"Missing")</f>
        <v>230</v>
      </c>
      <c r="Q414" s="25" t="str">
        <f>IF('03_Clean_data'!E414="","Missing",IFERROR(IF(VLOOKUP(E414,'04_Branch_Master'!$A$1:$C$7,1,FALSE)='03_Clean_data'!E414,"Valid","Invalid"),"Invalid"))</f>
        <v>Valid</v>
      </c>
      <c r="R414" s="25" t="str">
        <f>IFERROR(VLOOKUP(tbl_clean_sales[[#This Row],[Branch_ID]],'04_Branch_Master'!$A$1:$C$7,2,FALSE),"Missing")</f>
        <v>Tirupur Central</v>
      </c>
      <c r="S414" s="25" t="str">
        <f>IFERROR(VLOOKUP(tbl_clean_sales[[#This Row],[Branch_ID]],'04_Branch_Master'!$A$1:$C$7,3,FALSE),"Missing")</f>
        <v>North</v>
      </c>
      <c r="T414" s="25" t="str">
        <f>C414&amp;"|"&amp;TEXT(tbl_clean_sales[[#This Row],[Date]],"yyyymm")</f>
        <v>E002|202605</v>
      </c>
      <c r="U414" s="25">
        <f>IFERROR(INDEX('05_Target_Master'!$A$1:$F$32,MATCH(tbl_clean_sales[[#This Row],[target key]],'05_Target_Master'!$F$1:$F$32,0),3),"Missing")</f>
        <v>132100</v>
      </c>
    </row>
    <row r="415" spans="1:21" x14ac:dyDescent="0.3">
      <c r="A415" s="21">
        <v>46160</v>
      </c>
      <c r="B415" s="22" t="s">
        <v>448</v>
      </c>
      <c r="C415" s="22" t="s">
        <v>40</v>
      </c>
      <c r="D415" s="22" t="s">
        <v>16</v>
      </c>
      <c r="E415" s="22" t="s">
        <v>26</v>
      </c>
      <c r="F415" s="22">
        <v>4</v>
      </c>
      <c r="G415" s="23">
        <v>1129.7</v>
      </c>
      <c r="H415" s="25" t="str">
        <f>IF(COUNTIF(tbl_clean_sales[Invoice_ID],tbl_clean_sales[[#This Row],[Invoice_ID]])&gt;1,"Duplicate","Unique")</f>
        <v>Unique</v>
      </c>
      <c r="I415" s="25"/>
      <c r="J4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5" s="25" t="str">
        <f>IFERROR(VLOOKUP(tbl_clean_sales[[#This Row],[Employee_ID]],'02_Employee_Master'!$A$1:$C$12,2,FALSE),"Employee Name Missing")</f>
        <v>Meena V</v>
      </c>
      <c r="L415" s="25" t="str">
        <f>IFERROR(VLOOKUP(tbl_clean_sales[[#This Row],[Employee_ID]],'02_Employee_Master'!$A$1:$C$12,3,FALSE),"Department Name Missing")</f>
        <v>Sales</v>
      </c>
      <c r="M415" s="25" t="str">
        <f>IF('03_Clean_data'!D415="","Missing",IFERROR(IF(VLOOKUP(D415,'03_Product_Master'!$A$1:$D$14,1,FALSE)='03_Clean_data'!D415,"Valid","Invalid"),"Invalid"))</f>
        <v>Valid</v>
      </c>
      <c r="N415" s="25" t="str">
        <f>IFERROR(VLOOKUP(tbl_clean_sales[[#This Row],[Product_ID]],'03_Product_Master'!$A$1:$D$14,2,FALSE),"Missing")</f>
        <v>Shampoo</v>
      </c>
      <c r="O415" s="25" t="str">
        <f>IFERROR(VLOOKUP(tbl_clean_sales[[#This Row],[Product_ID]],'03_Product_Master'!$A$1:$D$14,3,FALSE),"Missing")</f>
        <v>Personal Care</v>
      </c>
      <c r="P415" s="25">
        <f>IFERROR(VLOOKUP(tbl_clean_sales[[#This Row],[Product_ID]],'03_Product_Master'!$A$1:$D$14,4,FALSE),"Missing")</f>
        <v>310</v>
      </c>
      <c r="Q415" s="25" t="str">
        <f>IF('03_Clean_data'!E415="","Missing",IFERROR(IF(VLOOKUP(E415,'04_Branch_Master'!$A$1:$C$7,1,FALSE)='03_Clean_data'!E415,"Valid","Invalid"),"Invalid"))</f>
        <v>Valid</v>
      </c>
      <c r="R415" s="25" t="str">
        <f>IFERROR(VLOOKUP(tbl_clean_sales[[#This Row],[Branch_ID]],'04_Branch_Master'!$A$1:$C$7,2,FALSE),"Missing")</f>
        <v>Palladam</v>
      </c>
      <c r="S415" s="25" t="str">
        <f>IFERROR(VLOOKUP(tbl_clean_sales[[#This Row],[Branch_ID]],'04_Branch_Master'!$A$1:$C$7,3,FALSE),"Missing")</f>
        <v>South</v>
      </c>
      <c r="T415" s="25" t="str">
        <f>C415&amp;"|"&amp;TEXT(tbl_clean_sales[[#This Row],[Date]],"yyyymm")</f>
        <v>E006|202605</v>
      </c>
      <c r="U415" s="25">
        <f>IFERROR(INDEX('05_Target_Master'!$A$1:$F$32,MATCH(tbl_clean_sales[[#This Row],[target key]],'05_Target_Master'!$F$1:$F$32,0),3),"Missing")</f>
        <v>141500</v>
      </c>
    </row>
    <row r="416" spans="1:21" x14ac:dyDescent="0.3">
      <c r="A416" s="21">
        <v>46115</v>
      </c>
      <c r="B416" s="22" t="s">
        <v>449</v>
      </c>
      <c r="C416" s="22" t="s">
        <v>24</v>
      </c>
      <c r="D416" s="22" t="s">
        <v>13</v>
      </c>
      <c r="E416" s="22" t="s">
        <v>10</v>
      </c>
      <c r="F416" s="22">
        <v>12</v>
      </c>
      <c r="G416" s="23">
        <v>4445.49</v>
      </c>
      <c r="H416" s="25" t="str">
        <f>IF(COUNTIF(tbl_clean_sales[Invoice_ID],tbl_clean_sales[[#This Row],[Invoice_ID]])&gt;1,"Duplicate","Unique")</f>
        <v>Unique</v>
      </c>
      <c r="I416" s="25"/>
      <c r="J4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6" s="25" t="str">
        <f>IFERROR(VLOOKUP(tbl_clean_sales[[#This Row],[Employee_ID]],'02_Employee_Master'!$A$1:$C$12,2,FALSE),"Employee Name Missing")</f>
        <v>Karthik P</v>
      </c>
      <c r="L416" s="25" t="str">
        <f>IFERROR(VLOOKUP(tbl_clean_sales[[#This Row],[Employee_ID]],'02_Employee_Master'!$A$1:$C$12,3,FALSE),"Department Name Missing")</f>
        <v>Sales</v>
      </c>
      <c r="M416" s="25" t="str">
        <f>IF('03_Clean_data'!D416="","Missing",IFERROR(IF(VLOOKUP(D416,'03_Product_Master'!$A$1:$D$14,1,FALSE)='03_Clean_data'!D416,"Valid","Invalid"),"Invalid"))</f>
        <v>Valid</v>
      </c>
      <c r="N416" s="25" t="str">
        <f>IFERROR(VLOOKUP(tbl_clean_sales[[#This Row],[Product_ID]],'03_Product_Master'!$A$1:$D$14,2,FALSE),"Missing")</f>
        <v>Body Lotion</v>
      </c>
      <c r="O416" s="25" t="str">
        <f>IFERROR(VLOOKUP(tbl_clean_sales[[#This Row],[Product_ID]],'03_Product_Master'!$A$1:$D$14,3,FALSE),"Missing")</f>
        <v>Personal Care</v>
      </c>
      <c r="P416" s="25">
        <f>IFERROR(VLOOKUP(tbl_clean_sales[[#This Row],[Product_ID]],'03_Product_Master'!$A$1:$D$14,4,FALSE),"Missing")</f>
        <v>390</v>
      </c>
      <c r="Q416" s="25" t="str">
        <f>IF('03_Clean_data'!E416="","Missing",IFERROR(IF(VLOOKUP(E416,'04_Branch_Master'!$A$1:$C$7,1,FALSE)='03_Clean_data'!E416,"Valid","Invalid"),"Invalid"))</f>
        <v>Valid</v>
      </c>
      <c r="R416" s="25" t="str">
        <f>IFERROR(VLOOKUP(tbl_clean_sales[[#This Row],[Branch_ID]],'04_Branch_Master'!$A$1:$C$7,2,FALSE),"Missing")</f>
        <v>Dharapuram</v>
      </c>
      <c r="S416" s="25" t="str">
        <f>IFERROR(VLOOKUP(tbl_clean_sales[[#This Row],[Branch_ID]],'04_Branch_Master'!$A$1:$C$7,3,FALSE),"Missing")</f>
        <v>South</v>
      </c>
      <c r="T416" s="25" t="str">
        <f>C416&amp;"|"&amp;TEXT(tbl_clean_sales[[#This Row],[Date]],"yyyymm")</f>
        <v>E005|202604</v>
      </c>
      <c r="U416" s="25">
        <f>IFERROR(INDEX('05_Target_Master'!$A$1:$F$32,MATCH(tbl_clean_sales[[#This Row],[target key]],'05_Target_Master'!$F$1:$F$32,0),3),"Missing")</f>
        <v>133000</v>
      </c>
    </row>
    <row r="417" spans="1:21" x14ac:dyDescent="0.3">
      <c r="A417" s="21">
        <v>46132</v>
      </c>
      <c r="B417" s="22" t="s">
        <v>450</v>
      </c>
      <c r="C417" s="22" t="s">
        <v>12</v>
      </c>
      <c r="D417" s="22" t="s">
        <v>34</v>
      </c>
      <c r="E417" s="22" t="s">
        <v>14</v>
      </c>
      <c r="F417" s="22">
        <v>10</v>
      </c>
      <c r="G417" s="23">
        <v>990</v>
      </c>
      <c r="H417" s="25" t="str">
        <f>IF(COUNTIF(tbl_clean_sales[Invoice_ID],tbl_clean_sales[[#This Row],[Invoice_ID]])&gt;1,"Duplicate","Unique")</f>
        <v>Unique</v>
      </c>
      <c r="I417" s="25"/>
      <c r="J4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7" s="25" t="str">
        <f>IFERROR(VLOOKUP(tbl_clean_sales[[#This Row],[Employee_ID]],'02_Employee_Master'!$A$1:$C$12,2,FALSE),"Employee Name Missing")</f>
        <v>Divya R</v>
      </c>
      <c r="L417" s="25" t="str">
        <f>IFERROR(VLOOKUP(tbl_clean_sales[[#This Row],[Employee_ID]],'02_Employee_Master'!$A$1:$C$12,3,FALSE),"Department Name Missing")</f>
        <v>Sales</v>
      </c>
      <c r="M417" s="25" t="str">
        <f>IF('03_Clean_data'!D417="","Missing",IFERROR(IF(VLOOKUP(D417,'03_Product_Master'!$A$1:$D$14,1,FALSE)='03_Clean_data'!D417,"Valid","Invalid"),"Invalid"))</f>
        <v>Valid</v>
      </c>
      <c r="N417" s="25" t="str">
        <f>IFERROR(VLOOKUP(tbl_clean_sales[[#This Row],[Product_ID]],'03_Product_Master'!$A$1:$D$14,2,FALSE),"Missing")</f>
        <v>Potato Chips</v>
      </c>
      <c r="O417" s="25" t="str">
        <f>IFERROR(VLOOKUP(tbl_clean_sales[[#This Row],[Product_ID]],'03_Product_Master'!$A$1:$D$14,3,FALSE),"Missing")</f>
        <v>Snacks</v>
      </c>
      <c r="P417" s="25">
        <f>IFERROR(VLOOKUP(tbl_clean_sales[[#This Row],[Product_ID]],'03_Product_Master'!$A$1:$D$14,4,FALSE),"Missing")</f>
        <v>110</v>
      </c>
      <c r="Q417" s="25" t="str">
        <f>IF('03_Clean_data'!E417="","Missing",IFERROR(IF(VLOOKUP(E417,'04_Branch_Master'!$A$1:$C$7,1,FALSE)='03_Clean_data'!E417,"Valid","Invalid"),"Invalid"))</f>
        <v>Valid</v>
      </c>
      <c r="R417" s="25" t="str">
        <f>IFERROR(VLOOKUP(tbl_clean_sales[[#This Row],[Branch_ID]],'04_Branch_Master'!$A$1:$C$7,2,FALSE),"Missing")</f>
        <v>Avinashi Road</v>
      </c>
      <c r="S417" s="25" t="str">
        <f>IFERROR(VLOOKUP(tbl_clean_sales[[#This Row],[Branch_ID]],'04_Branch_Master'!$A$1:$C$7,3,FALSE),"Missing")</f>
        <v>North</v>
      </c>
      <c r="T417" s="25" t="str">
        <f>C417&amp;"|"&amp;TEXT(tbl_clean_sales[[#This Row],[Date]],"yyyymm")</f>
        <v>E004|202604</v>
      </c>
      <c r="U417" s="25">
        <f>IFERROR(INDEX('05_Target_Master'!$A$1:$F$32,MATCH(tbl_clean_sales[[#This Row],[target key]],'05_Target_Master'!$F$1:$F$32,0),3),"Missing")</f>
        <v>163600</v>
      </c>
    </row>
    <row r="418" spans="1:21" x14ac:dyDescent="0.3">
      <c r="A418" s="21">
        <v>46176</v>
      </c>
      <c r="B418" s="22" t="s">
        <v>451</v>
      </c>
      <c r="C418" s="22" t="s">
        <v>8</v>
      </c>
      <c r="D418" s="22" t="s">
        <v>43</v>
      </c>
      <c r="E418" s="22" t="s">
        <v>26</v>
      </c>
      <c r="F418" s="22">
        <v>5</v>
      </c>
      <c r="G418" s="23">
        <v>1544.27</v>
      </c>
      <c r="H418" s="25" t="str">
        <f>IF(COUNTIF(tbl_clean_sales[Invoice_ID],tbl_clean_sales[[#This Row],[Invoice_ID]])&gt;1,"Duplicate","Unique")</f>
        <v>Unique</v>
      </c>
      <c r="I418" s="25"/>
      <c r="J4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8" s="25" t="str">
        <f>IFERROR(VLOOKUP(tbl_clean_sales[[#This Row],[Employee_ID]],'02_Employee_Master'!$A$1:$C$12,2,FALSE),"Employee Name Missing")</f>
        <v>Vignesh R</v>
      </c>
      <c r="L418" s="25" t="str">
        <f>IFERROR(VLOOKUP(tbl_clean_sales[[#This Row],[Employee_ID]],'02_Employee_Master'!$A$1:$C$12,3,FALSE),"Department Name Missing")</f>
        <v>Sales</v>
      </c>
      <c r="M418" s="25" t="str">
        <f>IF('03_Clean_data'!D418="","Missing",IFERROR(IF(VLOOKUP(D418,'03_Product_Master'!$A$1:$D$14,1,FALSE)='03_Clean_data'!D418,"Valid","Invalid"),"Invalid"))</f>
        <v>Valid</v>
      </c>
      <c r="N418" s="25" t="str">
        <f>IFERROR(VLOOKUP(tbl_clean_sales[[#This Row],[Product_ID]],'03_Product_Master'!$A$1:$D$14,2,FALSE),"Missing")</f>
        <v>Laundry Liquid</v>
      </c>
      <c r="O418" s="25" t="str">
        <f>IFERROR(VLOOKUP(tbl_clean_sales[[#This Row],[Product_ID]],'03_Product_Master'!$A$1:$D$14,3,FALSE),"Missing")</f>
        <v>Home Care</v>
      </c>
      <c r="P418" s="25">
        <f>IFERROR(VLOOKUP(tbl_clean_sales[[#This Row],[Product_ID]],'03_Product_Master'!$A$1:$D$14,4,FALSE),"Missing")</f>
        <v>340</v>
      </c>
      <c r="Q418" s="25" t="str">
        <f>IF('03_Clean_data'!E418="","Missing",IFERROR(IF(VLOOKUP(E418,'04_Branch_Master'!$A$1:$C$7,1,FALSE)='03_Clean_data'!E418,"Valid","Invalid"),"Invalid"))</f>
        <v>Valid</v>
      </c>
      <c r="R418" s="25" t="str">
        <f>IFERROR(VLOOKUP(tbl_clean_sales[[#This Row],[Branch_ID]],'04_Branch_Master'!$A$1:$C$7,2,FALSE),"Missing")</f>
        <v>Palladam</v>
      </c>
      <c r="S418" s="25" t="str">
        <f>IFERROR(VLOOKUP(tbl_clean_sales[[#This Row],[Branch_ID]],'04_Branch_Master'!$A$1:$C$7,3,FALSE),"Missing")</f>
        <v>South</v>
      </c>
      <c r="T418" s="25" t="str">
        <f>C418&amp;"|"&amp;TEXT(tbl_clean_sales[[#This Row],[Date]],"yyyymm")</f>
        <v>E009|202606</v>
      </c>
      <c r="U418" s="25">
        <f>IFERROR(INDEX('05_Target_Master'!$A$1:$F$32,MATCH(tbl_clean_sales[[#This Row],[target key]],'05_Target_Master'!$F$1:$F$32,0),3),"Missing")</f>
        <v>156700</v>
      </c>
    </row>
    <row r="419" spans="1:21" x14ac:dyDescent="0.3">
      <c r="A419" s="21">
        <v>46175</v>
      </c>
      <c r="B419" s="22" t="s">
        <v>452</v>
      </c>
      <c r="C419" s="22" t="s">
        <v>38</v>
      </c>
      <c r="D419" s="22" t="s">
        <v>48</v>
      </c>
      <c r="E419" s="22" t="s">
        <v>32</v>
      </c>
      <c r="F419" s="22">
        <v>6</v>
      </c>
      <c r="G419" s="23">
        <v>1528.31</v>
      </c>
      <c r="H419" s="25" t="str">
        <f>IF(COUNTIF(tbl_clean_sales[Invoice_ID],tbl_clean_sales[[#This Row],[Invoice_ID]])&gt;1,"Duplicate","Unique")</f>
        <v>Unique</v>
      </c>
      <c r="I419" s="25"/>
      <c r="J4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19" s="25" t="str">
        <f>IFERROR(VLOOKUP(tbl_clean_sales[[#This Row],[Employee_ID]],'02_Employee_Master'!$A$1:$C$12,2,FALSE),"Employee Name Missing")</f>
        <v>Nandhini K</v>
      </c>
      <c r="L419" s="25" t="str">
        <f>IFERROR(VLOOKUP(tbl_clean_sales[[#This Row],[Employee_ID]],'02_Employee_Master'!$A$1:$C$12,3,FALSE),"Department Name Missing")</f>
        <v>Sales</v>
      </c>
      <c r="M419" s="25" t="str">
        <f>IF('03_Clean_data'!D419="","Missing",IFERROR(IF(VLOOKUP(D419,'03_Product_Master'!$A$1:$D$14,1,FALSE)='03_Clean_data'!D419,"Valid","Invalid"),"Invalid"))</f>
        <v>Valid</v>
      </c>
      <c r="N419" s="25" t="str">
        <f>IFERROR(VLOOKUP(tbl_clean_sales[[#This Row],[Product_ID]],'03_Product_Master'!$A$1:$D$14,2,FALSE),"Missing")</f>
        <v>Face Wash</v>
      </c>
      <c r="O419" s="25" t="str">
        <f>IFERROR(VLOOKUP(tbl_clean_sales[[#This Row],[Product_ID]],'03_Product_Master'!$A$1:$D$14,3,FALSE),"Missing")</f>
        <v>Personal Care</v>
      </c>
      <c r="P419" s="25">
        <f>IFERROR(VLOOKUP(tbl_clean_sales[[#This Row],[Product_ID]],'03_Product_Master'!$A$1:$D$14,4,FALSE),"Missing")</f>
        <v>260</v>
      </c>
      <c r="Q419" s="25" t="str">
        <f>IF('03_Clean_data'!E419="","Missing",IFERROR(IF(VLOOKUP(E419,'04_Branch_Master'!$A$1:$C$7,1,FALSE)='03_Clean_data'!E419,"Valid","Invalid"),"Invalid"))</f>
        <v>Valid</v>
      </c>
      <c r="R419" s="25" t="str">
        <f>IFERROR(VLOOKUP(tbl_clean_sales[[#This Row],[Branch_ID]],'04_Branch_Master'!$A$1:$C$7,2,FALSE),"Missing")</f>
        <v>Kangeyam</v>
      </c>
      <c r="S419" s="25" t="str">
        <f>IFERROR(VLOOKUP(tbl_clean_sales[[#This Row],[Branch_ID]],'04_Branch_Master'!$A$1:$C$7,3,FALSE),"Missing")</f>
        <v>East</v>
      </c>
      <c r="T419" s="25" t="str">
        <f>C419&amp;"|"&amp;TEXT(tbl_clean_sales[[#This Row],[Date]],"yyyymm")</f>
        <v>E008|202606</v>
      </c>
      <c r="U419" s="25">
        <f>IFERROR(INDEX('05_Target_Master'!$A$1:$F$32,MATCH(tbl_clean_sales[[#This Row],[target key]],'05_Target_Master'!$F$1:$F$32,0),3),"Missing")</f>
        <v>119200</v>
      </c>
    </row>
    <row r="420" spans="1:21" x14ac:dyDescent="0.3">
      <c r="A420" s="21">
        <v>46182</v>
      </c>
      <c r="B420" s="22" t="s">
        <v>453</v>
      </c>
      <c r="C420" s="22" t="s">
        <v>38</v>
      </c>
      <c r="D420" s="22" t="s">
        <v>53</v>
      </c>
      <c r="E420" s="22" t="s">
        <v>10</v>
      </c>
      <c r="F420" s="22">
        <v>11</v>
      </c>
      <c r="G420" s="23">
        <v>3407.76</v>
      </c>
      <c r="H420" s="25" t="str">
        <f>IF(COUNTIF(tbl_clean_sales[Invoice_ID],tbl_clean_sales[[#This Row],[Invoice_ID]])&gt;1,"Duplicate","Unique")</f>
        <v>Unique</v>
      </c>
      <c r="I420" s="25"/>
      <c r="J4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0" s="25" t="str">
        <f>IFERROR(VLOOKUP(tbl_clean_sales[[#This Row],[Employee_ID]],'02_Employee_Master'!$A$1:$C$12,2,FALSE),"Employee Name Missing")</f>
        <v>Nandhini K</v>
      </c>
      <c r="L420" s="25" t="str">
        <f>IFERROR(VLOOKUP(tbl_clean_sales[[#This Row],[Employee_ID]],'02_Employee_Master'!$A$1:$C$12,3,FALSE),"Department Name Missing")</f>
        <v>Sales</v>
      </c>
      <c r="M420" s="25" t="str">
        <f>IF('03_Clean_data'!D420="","Missing",IFERROR(IF(VLOOKUP(D420,'03_Product_Master'!$A$1:$D$14,1,FALSE)='03_Clean_data'!D420,"Valid","Invalid"),"Invalid"))</f>
        <v>Valid</v>
      </c>
      <c r="N420" s="25" t="str">
        <f>IFERROR(VLOOKUP(tbl_clean_sales[[#This Row],[Product_ID]],'03_Product_Master'!$A$1:$D$14,2,FALSE),"Missing")</f>
        <v>Instant Coffee</v>
      </c>
      <c r="O420" s="25" t="str">
        <f>IFERROR(VLOOKUP(tbl_clean_sales[[#This Row],[Product_ID]],'03_Product_Master'!$A$1:$D$14,3,FALSE),"Missing")</f>
        <v>Beverages</v>
      </c>
      <c r="P420" s="25">
        <f>IFERROR(VLOOKUP(tbl_clean_sales[[#This Row],[Product_ID]],'03_Product_Master'!$A$1:$D$14,4,FALSE),"Missing")</f>
        <v>350</v>
      </c>
      <c r="Q420" s="25" t="str">
        <f>IF('03_Clean_data'!E420="","Missing",IFERROR(IF(VLOOKUP(E420,'04_Branch_Master'!$A$1:$C$7,1,FALSE)='03_Clean_data'!E420,"Valid","Invalid"),"Invalid"))</f>
        <v>Valid</v>
      </c>
      <c r="R420" s="25" t="str">
        <f>IFERROR(VLOOKUP(tbl_clean_sales[[#This Row],[Branch_ID]],'04_Branch_Master'!$A$1:$C$7,2,FALSE),"Missing")</f>
        <v>Dharapuram</v>
      </c>
      <c r="S420" s="25" t="str">
        <f>IFERROR(VLOOKUP(tbl_clean_sales[[#This Row],[Branch_ID]],'04_Branch_Master'!$A$1:$C$7,3,FALSE),"Missing")</f>
        <v>South</v>
      </c>
      <c r="T420" s="25" t="str">
        <f>C420&amp;"|"&amp;TEXT(tbl_clean_sales[[#This Row],[Date]],"yyyymm")</f>
        <v>E008|202606</v>
      </c>
      <c r="U420" s="25">
        <f>IFERROR(INDEX('05_Target_Master'!$A$1:$F$32,MATCH(tbl_clean_sales[[#This Row],[target key]],'05_Target_Master'!$F$1:$F$32,0),3),"Missing")</f>
        <v>119200</v>
      </c>
    </row>
    <row r="421" spans="1:21" x14ac:dyDescent="0.3">
      <c r="A421" s="21">
        <v>46180</v>
      </c>
      <c r="B421" s="22" t="s">
        <v>454</v>
      </c>
      <c r="C421" s="22" t="s">
        <v>74</v>
      </c>
      <c r="D421" s="22" t="s">
        <v>9</v>
      </c>
      <c r="E421" s="22" t="s">
        <v>22</v>
      </c>
      <c r="F421" s="22">
        <v>1</v>
      </c>
      <c r="G421" s="23">
        <v>266.14</v>
      </c>
      <c r="H421" s="25" t="str">
        <f>IF(COUNTIF(tbl_clean_sales[Invoice_ID],tbl_clean_sales[[#This Row],[Invoice_ID]])&gt;1,"Duplicate","Unique")</f>
        <v>Unique</v>
      </c>
      <c r="I421" s="25"/>
      <c r="J4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1" s="25" t="str">
        <f>IFERROR(VLOOKUP(tbl_clean_sales[[#This Row],[Employee_ID]],'02_Employee_Master'!$A$1:$C$12,2,FALSE),"Employee Name Missing")</f>
        <v>Arun Kumar</v>
      </c>
      <c r="L421" s="25" t="str">
        <f>IFERROR(VLOOKUP(tbl_clean_sales[[#This Row],[Employee_ID]],'02_Employee_Master'!$A$1:$C$12,3,FALSE),"Department Name Missing")</f>
        <v>Sales</v>
      </c>
      <c r="M421" s="25" t="str">
        <f>IF('03_Clean_data'!D421="","Missing",IFERROR(IF(VLOOKUP(D421,'03_Product_Master'!$A$1:$D$14,1,FALSE)='03_Clean_data'!D421,"Valid","Invalid"),"Invalid"))</f>
        <v>Valid</v>
      </c>
      <c r="N421" s="25" t="str">
        <f>IFERROR(VLOOKUP(tbl_clean_sales[[#This Row],[Product_ID]],'03_Product_Master'!$A$1:$D$14,2,FALSE),"Missing")</f>
        <v>Green Tea</v>
      </c>
      <c r="O421" s="25" t="str">
        <f>IFERROR(VLOOKUP(tbl_clean_sales[[#This Row],[Product_ID]],'03_Product_Master'!$A$1:$D$14,3,FALSE),"Missing")</f>
        <v>Beverages</v>
      </c>
      <c r="P421" s="25">
        <f>IFERROR(VLOOKUP(tbl_clean_sales[[#This Row],[Product_ID]],'03_Product_Master'!$A$1:$D$14,4,FALSE),"Missing")</f>
        <v>280</v>
      </c>
      <c r="Q421" s="25" t="str">
        <f>IF('03_Clean_data'!E421="","Missing",IFERROR(IF(VLOOKUP(E421,'04_Branch_Master'!$A$1:$C$7,1,FALSE)='03_Clean_data'!E421,"Valid","Invalid"),"Invalid"))</f>
        <v>Valid</v>
      </c>
      <c r="R421" s="25" t="str">
        <f>IFERROR(VLOOKUP(tbl_clean_sales[[#This Row],[Branch_ID]],'04_Branch_Master'!$A$1:$C$7,2,FALSE),"Missing")</f>
        <v>Tirupur Central</v>
      </c>
      <c r="S421" s="25" t="str">
        <f>IFERROR(VLOOKUP(tbl_clean_sales[[#This Row],[Branch_ID]],'04_Branch_Master'!$A$1:$C$7,3,FALSE),"Missing")</f>
        <v>North</v>
      </c>
      <c r="T421" s="25" t="str">
        <f>C421&amp;"|"&amp;TEXT(tbl_clean_sales[[#This Row],[Date]],"yyyymm")</f>
        <v>E001|202606</v>
      </c>
      <c r="U421" s="25">
        <f>IFERROR(INDEX('05_Target_Master'!$A$1:$F$32,MATCH(tbl_clean_sales[[#This Row],[target key]],'05_Target_Master'!$F$1:$F$32,0),3),"Missing")</f>
        <v>150600</v>
      </c>
    </row>
    <row r="422" spans="1:21" x14ac:dyDescent="0.3">
      <c r="A422" s="21">
        <v>46193</v>
      </c>
      <c r="B422" s="22" t="s">
        <v>455</v>
      </c>
      <c r="C422" s="22" t="s">
        <v>12</v>
      </c>
      <c r="D422" s="22" t="s">
        <v>9</v>
      </c>
      <c r="E422" s="22" t="s">
        <v>14</v>
      </c>
      <c r="F422" s="22">
        <v>1</v>
      </c>
      <c r="G422" s="23">
        <v>272.64999999999998</v>
      </c>
      <c r="H422" s="25" t="str">
        <f>IF(COUNTIF(tbl_clean_sales[Invoice_ID],tbl_clean_sales[[#This Row],[Invoice_ID]])&gt;1,"Duplicate","Unique")</f>
        <v>Unique</v>
      </c>
      <c r="I422" s="25"/>
      <c r="J4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2" s="25" t="str">
        <f>IFERROR(VLOOKUP(tbl_clean_sales[[#This Row],[Employee_ID]],'02_Employee_Master'!$A$1:$C$12,2,FALSE),"Employee Name Missing")</f>
        <v>Divya R</v>
      </c>
      <c r="L422" s="25" t="str">
        <f>IFERROR(VLOOKUP(tbl_clean_sales[[#This Row],[Employee_ID]],'02_Employee_Master'!$A$1:$C$12,3,FALSE),"Department Name Missing")</f>
        <v>Sales</v>
      </c>
      <c r="M422" s="25" t="str">
        <f>IF('03_Clean_data'!D422="","Missing",IFERROR(IF(VLOOKUP(D422,'03_Product_Master'!$A$1:$D$14,1,FALSE)='03_Clean_data'!D422,"Valid","Invalid"),"Invalid"))</f>
        <v>Valid</v>
      </c>
      <c r="N422" s="25" t="str">
        <f>IFERROR(VLOOKUP(tbl_clean_sales[[#This Row],[Product_ID]],'03_Product_Master'!$A$1:$D$14,2,FALSE),"Missing")</f>
        <v>Green Tea</v>
      </c>
      <c r="O422" s="25" t="str">
        <f>IFERROR(VLOOKUP(tbl_clean_sales[[#This Row],[Product_ID]],'03_Product_Master'!$A$1:$D$14,3,FALSE),"Missing")</f>
        <v>Beverages</v>
      </c>
      <c r="P422" s="25">
        <f>IFERROR(VLOOKUP(tbl_clean_sales[[#This Row],[Product_ID]],'03_Product_Master'!$A$1:$D$14,4,FALSE),"Missing")</f>
        <v>280</v>
      </c>
      <c r="Q422" s="25" t="str">
        <f>IF('03_Clean_data'!E422="","Missing",IFERROR(IF(VLOOKUP(E422,'04_Branch_Master'!$A$1:$C$7,1,FALSE)='03_Clean_data'!E422,"Valid","Invalid"),"Invalid"))</f>
        <v>Valid</v>
      </c>
      <c r="R422" s="25" t="str">
        <f>IFERROR(VLOOKUP(tbl_clean_sales[[#This Row],[Branch_ID]],'04_Branch_Master'!$A$1:$C$7,2,FALSE),"Missing")</f>
        <v>Avinashi Road</v>
      </c>
      <c r="S422" s="25" t="str">
        <f>IFERROR(VLOOKUP(tbl_clean_sales[[#This Row],[Branch_ID]],'04_Branch_Master'!$A$1:$C$7,3,FALSE),"Missing")</f>
        <v>North</v>
      </c>
      <c r="T422" s="25" t="str">
        <f>C422&amp;"|"&amp;TEXT(tbl_clean_sales[[#This Row],[Date]],"yyyymm")</f>
        <v>E004|202606</v>
      </c>
      <c r="U422" s="25">
        <f>IFERROR(INDEX('05_Target_Master'!$A$1:$F$32,MATCH(tbl_clean_sales[[#This Row],[target key]],'05_Target_Master'!$F$1:$F$32,0),3),"Missing")</f>
        <v>157100</v>
      </c>
    </row>
    <row r="423" spans="1:21" x14ac:dyDescent="0.3">
      <c r="A423" s="21">
        <v>46171</v>
      </c>
      <c r="B423" s="22" t="s">
        <v>456</v>
      </c>
      <c r="C423" s="22" t="s">
        <v>457</v>
      </c>
      <c r="D423" s="22" t="s">
        <v>25</v>
      </c>
      <c r="E423" s="22" t="s">
        <v>26</v>
      </c>
      <c r="F423" s="22">
        <v>11</v>
      </c>
      <c r="G423" s="23">
        <v>4102.24</v>
      </c>
      <c r="H423" s="25" t="str">
        <f>IF(COUNTIF(tbl_clean_sales[Invoice_ID],tbl_clean_sales[[#This Row],[Invoice_ID]])&gt;1,"Duplicate","Unique")</f>
        <v>Unique</v>
      </c>
      <c r="I423" s="25"/>
      <c r="J4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Invalid</v>
      </c>
      <c r="K423" s="25" t="str">
        <f>IFERROR(VLOOKUP(tbl_clean_sales[[#This Row],[Employee_ID]],'02_Employee_Master'!$A$1:$C$12,2,FALSE),"Employee Name Missing")</f>
        <v>Employee Name Missing</v>
      </c>
      <c r="L423" s="25" t="str">
        <f>IFERROR(VLOOKUP(tbl_clean_sales[[#This Row],[Employee_ID]],'02_Employee_Master'!$A$1:$C$12,3,FALSE),"Department Name Missing")</f>
        <v>Department Name Missing</v>
      </c>
      <c r="M423" s="25" t="str">
        <f>IF('03_Clean_data'!D423="","Missing",IFERROR(IF(VLOOKUP(D423,'03_Product_Master'!$A$1:$D$14,1,FALSE)='03_Clean_data'!D423,"Valid","Invalid"),"Invalid"))</f>
        <v>Valid</v>
      </c>
      <c r="N423" s="25" t="str">
        <f>IFERROR(VLOOKUP(tbl_clean_sales[[#This Row],[Product_ID]],'03_Product_Master'!$A$1:$D$14,2,FALSE),"Missing")</f>
        <v>Premium Coffee</v>
      </c>
      <c r="O423" s="25" t="str">
        <f>IFERROR(VLOOKUP(tbl_clean_sales[[#This Row],[Product_ID]],'03_Product_Master'!$A$1:$D$14,3,FALSE),"Missing")</f>
        <v>Beverages</v>
      </c>
      <c r="P423" s="25">
        <f>IFERROR(VLOOKUP(tbl_clean_sales[[#This Row],[Product_ID]],'03_Product_Master'!$A$1:$D$14,4,FALSE),"Missing")</f>
        <v>420</v>
      </c>
      <c r="Q423" s="25" t="str">
        <f>IF('03_Clean_data'!E423="","Missing",IFERROR(IF(VLOOKUP(E423,'04_Branch_Master'!$A$1:$C$7,1,FALSE)='03_Clean_data'!E423,"Valid","Invalid"),"Invalid"))</f>
        <v>Valid</v>
      </c>
      <c r="R423" s="25" t="str">
        <f>IFERROR(VLOOKUP(tbl_clean_sales[[#This Row],[Branch_ID]],'04_Branch_Master'!$A$1:$C$7,2,FALSE),"Missing")</f>
        <v>Palladam</v>
      </c>
      <c r="S423" s="25" t="str">
        <f>IFERROR(VLOOKUP(tbl_clean_sales[[#This Row],[Branch_ID]],'04_Branch_Master'!$A$1:$C$7,3,FALSE),"Missing")</f>
        <v>South</v>
      </c>
      <c r="T423" s="25" t="str">
        <f>C423&amp;"|"&amp;TEXT(tbl_clean_sales[[#This Row],[Date]],"yyyymm")</f>
        <v>E999|202605</v>
      </c>
      <c r="U423" s="25" t="str">
        <f>IFERROR(INDEX('05_Target_Master'!$A$1:$F$32,MATCH(tbl_clean_sales[[#This Row],[target key]],'05_Target_Master'!$F$1:$F$32,0),3),"Missing")</f>
        <v>Missing</v>
      </c>
    </row>
    <row r="424" spans="1:21" x14ac:dyDescent="0.3">
      <c r="A424" s="21">
        <v>46174</v>
      </c>
      <c r="B424" s="22" t="s">
        <v>458</v>
      </c>
      <c r="C424" s="22" t="s">
        <v>38</v>
      </c>
      <c r="D424" s="22" t="s">
        <v>25</v>
      </c>
      <c r="E424" s="22" t="s">
        <v>32</v>
      </c>
      <c r="F424" s="22">
        <v>9</v>
      </c>
      <c r="G424" s="23">
        <v>3593.42</v>
      </c>
      <c r="H424" s="25" t="str">
        <f>IF(COUNTIF(tbl_clean_sales[Invoice_ID],tbl_clean_sales[[#This Row],[Invoice_ID]])&gt;1,"Duplicate","Unique")</f>
        <v>Unique</v>
      </c>
      <c r="I424" s="25"/>
      <c r="J4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4" s="25" t="str">
        <f>IFERROR(VLOOKUP(tbl_clean_sales[[#This Row],[Employee_ID]],'02_Employee_Master'!$A$1:$C$12,2,FALSE),"Employee Name Missing")</f>
        <v>Nandhini K</v>
      </c>
      <c r="L424" s="25" t="str">
        <f>IFERROR(VLOOKUP(tbl_clean_sales[[#This Row],[Employee_ID]],'02_Employee_Master'!$A$1:$C$12,3,FALSE),"Department Name Missing")</f>
        <v>Sales</v>
      </c>
      <c r="M424" s="25" t="str">
        <f>IF('03_Clean_data'!D424="","Missing",IFERROR(IF(VLOOKUP(D424,'03_Product_Master'!$A$1:$D$14,1,FALSE)='03_Clean_data'!D424,"Valid","Invalid"),"Invalid"))</f>
        <v>Valid</v>
      </c>
      <c r="N424" s="25" t="str">
        <f>IFERROR(VLOOKUP(tbl_clean_sales[[#This Row],[Product_ID]],'03_Product_Master'!$A$1:$D$14,2,FALSE),"Missing")</f>
        <v>Premium Coffee</v>
      </c>
      <c r="O424" s="25" t="str">
        <f>IFERROR(VLOOKUP(tbl_clean_sales[[#This Row],[Product_ID]],'03_Product_Master'!$A$1:$D$14,3,FALSE),"Missing")</f>
        <v>Beverages</v>
      </c>
      <c r="P424" s="25">
        <f>IFERROR(VLOOKUP(tbl_clean_sales[[#This Row],[Product_ID]],'03_Product_Master'!$A$1:$D$14,4,FALSE),"Missing")</f>
        <v>420</v>
      </c>
      <c r="Q424" s="25" t="str">
        <f>IF('03_Clean_data'!E424="","Missing",IFERROR(IF(VLOOKUP(E424,'04_Branch_Master'!$A$1:$C$7,1,FALSE)='03_Clean_data'!E424,"Valid","Invalid"),"Invalid"))</f>
        <v>Valid</v>
      </c>
      <c r="R424" s="25" t="str">
        <f>IFERROR(VLOOKUP(tbl_clean_sales[[#This Row],[Branch_ID]],'04_Branch_Master'!$A$1:$C$7,2,FALSE),"Missing")</f>
        <v>Kangeyam</v>
      </c>
      <c r="S424" s="25" t="str">
        <f>IFERROR(VLOOKUP(tbl_clean_sales[[#This Row],[Branch_ID]],'04_Branch_Master'!$A$1:$C$7,3,FALSE),"Missing")</f>
        <v>East</v>
      </c>
      <c r="T424" s="25" t="str">
        <f>C424&amp;"|"&amp;TEXT(tbl_clean_sales[[#This Row],[Date]],"yyyymm")</f>
        <v>E008|202606</v>
      </c>
      <c r="U424" s="25">
        <f>IFERROR(INDEX('05_Target_Master'!$A$1:$F$32,MATCH(tbl_clean_sales[[#This Row],[target key]],'05_Target_Master'!$F$1:$F$32,0),3),"Missing")</f>
        <v>119200</v>
      </c>
    </row>
    <row r="425" spans="1:21" x14ac:dyDescent="0.3">
      <c r="A425" s="21">
        <v>46115</v>
      </c>
      <c r="B425" s="22" t="s">
        <v>459</v>
      </c>
      <c r="C425" s="22" t="s">
        <v>8</v>
      </c>
      <c r="D425" s="22" t="s">
        <v>19</v>
      </c>
      <c r="E425" s="22" t="s">
        <v>10</v>
      </c>
      <c r="F425" s="22">
        <v>5</v>
      </c>
      <c r="G425" s="23">
        <v>1147.6300000000001</v>
      </c>
      <c r="H425" s="25" t="str">
        <f>IF(COUNTIF(tbl_clean_sales[Invoice_ID],tbl_clean_sales[[#This Row],[Invoice_ID]])&gt;1,"Duplicate","Unique")</f>
        <v>Unique</v>
      </c>
      <c r="I425" s="25"/>
      <c r="J4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5" s="25" t="str">
        <f>IFERROR(VLOOKUP(tbl_clean_sales[[#This Row],[Employee_ID]],'02_Employee_Master'!$A$1:$C$12,2,FALSE),"Employee Name Missing")</f>
        <v>Vignesh R</v>
      </c>
      <c r="L425" s="25" t="str">
        <f>IFERROR(VLOOKUP(tbl_clean_sales[[#This Row],[Employee_ID]],'02_Employee_Master'!$A$1:$C$12,3,FALSE),"Department Name Missing")</f>
        <v>Sales</v>
      </c>
      <c r="M425" s="25" t="str">
        <f>IF('03_Clean_data'!D425="","Missing",IFERROR(IF(VLOOKUP(D425,'03_Product_Master'!$A$1:$D$14,1,FALSE)='03_Clean_data'!D425,"Valid","Invalid"),"Invalid"))</f>
        <v>Valid</v>
      </c>
      <c r="N425" s="25" t="str">
        <f>IFERROR(VLOOKUP(tbl_clean_sales[[#This Row],[Product_ID]],'03_Product_Master'!$A$1:$D$14,2,FALSE),"Missing")</f>
        <v>Floor Cleaner</v>
      </c>
      <c r="O425" s="25" t="str">
        <f>IFERROR(VLOOKUP(tbl_clean_sales[[#This Row],[Product_ID]],'03_Product_Master'!$A$1:$D$14,3,FALSE),"Missing")</f>
        <v>Home Care</v>
      </c>
      <c r="P425" s="25">
        <f>IFERROR(VLOOKUP(tbl_clean_sales[[#This Row],[Product_ID]],'03_Product_Master'!$A$1:$D$14,4,FALSE),"Missing")</f>
        <v>230</v>
      </c>
      <c r="Q425" s="25" t="str">
        <f>IF('03_Clean_data'!E425="","Missing",IFERROR(IF(VLOOKUP(E425,'04_Branch_Master'!$A$1:$C$7,1,FALSE)='03_Clean_data'!E425,"Valid","Invalid"),"Invalid"))</f>
        <v>Valid</v>
      </c>
      <c r="R425" s="25" t="str">
        <f>IFERROR(VLOOKUP(tbl_clean_sales[[#This Row],[Branch_ID]],'04_Branch_Master'!$A$1:$C$7,2,FALSE),"Missing")</f>
        <v>Dharapuram</v>
      </c>
      <c r="S425" s="25" t="str">
        <f>IFERROR(VLOOKUP(tbl_clean_sales[[#This Row],[Branch_ID]],'04_Branch_Master'!$A$1:$C$7,3,FALSE),"Missing")</f>
        <v>South</v>
      </c>
      <c r="T425" s="25" t="str">
        <f>C425&amp;"|"&amp;TEXT(tbl_clean_sales[[#This Row],[Date]],"yyyymm")</f>
        <v>E009|202604</v>
      </c>
      <c r="U425" s="25">
        <f>IFERROR(INDEX('05_Target_Master'!$A$1:$F$32,MATCH(tbl_clean_sales[[#This Row],[target key]],'05_Target_Master'!$F$1:$F$32,0),3),"Missing")</f>
        <v>163300</v>
      </c>
    </row>
    <row r="426" spans="1:21" x14ac:dyDescent="0.3">
      <c r="A426" s="21">
        <v>46202</v>
      </c>
      <c r="B426" s="22" t="s">
        <v>460</v>
      </c>
      <c r="C426" s="22" t="s">
        <v>46</v>
      </c>
      <c r="D426" s="22" t="s">
        <v>53</v>
      </c>
      <c r="E426" s="22" t="s">
        <v>32</v>
      </c>
      <c r="F426" s="22">
        <v>2</v>
      </c>
      <c r="G426" s="23">
        <v>655.95</v>
      </c>
      <c r="H426" s="25" t="str">
        <f>IF(COUNTIF(tbl_clean_sales[Invoice_ID],tbl_clean_sales[[#This Row],[Invoice_ID]])&gt;1,"Duplicate","Unique")</f>
        <v>Unique</v>
      </c>
      <c r="I426" s="25"/>
      <c r="J4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6" s="25" t="str">
        <f>IFERROR(VLOOKUP(tbl_clean_sales[[#This Row],[Employee_ID]],'02_Employee_Master'!$A$1:$C$12,2,FALSE),"Employee Name Missing")</f>
        <v>Suresh B</v>
      </c>
      <c r="L426" s="25" t="str">
        <f>IFERROR(VLOOKUP(tbl_clean_sales[[#This Row],[Employee_ID]],'02_Employee_Master'!$A$1:$C$12,3,FALSE),"Department Name Missing")</f>
        <v>Sales</v>
      </c>
      <c r="M426" s="25" t="str">
        <f>IF('03_Clean_data'!D426="","Missing",IFERROR(IF(VLOOKUP(D426,'03_Product_Master'!$A$1:$D$14,1,FALSE)='03_Clean_data'!D426,"Valid","Invalid"),"Invalid"))</f>
        <v>Valid</v>
      </c>
      <c r="N426" s="25" t="str">
        <f>IFERROR(VLOOKUP(tbl_clean_sales[[#This Row],[Product_ID]],'03_Product_Master'!$A$1:$D$14,2,FALSE),"Missing")</f>
        <v>Instant Coffee</v>
      </c>
      <c r="O426" s="25" t="str">
        <f>IFERROR(VLOOKUP(tbl_clean_sales[[#This Row],[Product_ID]],'03_Product_Master'!$A$1:$D$14,3,FALSE),"Missing")</f>
        <v>Beverages</v>
      </c>
      <c r="P426" s="25">
        <f>IFERROR(VLOOKUP(tbl_clean_sales[[#This Row],[Product_ID]],'03_Product_Master'!$A$1:$D$14,4,FALSE),"Missing")</f>
        <v>350</v>
      </c>
      <c r="Q426" s="25" t="str">
        <f>IF('03_Clean_data'!E426="","Missing",IFERROR(IF(VLOOKUP(E426,'04_Branch_Master'!$A$1:$C$7,1,FALSE)='03_Clean_data'!E426,"Valid","Invalid"),"Invalid"))</f>
        <v>Valid</v>
      </c>
      <c r="R426" s="25" t="str">
        <f>IFERROR(VLOOKUP(tbl_clean_sales[[#This Row],[Branch_ID]],'04_Branch_Master'!$A$1:$C$7,2,FALSE),"Missing")</f>
        <v>Kangeyam</v>
      </c>
      <c r="S426" s="25" t="str">
        <f>IFERROR(VLOOKUP(tbl_clean_sales[[#This Row],[Branch_ID]],'04_Branch_Master'!$A$1:$C$7,3,FALSE),"Missing")</f>
        <v>East</v>
      </c>
      <c r="T426" s="25" t="str">
        <f>C426&amp;"|"&amp;TEXT(tbl_clean_sales[[#This Row],[Date]],"yyyymm")</f>
        <v>E007|202606</v>
      </c>
      <c r="U426" s="25">
        <f>IFERROR(INDEX('05_Target_Master'!$A$1:$F$32,MATCH(tbl_clean_sales[[#This Row],[target key]],'05_Target_Master'!$F$1:$F$32,0),3),"Missing")</f>
        <v>124400</v>
      </c>
    </row>
    <row r="427" spans="1:21" x14ac:dyDescent="0.3">
      <c r="A427" s="21">
        <v>46143</v>
      </c>
      <c r="B427" s="22" t="s">
        <v>461</v>
      </c>
      <c r="C427" s="22" t="s">
        <v>12</v>
      </c>
      <c r="D427" s="22" t="s">
        <v>36</v>
      </c>
      <c r="E427" s="22" t="s">
        <v>14</v>
      </c>
      <c r="F427" s="22">
        <v>6</v>
      </c>
      <c r="G427" s="23">
        <v>1103.43</v>
      </c>
      <c r="H427" s="25" t="str">
        <f>IF(COUNTIF(tbl_clean_sales[Invoice_ID],tbl_clean_sales[[#This Row],[Invoice_ID]])&gt;1,"Duplicate","Unique")</f>
        <v>Unique</v>
      </c>
      <c r="I427" s="25"/>
      <c r="J4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7" s="25" t="str">
        <f>IFERROR(VLOOKUP(tbl_clean_sales[[#This Row],[Employee_ID]],'02_Employee_Master'!$A$1:$C$12,2,FALSE),"Employee Name Missing")</f>
        <v>Divya R</v>
      </c>
      <c r="L427" s="25" t="str">
        <f>IFERROR(VLOOKUP(tbl_clean_sales[[#This Row],[Employee_ID]],'02_Employee_Master'!$A$1:$C$12,3,FALSE),"Department Name Missing")</f>
        <v>Sales</v>
      </c>
      <c r="M427" s="25" t="str">
        <f>IF('03_Clean_data'!D427="","Missing",IFERROR(IF(VLOOKUP(D427,'03_Product_Master'!$A$1:$D$14,1,FALSE)='03_Clean_data'!D427,"Valid","Invalid"),"Invalid"))</f>
        <v>Valid</v>
      </c>
      <c r="N427" s="25" t="str">
        <f>IFERROR(VLOOKUP(tbl_clean_sales[[#This Row],[Product_ID]],'03_Product_Master'!$A$1:$D$14,2,FALSE),"Missing")</f>
        <v>Dish Wash</v>
      </c>
      <c r="O427" s="25" t="str">
        <f>IFERROR(VLOOKUP(tbl_clean_sales[[#This Row],[Product_ID]],'03_Product_Master'!$A$1:$D$14,3,FALSE),"Missing")</f>
        <v>Home Care</v>
      </c>
      <c r="P427" s="25">
        <f>IFERROR(VLOOKUP(tbl_clean_sales[[#This Row],[Product_ID]],'03_Product_Master'!$A$1:$D$14,4,FALSE),"Missing")</f>
        <v>190</v>
      </c>
      <c r="Q427" s="25" t="str">
        <f>IF('03_Clean_data'!E427="","Missing",IFERROR(IF(VLOOKUP(E427,'04_Branch_Master'!$A$1:$C$7,1,FALSE)='03_Clean_data'!E427,"Valid","Invalid"),"Invalid"))</f>
        <v>Valid</v>
      </c>
      <c r="R427" s="25" t="str">
        <f>IFERROR(VLOOKUP(tbl_clean_sales[[#This Row],[Branch_ID]],'04_Branch_Master'!$A$1:$C$7,2,FALSE),"Missing")</f>
        <v>Avinashi Road</v>
      </c>
      <c r="S427" s="25" t="str">
        <f>IFERROR(VLOOKUP(tbl_clean_sales[[#This Row],[Branch_ID]],'04_Branch_Master'!$A$1:$C$7,3,FALSE),"Missing")</f>
        <v>North</v>
      </c>
      <c r="T427" s="25" t="str">
        <f>C427&amp;"|"&amp;TEXT(tbl_clean_sales[[#This Row],[Date]],"yyyymm")</f>
        <v>E004|202605</v>
      </c>
      <c r="U427" s="25">
        <f>IFERROR(INDEX('05_Target_Master'!$A$1:$F$32,MATCH(tbl_clean_sales[[#This Row],[target key]],'05_Target_Master'!$F$1:$F$32,0),3),"Missing")</f>
        <v>176700</v>
      </c>
    </row>
    <row r="428" spans="1:21" x14ac:dyDescent="0.3">
      <c r="A428" s="21">
        <v>46163</v>
      </c>
      <c r="B428" s="22" t="s">
        <v>462</v>
      </c>
      <c r="C428" s="22" t="s">
        <v>21</v>
      </c>
      <c r="D428" s="22" t="s">
        <v>34</v>
      </c>
      <c r="E428" s="22" t="s">
        <v>32</v>
      </c>
      <c r="F428" s="22">
        <v>10</v>
      </c>
      <c r="G428" s="23">
        <v>1067.9000000000001</v>
      </c>
      <c r="H428" s="25" t="str">
        <f>IF(COUNTIF(tbl_clean_sales[Invoice_ID],tbl_clean_sales[[#This Row],[Invoice_ID]])&gt;1,"Duplicate","Unique")</f>
        <v>Unique</v>
      </c>
      <c r="I428" s="25"/>
      <c r="J4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8" s="25" t="str">
        <f>IFERROR(VLOOKUP(tbl_clean_sales[[#This Row],[Employee_ID]],'02_Employee_Master'!$A$1:$C$12,2,FALSE),"Employee Name Missing")</f>
        <v>Priya S</v>
      </c>
      <c r="L428" s="25" t="str">
        <f>IFERROR(VLOOKUP(tbl_clean_sales[[#This Row],[Employee_ID]],'02_Employee_Master'!$A$1:$C$12,3,FALSE),"Department Name Missing")</f>
        <v>Sales</v>
      </c>
      <c r="M428" s="25" t="str">
        <f>IF('03_Clean_data'!D428="","Missing",IFERROR(IF(VLOOKUP(D428,'03_Product_Master'!$A$1:$D$14,1,FALSE)='03_Clean_data'!D428,"Valid","Invalid"),"Invalid"))</f>
        <v>Valid</v>
      </c>
      <c r="N428" s="25" t="str">
        <f>IFERROR(VLOOKUP(tbl_clean_sales[[#This Row],[Product_ID]],'03_Product_Master'!$A$1:$D$14,2,FALSE),"Missing")</f>
        <v>Potato Chips</v>
      </c>
      <c r="O428" s="25" t="str">
        <f>IFERROR(VLOOKUP(tbl_clean_sales[[#This Row],[Product_ID]],'03_Product_Master'!$A$1:$D$14,3,FALSE),"Missing")</f>
        <v>Snacks</v>
      </c>
      <c r="P428" s="25">
        <f>IFERROR(VLOOKUP(tbl_clean_sales[[#This Row],[Product_ID]],'03_Product_Master'!$A$1:$D$14,4,FALSE),"Missing")</f>
        <v>110</v>
      </c>
      <c r="Q428" s="25" t="str">
        <f>IF('03_Clean_data'!E428="","Missing",IFERROR(IF(VLOOKUP(E428,'04_Branch_Master'!$A$1:$C$7,1,FALSE)='03_Clean_data'!E428,"Valid","Invalid"),"Invalid"))</f>
        <v>Valid</v>
      </c>
      <c r="R428" s="25" t="str">
        <f>IFERROR(VLOOKUP(tbl_clean_sales[[#This Row],[Branch_ID]],'04_Branch_Master'!$A$1:$C$7,2,FALSE),"Missing")</f>
        <v>Kangeyam</v>
      </c>
      <c r="S428" s="25" t="str">
        <f>IFERROR(VLOOKUP(tbl_clean_sales[[#This Row],[Branch_ID]],'04_Branch_Master'!$A$1:$C$7,3,FALSE),"Missing")</f>
        <v>East</v>
      </c>
      <c r="T428" s="25" t="str">
        <f>C428&amp;"|"&amp;TEXT(tbl_clean_sales[[#This Row],[Date]],"yyyymm")</f>
        <v>E002|202605</v>
      </c>
      <c r="U428" s="25">
        <f>IFERROR(INDEX('05_Target_Master'!$A$1:$F$32,MATCH(tbl_clean_sales[[#This Row],[target key]],'05_Target_Master'!$F$1:$F$32,0),3),"Missing")</f>
        <v>132100</v>
      </c>
    </row>
    <row r="429" spans="1:21" x14ac:dyDescent="0.3">
      <c r="A429" s="21">
        <v>46202</v>
      </c>
      <c r="B429" s="22" t="s">
        <v>463</v>
      </c>
      <c r="C429" s="22" t="s">
        <v>12</v>
      </c>
      <c r="D429" s="22" t="s">
        <v>82</v>
      </c>
      <c r="E429" s="22" t="s">
        <v>14</v>
      </c>
      <c r="F429" s="22">
        <v>2</v>
      </c>
      <c r="G429" s="23">
        <v>221.17</v>
      </c>
      <c r="H429" s="25" t="str">
        <f>IF(COUNTIF(tbl_clean_sales[Invoice_ID],tbl_clean_sales[[#This Row],[Invoice_ID]])&gt;1,"Duplicate","Unique")</f>
        <v>Unique</v>
      </c>
      <c r="I429" s="25"/>
      <c r="J4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29" s="25" t="str">
        <f>IFERROR(VLOOKUP(tbl_clean_sales[[#This Row],[Employee_ID]],'02_Employee_Master'!$A$1:$C$12,2,FALSE),"Employee Name Missing")</f>
        <v>Divya R</v>
      </c>
      <c r="L429" s="25" t="str">
        <f>IFERROR(VLOOKUP(tbl_clean_sales[[#This Row],[Employee_ID]],'02_Employee_Master'!$A$1:$C$12,3,FALSE),"Department Name Missing")</f>
        <v>Sales</v>
      </c>
      <c r="M429" s="25" t="str">
        <f>IF('03_Clean_data'!D429="","Missing",IFERROR(IF(VLOOKUP(D429,'03_Product_Master'!$A$1:$D$14,1,FALSE)='03_Clean_data'!D429,"Valid","Invalid"),"Invalid"))</f>
        <v>Valid</v>
      </c>
      <c r="N429" s="25" t="str">
        <f>IFERROR(VLOOKUP(tbl_clean_sales[[#This Row],[Product_ID]],'03_Product_Master'!$A$1:$D$14,2,FALSE),"Missing")</f>
        <v>Chocolate Bar</v>
      </c>
      <c r="O429" s="25" t="str">
        <f>IFERROR(VLOOKUP(tbl_clean_sales[[#This Row],[Product_ID]],'03_Product_Master'!$A$1:$D$14,3,FALSE),"Missing")</f>
        <v>Snacks</v>
      </c>
      <c r="P429" s="25">
        <f>IFERROR(VLOOKUP(tbl_clean_sales[[#This Row],[Product_ID]],'03_Product_Master'!$A$1:$D$14,4,FALSE),"Missing")</f>
        <v>120</v>
      </c>
      <c r="Q429" s="25" t="str">
        <f>IF('03_Clean_data'!E429="","Missing",IFERROR(IF(VLOOKUP(E429,'04_Branch_Master'!$A$1:$C$7,1,FALSE)='03_Clean_data'!E429,"Valid","Invalid"),"Invalid"))</f>
        <v>Valid</v>
      </c>
      <c r="R429" s="25" t="str">
        <f>IFERROR(VLOOKUP(tbl_clean_sales[[#This Row],[Branch_ID]],'04_Branch_Master'!$A$1:$C$7,2,FALSE),"Missing")</f>
        <v>Avinashi Road</v>
      </c>
      <c r="S429" s="25" t="str">
        <f>IFERROR(VLOOKUP(tbl_clean_sales[[#This Row],[Branch_ID]],'04_Branch_Master'!$A$1:$C$7,3,FALSE),"Missing")</f>
        <v>North</v>
      </c>
      <c r="T429" s="25" t="str">
        <f>C429&amp;"|"&amp;TEXT(tbl_clean_sales[[#This Row],[Date]],"yyyymm")</f>
        <v>E004|202606</v>
      </c>
      <c r="U429" s="25">
        <f>IFERROR(INDEX('05_Target_Master'!$A$1:$F$32,MATCH(tbl_clean_sales[[#This Row],[target key]],'05_Target_Master'!$F$1:$F$32,0),3),"Missing")</f>
        <v>157100</v>
      </c>
    </row>
    <row r="430" spans="1:21" x14ac:dyDescent="0.3">
      <c r="A430" s="21">
        <v>46196</v>
      </c>
      <c r="B430" s="22" t="s">
        <v>464</v>
      </c>
      <c r="C430" s="22" t="s">
        <v>74</v>
      </c>
      <c r="D430" s="22" t="s">
        <v>9</v>
      </c>
      <c r="E430" s="22" t="s">
        <v>22</v>
      </c>
      <c r="F430" s="22">
        <v>7</v>
      </c>
      <c r="G430" s="23">
        <v>1830</v>
      </c>
      <c r="H430" s="25" t="str">
        <f>IF(COUNTIF(tbl_clean_sales[Invoice_ID],tbl_clean_sales[[#This Row],[Invoice_ID]])&gt;1,"Duplicate","Unique")</f>
        <v>Unique</v>
      </c>
      <c r="I430" s="25"/>
      <c r="J4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0" s="25" t="str">
        <f>IFERROR(VLOOKUP(tbl_clean_sales[[#This Row],[Employee_ID]],'02_Employee_Master'!$A$1:$C$12,2,FALSE),"Employee Name Missing")</f>
        <v>Arun Kumar</v>
      </c>
      <c r="L430" s="25" t="str">
        <f>IFERROR(VLOOKUP(tbl_clean_sales[[#This Row],[Employee_ID]],'02_Employee_Master'!$A$1:$C$12,3,FALSE),"Department Name Missing")</f>
        <v>Sales</v>
      </c>
      <c r="M430" s="25" t="str">
        <f>IF('03_Clean_data'!D430="","Missing",IFERROR(IF(VLOOKUP(D430,'03_Product_Master'!$A$1:$D$14,1,FALSE)='03_Clean_data'!D430,"Valid","Invalid"),"Invalid"))</f>
        <v>Valid</v>
      </c>
      <c r="N430" s="25" t="str">
        <f>IFERROR(VLOOKUP(tbl_clean_sales[[#This Row],[Product_ID]],'03_Product_Master'!$A$1:$D$14,2,FALSE),"Missing")</f>
        <v>Green Tea</v>
      </c>
      <c r="O430" s="25" t="str">
        <f>IFERROR(VLOOKUP(tbl_clean_sales[[#This Row],[Product_ID]],'03_Product_Master'!$A$1:$D$14,3,FALSE),"Missing")</f>
        <v>Beverages</v>
      </c>
      <c r="P430" s="25">
        <f>IFERROR(VLOOKUP(tbl_clean_sales[[#This Row],[Product_ID]],'03_Product_Master'!$A$1:$D$14,4,FALSE),"Missing")</f>
        <v>280</v>
      </c>
      <c r="Q430" s="25" t="str">
        <f>IF('03_Clean_data'!E430="","Missing",IFERROR(IF(VLOOKUP(E430,'04_Branch_Master'!$A$1:$C$7,1,FALSE)='03_Clean_data'!E430,"Valid","Invalid"),"Invalid"))</f>
        <v>Valid</v>
      </c>
      <c r="R430" s="25" t="str">
        <f>IFERROR(VLOOKUP(tbl_clean_sales[[#This Row],[Branch_ID]],'04_Branch_Master'!$A$1:$C$7,2,FALSE),"Missing")</f>
        <v>Tirupur Central</v>
      </c>
      <c r="S430" s="25" t="str">
        <f>IFERROR(VLOOKUP(tbl_clean_sales[[#This Row],[Branch_ID]],'04_Branch_Master'!$A$1:$C$7,3,FALSE),"Missing")</f>
        <v>North</v>
      </c>
      <c r="T430" s="25" t="str">
        <f>C430&amp;"|"&amp;TEXT(tbl_clean_sales[[#This Row],[Date]],"yyyymm")</f>
        <v>E001|202606</v>
      </c>
      <c r="U430" s="25">
        <f>IFERROR(INDEX('05_Target_Master'!$A$1:$F$32,MATCH(tbl_clean_sales[[#This Row],[target key]],'05_Target_Master'!$F$1:$F$32,0),3),"Missing")</f>
        <v>150600</v>
      </c>
    </row>
    <row r="431" spans="1:21" x14ac:dyDescent="0.3">
      <c r="A431" s="21">
        <v>46120</v>
      </c>
      <c r="B431" s="22" t="s">
        <v>465</v>
      </c>
      <c r="C431" s="22" t="s">
        <v>74</v>
      </c>
      <c r="D431" s="22" t="s">
        <v>19</v>
      </c>
      <c r="E431" s="22" t="s">
        <v>22</v>
      </c>
      <c r="F431" s="22">
        <v>8</v>
      </c>
      <c r="G431" s="23">
        <v>1653.35</v>
      </c>
      <c r="H431" s="25" t="str">
        <f>IF(COUNTIF(tbl_clean_sales[Invoice_ID],tbl_clean_sales[[#This Row],[Invoice_ID]])&gt;1,"Duplicate","Unique")</f>
        <v>Unique</v>
      </c>
      <c r="I431" s="25"/>
      <c r="J4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1" s="25" t="str">
        <f>IFERROR(VLOOKUP(tbl_clean_sales[[#This Row],[Employee_ID]],'02_Employee_Master'!$A$1:$C$12,2,FALSE),"Employee Name Missing")</f>
        <v>Arun Kumar</v>
      </c>
      <c r="L431" s="25" t="str">
        <f>IFERROR(VLOOKUP(tbl_clean_sales[[#This Row],[Employee_ID]],'02_Employee_Master'!$A$1:$C$12,3,FALSE),"Department Name Missing")</f>
        <v>Sales</v>
      </c>
      <c r="M431" s="25" t="str">
        <f>IF('03_Clean_data'!D431="","Missing",IFERROR(IF(VLOOKUP(D431,'03_Product_Master'!$A$1:$D$14,1,FALSE)='03_Clean_data'!D431,"Valid","Invalid"),"Invalid"))</f>
        <v>Valid</v>
      </c>
      <c r="N431" s="25" t="str">
        <f>IFERROR(VLOOKUP(tbl_clean_sales[[#This Row],[Product_ID]],'03_Product_Master'!$A$1:$D$14,2,FALSE),"Missing")</f>
        <v>Floor Cleaner</v>
      </c>
      <c r="O431" s="25" t="str">
        <f>IFERROR(VLOOKUP(tbl_clean_sales[[#This Row],[Product_ID]],'03_Product_Master'!$A$1:$D$14,3,FALSE),"Missing")</f>
        <v>Home Care</v>
      </c>
      <c r="P431" s="25">
        <f>IFERROR(VLOOKUP(tbl_clean_sales[[#This Row],[Product_ID]],'03_Product_Master'!$A$1:$D$14,4,FALSE),"Missing")</f>
        <v>230</v>
      </c>
      <c r="Q431" s="25" t="str">
        <f>IF('03_Clean_data'!E431="","Missing",IFERROR(IF(VLOOKUP(E431,'04_Branch_Master'!$A$1:$C$7,1,FALSE)='03_Clean_data'!E431,"Valid","Invalid"),"Invalid"))</f>
        <v>Valid</v>
      </c>
      <c r="R431" s="25" t="str">
        <f>IFERROR(VLOOKUP(tbl_clean_sales[[#This Row],[Branch_ID]],'04_Branch_Master'!$A$1:$C$7,2,FALSE),"Missing")</f>
        <v>Tirupur Central</v>
      </c>
      <c r="S431" s="25" t="str">
        <f>IFERROR(VLOOKUP(tbl_clean_sales[[#This Row],[Branch_ID]],'04_Branch_Master'!$A$1:$C$7,3,FALSE),"Missing")</f>
        <v>North</v>
      </c>
      <c r="T431" s="25" t="str">
        <f>C431&amp;"|"&amp;TEXT(tbl_clean_sales[[#This Row],[Date]],"yyyymm")</f>
        <v>E001|202604</v>
      </c>
      <c r="U431" s="25">
        <f>IFERROR(INDEX('05_Target_Master'!$A$1:$F$32,MATCH(tbl_clean_sales[[#This Row],[target key]],'05_Target_Master'!$F$1:$F$32,0),3),"Missing")</f>
        <v>156900</v>
      </c>
    </row>
    <row r="432" spans="1:21" x14ac:dyDescent="0.3">
      <c r="A432" s="21">
        <v>46195</v>
      </c>
      <c r="B432" s="22" t="s">
        <v>466</v>
      </c>
      <c r="C432" s="22" t="s">
        <v>40</v>
      </c>
      <c r="D432" s="22" t="s">
        <v>36</v>
      </c>
      <c r="E432" s="22" t="s">
        <v>22</v>
      </c>
      <c r="F432" s="22">
        <v>9</v>
      </c>
      <c r="G432" s="23">
        <v>1521.39</v>
      </c>
      <c r="H432" s="25" t="str">
        <f>IF(COUNTIF(tbl_clean_sales[Invoice_ID],tbl_clean_sales[[#This Row],[Invoice_ID]])&gt;1,"Duplicate","Unique")</f>
        <v>Unique</v>
      </c>
      <c r="I432" s="25"/>
      <c r="J4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2" s="25" t="str">
        <f>IFERROR(VLOOKUP(tbl_clean_sales[[#This Row],[Employee_ID]],'02_Employee_Master'!$A$1:$C$12,2,FALSE),"Employee Name Missing")</f>
        <v>Meena V</v>
      </c>
      <c r="L432" s="25" t="str">
        <f>IFERROR(VLOOKUP(tbl_clean_sales[[#This Row],[Employee_ID]],'02_Employee_Master'!$A$1:$C$12,3,FALSE),"Department Name Missing")</f>
        <v>Sales</v>
      </c>
      <c r="M432" s="25" t="str">
        <f>IF('03_Clean_data'!D432="","Missing",IFERROR(IF(VLOOKUP(D432,'03_Product_Master'!$A$1:$D$14,1,FALSE)='03_Clean_data'!D432,"Valid","Invalid"),"Invalid"))</f>
        <v>Valid</v>
      </c>
      <c r="N432" s="25" t="str">
        <f>IFERROR(VLOOKUP(tbl_clean_sales[[#This Row],[Product_ID]],'03_Product_Master'!$A$1:$D$14,2,FALSE),"Missing")</f>
        <v>Dish Wash</v>
      </c>
      <c r="O432" s="25" t="str">
        <f>IFERROR(VLOOKUP(tbl_clean_sales[[#This Row],[Product_ID]],'03_Product_Master'!$A$1:$D$14,3,FALSE),"Missing")</f>
        <v>Home Care</v>
      </c>
      <c r="P432" s="25">
        <f>IFERROR(VLOOKUP(tbl_clean_sales[[#This Row],[Product_ID]],'03_Product_Master'!$A$1:$D$14,4,FALSE),"Missing")</f>
        <v>190</v>
      </c>
      <c r="Q432" s="25" t="str">
        <f>IF('03_Clean_data'!E432="","Missing",IFERROR(IF(VLOOKUP(E432,'04_Branch_Master'!$A$1:$C$7,1,FALSE)='03_Clean_data'!E432,"Valid","Invalid"),"Invalid"))</f>
        <v>Valid</v>
      </c>
      <c r="R432" s="25" t="str">
        <f>IFERROR(VLOOKUP(tbl_clean_sales[[#This Row],[Branch_ID]],'04_Branch_Master'!$A$1:$C$7,2,FALSE),"Missing")</f>
        <v>Tirupur Central</v>
      </c>
      <c r="S432" s="25" t="str">
        <f>IFERROR(VLOOKUP(tbl_clean_sales[[#This Row],[Branch_ID]],'04_Branch_Master'!$A$1:$C$7,3,FALSE),"Missing")</f>
        <v>North</v>
      </c>
      <c r="T432" s="25" t="str">
        <f>C432&amp;"|"&amp;TEXT(tbl_clean_sales[[#This Row],[Date]],"yyyymm")</f>
        <v>E006|202606</v>
      </c>
      <c r="U432" s="25">
        <f>IFERROR(INDEX('05_Target_Master'!$A$1:$F$32,MATCH(tbl_clean_sales[[#This Row],[target key]],'05_Target_Master'!$F$1:$F$32,0),3),"Missing")</f>
        <v>125800</v>
      </c>
    </row>
    <row r="433" spans="1:21" x14ac:dyDescent="0.3">
      <c r="A433" s="21">
        <v>46142</v>
      </c>
      <c r="B433" s="22" t="s">
        <v>467</v>
      </c>
      <c r="C433" s="22" t="s">
        <v>12</v>
      </c>
      <c r="D433" s="22" t="s">
        <v>19</v>
      </c>
      <c r="E433" s="22" t="s">
        <v>32</v>
      </c>
      <c r="F433" s="22">
        <v>5</v>
      </c>
      <c r="G433" s="23">
        <v>1143.57</v>
      </c>
      <c r="H433" s="25" t="str">
        <f>IF(COUNTIF(tbl_clean_sales[Invoice_ID],tbl_clean_sales[[#This Row],[Invoice_ID]])&gt;1,"Duplicate","Unique")</f>
        <v>Unique</v>
      </c>
      <c r="I433" s="25"/>
      <c r="J4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3" s="25" t="str">
        <f>IFERROR(VLOOKUP(tbl_clean_sales[[#This Row],[Employee_ID]],'02_Employee_Master'!$A$1:$C$12,2,FALSE),"Employee Name Missing")</f>
        <v>Divya R</v>
      </c>
      <c r="L433" s="25" t="str">
        <f>IFERROR(VLOOKUP(tbl_clean_sales[[#This Row],[Employee_ID]],'02_Employee_Master'!$A$1:$C$12,3,FALSE),"Department Name Missing")</f>
        <v>Sales</v>
      </c>
      <c r="M433" s="25" t="str">
        <f>IF('03_Clean_data'!D433="","Missing",IFERROR(IF(VLOOKUP(D433,'03_Product_Master'!$A$1:$D$14,1,FALSE)='03_Clean_data'!D433,"Valid","Invalid"),"Invalid"))</f>
        <v>Valid</v>
      </c>
      <c r="N433" s="25" t="str">
        <f>IFERROR(VLOOKUP(tbl_clean_sales[[#This Row],[Product_ID]],'03_Product_Master'!$A$1:$D$14,2,FALSE),"Missing")</f>
        <v>Floor Cleaner</v>
      </c>
      <c r="O433" s="25" t="str">
        <f>IFERROR(VLOOKUP(tbl_clean_sales[[#This Row],[Product_ID]],'03_Product_Master'!$A$1:$D$14,3,FALSE),"Missing")</f>
        <v>Home Care</v>
      </c>
      <c r="P433" s="25">
        <f>IFERROR(VLOOKUP(tbl_clean_sales[[#This Row],[Product_ID]],'03_Product_Master'!$A$1:$D$14,4,FALSE),"Missing")</f>
        <v>230</v>
      </c>
      <c r="Q433" s="25" t="str">
        <f>IF('03_Clean_data'!E433="","Missing",IFERROR(IF(VLOOKUP(E433,'04_Branch_Master'!$A$1:$C$7,1,FALSE)='03_Clean_data'!E433,"Valid","Invalid"),"Invalid"))</f>
        <v>Valid</v>
      </c>
      <c r="R433" s="25" t="str">
        <f>IFERROR(VLOOKUP(tbl_clean_sales[[#This Row],[Branch_ID]],'04_Branch_Master'!$A$1:$C$7,2,FALSE),"Missing")</f>
        <v>Kangeyam</v>
      </c>
      <c r="S433" s="25" t="str">
        <f>IFERROR(VLOOKUP(tbl_clean_sales[[#This Row],[Branch_ID]],'04_Branch_Master'!$A$1:$C$7,3,FALSE),"Missing")</f>
        <v>East</v>
      </c>
      <c r="T433" s="25" t="str">
        <f>C433&amp;"|"&amp;TEXT(tbl_clean_sales[[#This Row],[Date]],"yyyymm")</f>
        <v>E004|202604</v>
      </c>
      <c r="U433" s="25">
        <f>IFERROR(INDEX('05_Target_Master'!$A$1:$F$32,MATCH(tbl_clean_sales[[#This Row],[target key]],'05_Target_Master'!$F$1:$F$32,0),3),"Missing")</f>
        <v>163600</v>
      </c>
    </row>
    <row r="434" spans="1:21" x14ac:dyDescent="0.3">
      <c r="A434" s="21">
        <v>46122</v>
      </c>
      <c r="B434" s="22" t="s">
        <v>468</v>
      </c>
      <c r="C434" s="22" t="s">
        <v>24</v>
      </c>
      <c r="D434" s="22" t="s">
        <v>13</v>
      </c>
      <c r="E434" s="22" t="s">
        <v>26</v>
      </c>
      <c r="F434" s="22">
        <v>1</v>
      </c>
      <c r="G434" s="23">
        <v>381.61</v>
      </c>
      <c r="H434" s="25" t="str">
        <f>IF(COUNTIF(tbl_clean_sales[Invoice_ID],tbl_clean_sales[[#This Row],[Invoice_ID]])&gt;1,"Duplicate","Unique")</f>
        <v>Unique</v>
      </c>
      <c r="I434" s="25"/>
      <c r="J4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4" s="25" t="str">
        <f>IFERROR(VLOOKUP(tbl_clean_sales[[#This Row],[Employee_ID]],'02_Employee_Master'!$A$1:$C$12,2,FALSE),"Employee Name Missing")</f>
        <v>Karthik P</v>
      </c>
      <c r="L434" s="25" t="str">
        <f>IFERROR(VLOOKUP(tbl_clean_sales[[#This Row],[Employee_ID]],'02_Employee_Master'!$A$1:$C$12,3,FALSE),"Department Name Missing")</f>
        <v>Sales</v>
      </c>
      <c r="M434" s="25" t="str">
        <f>IF('03_Clean_data'!D434="","Missing",IFERROR(IF(VLOOKUP(D434,'03_Product_Master'!$A$1:$D$14,1,FALSE)='03_Clean_data'!D434,"Valid","Invalid"),"Invalid"))</f>
        <v>Valid</v>
      </c>
      <c r="N434" s="25" t="str">
        <f>IFERROR(VLOOKUP(tbl_clean_sales[[#This Row],[Product_ID]],'03_Product_Master'!$A$1:$D$14,2,FALSE),"Missing")</f>
        <v>Body Lotion</v>
      </c>
      <c r="O434" s="25" t="str">
        <f>IFERROR(VLOOKUP(tbl_clean_sales[[#This Row],[Product_ID]],'03_Product_Master'!$A$1:$D$14,3,FALSE),"Missing")</f>
        <v>Personal Care</v>
      </c>
      <c r="P434" s="25">
        <f>IFERROR(VLOOKUP(tbl_clean_sales[[#This Row],[Product_ID]],'03_Product_Master'!$A$1:$D$14,4,FALSE),"Missing")</f>
        <v>390</v>
      </c>
      <c r="Q434" s="25" t="str">
        <f>IF('03_Clean_data'!E434="","Missing",IFERROR(IF(VLOOKUP(E434,'04_Branch_Master'!$A$1:$C$7,1,FALSE)='03_Clean_data'!E434,"Valid","Invalid"),"Invalid"))</f>
        <v>Valid</v>
      </c>
      <c r="R434" s="25" t="str">
        <f>IFERROR(VLOOKUP(tbl_clean_sales[[#This Row],[Branch_ID]],'04_Branch_Master'!$A$1:$C$7,2,FALSE),"Missing")</f>
        <v>Palladam</v>
      </c>
      <c r="S434" s="25" t="str">
        <f>IFERROR(VLOOKUP(tbl_clean_sales[[#This Row],[Branch_ID]],'04_Branch_Master'!$A$1:$C$7,3,FALSE),"Missing")</f>
        <v>South</v>
      </c>
      <c r="T434" s="25" t="str">
        <f>C434&amp;"|"&amp;TEXT(tbl_clean_sales[[#This Row],[Date]],"yyyymm")</f>
        <v>E005|202604</v>
      </c>
      <c r="U434" s="25">
        <f>IFERROR(INDEX('05_Target_Master'!$A$1:$F$32,MATCH(tbl_clean_sales[[#This Row],[target key]],'05_Target_Master'!$F$1:$F$32,0),3),"Missing")</f>
        <v>133000</v>
      </c>
    </row>
    <row r="435" spans="1:21" x14ac:dyDescent="0.3">
      <c r="A435" s="21">
        <v>46153</v>
      </c>
      <c r="B435" s="22" t="s">
        <v>469</v>
      </c>
      <c r="C435" s="22" t="s">
        <v>74</v>
      </c>
      <c r="D435" s="22" t="s">
        <v>30</v>
      </c>
      <c r="E435" s="22" t="s">
        <v>22</v>
      </c>
      <c r="F435" s="22">
        <v>12</v>
      </c>
      <c r="G435" s="23">
        <v>1730.86</v>
      </c>
      <c r="H435" s="25" t="str">
        <f>IF(COUNTIF(tbl_clean_sales[Invoice_ID],tbl_clean_sales[[#This Row],[Invoice_ID]])&gt;1,"Duplicate","Unique")</f>
        <v>Unique</v>
      </c>
      <c r="I435" s="25"/>
      <c r="J4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5" s="25" t="str">
        <f>IFERROR(VLOOKUP(tbl_clean_sales[[#This Row],[Employee_ID]],'02_Employee_Master'!$A$1:$C$12,2,FALSE),"Employee Name Missing")</f>
        <v>Arun Kumar</v>
      </c>
      <c r="L435" s="25" t="str">
        <f>IFERROR(VLOOKUP(tbl_clean_sales[[#This Row],[Employee_ID]],'02_Employee_Master'!$A$1:$C$12,3,FALSE),"Department Name Missing")</f>
        <v>Sales</v>
      </c>
      <c r="M435" s="25" t="str">
        <f>IF('03_Clean_data'!D435="","Missing",IFERROR(IF(VLOOKUP(D435,'03_Product_Master'!$A$1:$D$14,1,FALSE)='03_Clean_data'!D435,"Valid","Invalid"),"Invalid"))</f>
        <v>Valid</v>
      </c>
      <c r="N435" s="25" t="str">
        <f>IFERROR(VLOOKUP(tbl_clean_sales[[#This Row],[Product_ID]],'03_Product_Master'!$A$1:$D$14,2,FALSE),"Missing")</f>
        <v>Cookies Pack</v>
      </c>
      <c r="O435" s="25" t="str">
        <f>IFERROR(VLOOKUP(tbl_clean_sales[[#This Row],[Product_ID]],'03_Product_Master'!$A$1:$D$14,3,FALSE),"Missing")</f>
        <v>Snacks</v>
      </c>
      <c r="P435" s="25">
        <f>IFERROR(VLOOKUP(tbl_clean_sales[[#This Row],[Product_ID]],'03_Product_Master'!$A$1:$D$14,4,FALSE),"Missing")</f>
        <v>160</v>
      </c>
      <c r="Q435" s="25" t="str">
        <f>IF('03_Clean_data'!E435="","Missing",IFERROR(IF(VLOOKUP(E435,'04_Branch_Master'!$A$1:$C$7,1,FALSE)='03_Clean_data'!E435,"Valid","Invalid"),"Invalid"))</f>
        <v>Valid</v>
      </c>
      <c r="R435" s="25" t="str">
        <f>IFERROR(VLOOKUP(tbl_clean_sales[[#This Row],[Branch_ID]],'04_Branch_Master'!$A$1:$C$7,2,FALSE),"Missing")</f>
        <v>Tirupur Central</v>
      </c>
      <c r="S435" s="25" t="str">
        <f>IFERROR(VLOOKUP(tbl_clean_sales[[#This Row],[Branch_ID]],'04_Branch_Master'!$A$1:$C$7,3,FALSE),"Missing")</f>
        <v>North</v>
      </c>
      <c r="T435" s="25" t="str">
        <f>C435&amp;"|"&amp;TEXT(tbl_clean_sales[[#This Row],[Date]],"yyyymm")</f>
        <v>E001|202605</v>
      </c>
      <c r="U435" s="25">
        <f>IFERROR(INDEX('05_Target_Master'!$A$1:$F$32,MATCH(tbl_clean_sales[[#This Row],[target key]],'05_Target_Master'!$F$1:$F$32,0),3),"Missing")</f>
        <v>169500</v>
      </c>
    </row>
    <row r="436" spans="1:21" x14ac:dyDescent="0.3">
      <c r="A436" s="21">
        <v>46122</v>
      </c>
      <c r="B436" s="22" t="s">
        <v>470</v>
      </c>
      <c r="C436" s="22" t="s">
        <v>24</v>
      </c>
      <c r="D436" s="22" t="s">
        <v>53</v>
      </c>
      <c r="E436" s="22" t="s">
        <v>26</v>
      </c>
      <c r="F436" s="22">
        <v>10</v>
      </c>
      <c r="G436" s="23">
        <v>3149.45</v>
      </c>
      <c r="H436" s="25" t="str">
        <f>IF(COUNTIF(tbl_clean_sales[Invoice_ID],tbl_clean_sales[[#This Row],[Invoice_ID]])&gt;1,"Duplicate","Unique")</f>
        <v>Unique</v>
      </c>
      <c r="I436" s="25"/>
      <c r="J4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6" s="25" t="str">
        <f>IFERROR(VLOOKUP(tbl_clean_sales[[#This Row],[Employee_ID]],'02_Employee_Master'!$A$1:$C$12,2,FALSE),"Employee Name Missing")</f>
        <v>Karthik P</v>
      </c>
      <c r="L436" s="25" t="str">
        <f>IFERROR(VLOOKUP(tbl_clean_sales[[#This Row],[Employee_ID]],'02_Employee_Master'!$A$1:$C$12,3,FALSE),"Department Name Missing")</f>
        <v>Sales</v>
      </c>
      <c r="M436" s="25" t="str">
        <f>IF('03_Clean_data'!D436="","Missing",IFERROR(IF(VLOOKUP(D436,'03_Product_Master'!$A$1:$D$14,1,FALSE)='03_Clean_data'!D436,"Valid","Invalid"),"Invalid"))</f>
        <v>Valid</v>
      </c>
      <c r="N436" s="25" t="str">
        <f>IFERROR(VLOOKUP(tbl_clean_sales[[#This Row],[Product_ID]],'03_Product_Master'!$A$1:$D$14,2,FALSE),"Missing")</f>
        <v>Instant Coffee</v>
      </c>
      <c r="O436" s="25" t="str">
        <f>IFERROR(VLOOKUP(tbl_clean_sales[[#This Row],[Product_ID]],'03_Product_Master'!$A$1:$D$14,3,FALSE),"Missing")</f>
        <v>Beverages</v>
      </c>
      <c r="P436" s="25">
        <f>IFERROR(VLOOKUP(tbl_clean_sales[[#This Row],[Product_ID]],'03_Product_Master'!$A$1:$D$14,4,FALSE),"Missing")</f>
        <v>350</v>
      </c>
      <c r="Q436" s="25" t="str">
        <f>IF('03_Clean_data'!E436="","Missing",IFERROR(IF(VLOOKUP(E436,'04_Branch_Master'!$A$1:$C$7,1,FALSE)='03_Clean_data'!E436,"Valid","Invalid"),"Invalid"))</f>
        <v>Valid</v>
      </c>
      <c r="R436" s="25" t="str">
        <f>IFERROR(VLOOKUP(tbl_clean_sales[[#This Row],[Branch_ID]],'04_Branch_Master'!$A$1:$C$7,2,FALSE),"Missing")</f>
        <v>Palladam</v>
      </c>
      <c r="S436" s="25" t="str">
        <f>IFERROR(VLOOKUP(tbl_clean_sales[[#This Row],[Branch_ID]],'04_Branch_Master'!$A$1:$C$7,3,FALSE),"Missing")</f>
        <v>South</v>
      </c>
      <c r="T436" s="25" t="str">
        <f>C436&amp;"|"&amp;TEXT(tbl_clean_sales[[#This Row],[Date]],"yyyymm")</f>
        <v>E005|202604</v>
      </c>
      <c r="U436" s="25">
        <f>IFERROR(INDEX('05_Target_Master'!$A$1:$F$32,MATCH(tbl_clean_sales[[#This Row],[target key]],'05_Target_Master'!$F$1:$F$32,0),3),"Missing")</f>
        <v>133000</v>
      </c>
    </row>
    <row r="437" spans="1:21" x14ac:dyDescent="0.3">
      <c r="A437" s="21">
        <v>46162</v>
      </c>
      <c r="B437" s="22" t="s">
        <v>471</v>
      </c>
      <c r="C437" s="22" t="s">
        <v>8</v>
      </c>
      <c r="D437" s="22" t="s">
        <v>34</v>
      </c>
      <c r="E437" s="22" t="s">
        <v>10</v>
      </c>
      <c r="F437" s="22">
        <v>12</v>
      </c>
      <c r="G437" s="23">
        <v>1297.83</v>
      </c>
      <c r="H437" s="25" t="str">
        <f>IF(COUNTIF(tbl_clean_sales[Invoice_ID],tbl_clean_sales[[#This Row],[Invoice_ID]])&gt;1,"Duplicate","Unique")</f>
        <v>Unique</v>
      </c>
      <c r="I437" s="25"/>
      <c r="J4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7" s="25" t="str">
        <f>IFERROR(VLOOKUP(tbl_clean_sales[[#This Row],[Employee_ID]],'02_Employee_Master'!$A$1:$C$12,2,FALSE),"Employee Name Missing")</f>
        <v>Vignesh R</v>
      </c>
      <c r="L437" s="25" t="str">
        <f>IFERROR(VLOOKUP(tbl_clean_sales[[#This Row],[Employee_ID]],'02_Employee_Master'!$A$1:$C$12,3,FALSE),"Department Name Missing")</f>
        <v>Sales</v>
      </c>
      <c r="M437" s="25" t="str">
        <f>IF('03_Clean_data'!D437="","Missing",IFERROR(IF(VLOOKUP(D437,'03_Product_Master'!$A$1:$D$14,1,FALSE)='03_Clean_data'!D437,"Valid","Invalid"),"Invalid"))</f>
        <v>Valid</v>
      </c>
      <c r="N437" s="25" t="str">
        <f>IFERROR(VLOOKUP(tbl_clean_sales[[#This Row],[Product_ID]],'03_Product_Master'!$A$1:$D$14,2,FALSE),"Missing")</f>
        <v>Potato Chips</v>
      </c>
      <c r="O437" s="25" t="str">
        <f>IFERROR(VLOOKUP(tbl_clean_sales[[#This Row],[Product_ID]],'03_Product_Master'!$A$1:$D$14,3,FALSE),"Missing")</f>
        <v>Snacks</v>
      </c>
      <c r="P437" s="25">
        <f>IFERROR(VLOOKUP(tbl_clean_sales[[#This Row],[Product_ID]],'03_Product_Master'!$A$1:$D$14,4,FALSE),"Missing")</f>
        <v>110</v>
      </c>
      <c r="Q437" s="25" t="str">
        <f>IF('03_Clean_data'!E437="","Missing",IFERROR(IF(VLOOKUP(E437,'04_Branch_Master'!$A$1:$C$7,1,FALSE)='03_Clean_data'!E437,"Valid","Invalid"),"Invalid"))</f>
        <v>Valid</v>
      </c>
      <c r="R437" s="25" t="str">
        <f>IFERROR(VLOOKUP(tbl_clean_sales[[#This Row],[Branch_ID]],'04_Branch_Master'!$A$1:$C$7,2,FALSE),"Missing")</f>
        <v>Dharapuram</v>
      </c>
      <c r="S437" s="25" t="str">
        <f>IFERROR(VLOOKUP(tbl_clean_sales[[#This Row],[Branch_ID]],'04_Branch_Master'!$A$1:$C$7,3,FALSE),"Missing")</f>
        <v>South</v>
      </c>
      <c r="T437" s="25" t="str">
        <f>C437&amp;"|"&amp;TEXT(tbl_clean_sales[[#This Row],[Date]],"yyyymm")</f>
        <v>E009|202605</v>
      </c>
      <c r="U437" s="25">
        <f>IFERROR(INDEX('05_Target_Master'!$A$1:$F$32,MATCH(tbl_clean_sales[[#This Row],[target key]],'05_Target_Master'!$F$1:$F$32,0),3),"Missing")</f>
        <v>176300</v>
      </c>
    </row>
    <row r="438" spans="1:21" x14ac:dyDescent="0.3">
      <c r="A438" s="21">
        <v>46201</v>
      </c>
      <c r="B438" s="22" t="s">
        <v>472</v>
      </c>
      <c r="C438" s="22" t="s">
        <v>21</v>
      </c>
      <c r="D438" s="22" t="s">
        <v>13</v>
      </c>
      <c r="E438" s="22" t="s">
        <v>22</v>
      </c>
      <c r="F438" s="22">
        <v>6</v>
      </c>
      <c r="G438" s="23">
        <v>2324.92</v>
      </c>
      <c r="H438" s="25" t="str">
        <f>IF(COUNTIF(tbl_clean_sales[Invoice_ID],tbl_clean_sales[[#This Row],[Invoice_ID]])&gt;1,"Duplicate","Unique")</f>
        <v>Unique</v>
      </c>
      <c r="I438" s="25"/>
      <c r="J4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8" s="25" t="str">
        <f>IFERROR(VLOOKUP(tbl_clean_sales[[#This Row],[Employee_ID]],'02_Employee_Master'!$A$1:$C$12,2,FALSE),"Employee Name Missing")</f>
        <v>Priya S</v>
      </c>
      <c r="L438" s="25" t="str">
        <f>IFERROR(VLOOKUP(tbl_clean_sales[[#This Row],[Employee_ID]],'02_Employee_Master'!$A$1:$C$12,3,FALSE),"Department Name Missing")</f>
        <v>Sales</v>
      </c>
      <c r="M438" s="25" t="str">
        <f>IF('03_Clean_data'!D438="","Missing",IFERROR(IF(VLOOKUP(D438,'03_Product_Master'!$A$1:$D$14,1,FALSE)='03_Clean_data'!D438,"Valid","Invalid"),"Invalid"))</f>
        <v>Valid</v>
      </c>
      <c r="N438" s="25" t="str">
        <f>IFERROR(VLOOKUP(tbl_clean_sales[[#This Row],[Product_ID]],'03_Product_Master'!$A$1:$D$14,2,FALSE),"Missing")</f>
        <v>Body Lotion</v>
      </c>
      <c r="O438" s="25" t="str">
        <f>IFERROR(VLOOKUP(tbl_clean_sales[[#This Row],[Product_ID]],'03_Product_Master'!$A$1:$D$14,3,FALSE),"Missing")</f>
        <v>Personal Care</v>
      </c>
      <c r="P438" s="25">
        <f>IFERROR(VLOOKUP(tbl_clean_sales[[#This Row],[Product_ID]],'03_Product_Master'!$A$1:$D$14,4,FALSE),"Missing")</f>
        <v>390</v>
      </c>
      <c r="Q438" s="25" t="str">
        <f>IF('03_Clean_data'!E438="","Missing",IFERROR(IF(VLOOKUP(E438,'04_Branch_Master'!$A$1:$C$7,1,FALSE)='03_Clean_data'!E438,"Valid","Invalid"),"Invalid"))</f>
        <v>Valid</v>
      </c>
      <c r="R438" s="25" t="str">
        <f>IFERROR(VLOOKUP(tbl_clean_sales[[#This Row],[Branch_ID]],'04_Branch_Master'!$A$1:$C$7,2,FALSE),"Missing")</f>
        <v>Tirupur Central</v>
      </c>
      <c r="S438" s="25" t="str">
        <f>IFERROR(VLOOKUP(tbl_clean_sales[[#This Row],[Branch_ID]],'04_Branch_Master'!$A$1:$C$7,3,FALSE),"Missing")</f>
        <v>North</v>
      </c>
      <c r="T438" s="25" t="str">
        <f>C438&amp;"|"&amp;TEXT(tbl_clean_sales[[#This Row],[Date]],"yyyymm")</f>
        <v>E002|202606</v>
      </c>
      <c r="U438" s="25">
        <f>IFERROR(INDEX('05_Target_Master'!$A$1:$F$32,MATCH(tbl_clean_sales[[#This Row],[target key]],'05_Target_Master'!$F$1:$F$32,0),3),"Missing")</f>
        <v>117400</v>
      </c>
    </row>
    <row r="439" spans="1:21" x14ac:dyDescent="0.3">
      <c r="A439" s="21">
        <v>46168</v>
      </c>
      <c r="B439" s="22" t="s">
        <v>473</v>
      </c>
      <c r="C439" s="22" t="s">
        <v>12</v>
      </c>
      <c r="D439" s="22" t="s">
        <v>9</v>
      </c>
      <c r="E439" s="22" t="s">
        <v>14</v>
      </c>
      <c r="F439" s="22">
        <v>10</v>
      </c>
      <c r="G439" s="23">
        <v>2479.17</v>
      </c>
      <c r="H439" s="25" t="str">
        <f>IF(COUNTIF(tbl_clean_sales[Invoice_ID],tbl_clean_sales[[#This Row],[Invoice_ID]])&gt;1,"Duplicate","Unique")</f>
        <v>Unique</v>
      </c>
      <c r="I439" s="25"/>
      <c r="J4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39" s="25" t="str">
        <f>IFERROR(VLOOKUP(tbl_clean_sales[[#This Row],[Employee_ID]],'02_Employee_Master'!$A$1:$C$12,2,FALSE),"Employee Name Missing")</f>
        <v>Divya R</v>
      </c>
      <c r="L439" s="25" t="str">
        <f>IFERROR(VLOOKUP(tbl_clean_sales[[#This Row],[Employee_ID]],'02_Employee_Master'!$A$1:$C$12,3,FALSE),"Department Name Missing")</f>
        <v>Sales</v>
      </c>
      <c r="M439" s="25" t="str">
        <f>IF('03_Clean_data'!D439="","Missing",IFERROR(IF(VLOOKUP(D439,'03_Product_Master'!$A$1:$D$14,1,FALSE)='03_Clean_data'!D439,"Valid","Invalid"),"Invalid"))</f>
        <v>Valid</v>
      </c>
      <c r="N439" s="25" t="str">
        <f>IFERROR(VLOOKUP(tbl_clean_sales[[#This Row],[Product_ID]],'03_Product_Master'!$A$1:$D$14,2,FALSE),"Missing")</f>
        <v>Green Tea</v>
      </c>
      <c r="O439" s="25" t="str">
        <f>IFERROR(VLOOKUP(tbl_clean_sales[[#This Row],[Product_ID]],'03_Product_Master'!$A$1:$D$14,3,FALSE),"Missing")</f>
        <v>Beverages</v>
      </c>
      <c r="P439" s="25">
        <f>IFERROR(VLOOKUP(tbl_clean_sales[[#This Row],[Product_ID]],'03_Product_Master'!$A$1:$D$14,4,FALSE),"Missing")</f>
        <v>280</v>
      </c>
      <c r="Q439" s="25" t="str">
        <f>IF('03_Clean_data'!E439="","Missing",IFERROR(IF(VLOOKUP(E439,'04_Branch_Master'!$A$1:$C$7,1,FALSE)='03_Clean_data'!E439,"Valid","Invalid"),"Invalid"))</f>
        <v>Valid</v>
      </c>
      <c r="R439" s="25" t="str">
        <f>IFERROR(VLOOKUP(tbl_clean_sales[[#This Row],[Branch_ID]],'04_Branch_Master'!$A$1:$C$7,2,FALSE),"Missing")</f>
        <v>Avinashi Road</v>
      </c>
      <c r="S439" s="25" t="str">
        <f>IFERROR(VLOOKUP(tbl_clean_sales[[#This Row],[Branch_ID]],'04_Branch_Master'!$A$1:$C$7,3,FALSE),"Missing")</f>
        <v>North</v>
      </c>
      <c r="T439" s="25" t="str">
        <f>C439&amp;"|"&amp;TEXT(tbl_clean_sales[[#This Row],[Date]],"yyyymm")</f>
        <v>E004|202605</v>
      </c>
      <c r="U439" s="25">
        <f>IFERROR(INDEX('05_Target_Master'!$A$1:$F$32,MATCH(tbl_clean_sales[[#This Row],[target key]],'05_Target_Master'!$F$1:$F$32,0),3),"Missing")</f>
        <v>176700</v>
      </c>
    </row>
    <row r="440" spans="1:21" x14ac:dyDescent="0.3">
      <c r="A440" s="21">
        <v>46163</v>
      </c>
      <c r="B440" s="22" t="s">
        <v>474</v>
      </c>
      <c r="C440" s="22" t="s">
        <v>40</v>
      </c>
      <c r="D440" s="22" t="s">
        <v>25</v>
      </c>
      <c r="E440" s="22" t="s">
        <v>26</v>
      </c>
      <c r="F440" s="22">
        <v>8</v>
      </c>
      <c r="G440" s="23">
        <v>3162.19</v>
      </c>
      <c r="H440" s="25" t="str">
        <f>IF(COUNTIF(tbl_clean_sales[Invoice_ID],tbl_clean_sales[[#This Row],[Invoice_ID]])&gt;1,"Duplicate","Unique")</f>
        <v>Unique</v>
      </c>
      <c r="I440" s="25"/>
      <c r="J4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0" s="25" t="str">
        <f>IFERROR(VLOOKUP(tbl_clean_sales[[#This Row],[Employee_ID]],'02_Employee_Master'!$A$1:$C$12,2,FALSE),"Employee Name Missing")</f>
        <v>Meena V</v>
      </c>
      <c r="L440" s="25" t="str">
        <f>IFERROR(VLOOKUP(tbl_clean_sales[[#This Row],[Employee_ID]],'02_Employee_Master'!$A$1:$C$12,3,FALSE),"Department Name Missing")</f>
        <v>Sales</v>
      </c>
      <c r="M440" s="25" t="str">
        <f>IF('03_Clean_data'!D440="","Missing",IFERROR(IF(VLOOKUP(D440,'03_Product_Master'!$A$1:$D$14,1,FALSE)='03_Clean_data'!D440,"Valid","Invalid"),"Invalid"))</f>
        <v>Valid</v>
      </c>
      <c r="N440" s="25" t="str">
        <f>IFERROR(VLOOKUP(tbl_clean_sales[[#This Row],[Product_ID]],'03_Product_Master'!$A$1:$D$14,2,FALSE),"Missing")</f>
        <v>Premium Coffee</v>
      </c>
      <c r="O440" s="25" t="str">
        <f>IFERROR(VLOOKUP(tbl_clean_sales[[#This Row],[Product_ID]],'03_Product_Master'!$A$1:$D$14,3,FALSE),"Missing")</f>
        <v>Beverages</v>
      </c>
      <c r="P440" s="25">
        <f>IFERROR(VLOOKUP(tbl_clean_sales[[#This Row],[Product_ID]],'03_Product_Master'!$A$1:$D$14,4,FALSE),"Missing")</f>
        <v>420</v>
      </c>
      <c r="Q440" s="25" t="str">
        <f>IF('03_Clean_data'!E440="","Missing",IFERROR(IF(VLOOKUP(E440,'04_Branch_Master'!$A$1:$C$7,1,FALSE)='03_Clean_data'!E440,"Valid","Invalid"),"Invalid"))</f>
        <v>Valid</v>
      </c>
      <c r="R440" s="25" t="str">
        <f>IFERROR(VLOOKUP(tbl_clean_sales[[#This Row],[Branch_ID]],'04_Branch_Master'!$A$1:$C$7,2,FALSE),"Missing")</f>
        <v>Palladam</v>
      </c>
      <c r="S440" s="25" t="str">
        <f>IFERROR(VLOOKUP(tbl_clean_sales[[#This Row],[Branch_ID]],'04_Branch_Master'!$A$1:$C$7,3,FALSE),"Missing")</f>
        <v>South</v>
      </c>
      <c r="T440" s="25" t="str">
        <f>C440&amp;"|"&amp;TEXT(tbl_clean_sales[[#This Row],[Date]],"yyyymm")</f>
        <v>E006|202605</v>
      </c>
      <c r="U440" s="25">
        <f>IFERROR(INDEX('05_Target_Master'!$A$1:$F$32,MATCH(tbl_clean_sales[[#This Row],[target key]],'05_Target_Master'!$F$1:$F$32,0),3),"Missing")</f>
        <v>141500</v>
      </c>
    </row>
    <row r="441" spans="1:21" x14ac:dyDescent="0.3">
      <c r="A441" s="21">
        <v>46158</v>
      </c>
      <c r="B441" s="22" t="s">
        <v>475</v>
      </c>
      <c r="C441" s="22" t="s">
        <v>8</v>
      </c>
      <c r="D441" s="22" t="s">
        <v>16</v>
      </c>
      <c r="E441" s="22" t="s">
        <v>10</v>
      </c>
      <c r="F441" s="22">
        <v>11</v>
      </c>
      <c r="G441" s="23">
        <v>3170.26</v>
      </c>
      <c r="H441" s="25" t="str">
        <f>IF(COUNTIF(tbl_clean_sales[Invoice_ID],tbl_clean_sales[[#This Row],[Invoice_ID]])&gt;1,"Duplicate","Unique")</f>
        <v>Unique</v>
      </c>
      <c r="I441" s="25"/>
      <c r="J4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1" s="25" t="str">
        <f>IFERROR(VLOOKUP(tbl_clean_sales[[#This Row],[Employee_ID]],'02_Employee_Master'!$A$1:$C$12,2,FALSE),"Employee Name Missing")</f>
        <v>Vignesh R</v>
      </c>
      <c r="L441" s="25" t="str">
        <f>IFERROR(VLOOKUP(tbl_clean_sales[[#This Row],[Employee_ID]],'02_Employee_Master'!$A$1:$C$12,3,FALSE),"Department Name Missing")</f>
        <v>Sales</v>
      </c>
      <c r="M441" s="25" t="str">
        <f>IF('03_Clean_data'!D441="","Missing",IFERROR(IF(VLOOKUP(D441,'03_Product_Master'!$A$1:$D$14,1,FALSE)='03_Clean_data'!D441,"Valid","Invalid"),"Invalid"))</f>
        <v>Valid</v>
      </c>
      <c r="N441" s="25" t="str">
        <f>IFERROR(VLOOKUP(tbl_clean_sales[[#This Row],[Product_ID]],'03_Product_Master'!$A$1:$D$14,2,FALSE),"Missing")</f>
        <v>Shampoo</v>
      </c>
      <c r="O441" s="25" t="str">
        <f>IFERROR(VLOOKUP(tbl_clean_sales[[#This Row],[Product_ID]],'03_Product_Master'!$A$1:$D$14,3,FALSE),"Missing")</f>
        <v>Personal Care</v>
      </c>
      <c r="P441" s="25">
        <f>IFERROR(VLOOKUP(tbl_clean_sales[[#This Row],[Product_ID]],'03_Product_Master'!$A$1:$D$14,4,FALSE),"Missing")</f>
        <v>310</v>
      </c>
      <c r="Q441" s="25" t="str">
        <f>IF('03_Clean_data'!E441="","Missing",IFERROR(IF(VLOOKUP(E441,'04_Branch_Master'!$A$1:$C$7,1,FALSE)='03_Clean_data'!E441,"Valid","Invalid"),"Invalid"))</f>
        <v>Valid</v>
      </c>
      <c r="R441" s="25" t="str">
        <f>IFERROR(VLOOKUP(tbl_clean_sales[[#This Row],[Branch_ID]],'04_Branch_Master'!$A$1:$C$7,2,FALSE),"Missing")</f>
        <v>Dharapuram</v>
      </c>
      <c r="S441" s="25" t="str">
        <f>IFERROR(VLOOKUP(tbl_clean_sales[[#This Row],[Branch_ID]],'04_Branch_Master'!$A$1:$C$7,3,FALSE),"Missing")</f>
        <v>South</v>
      </c>
      <c r="T441" s="25" t="str">
        <f>C441&amp;"|"&amp;TEXT(tbl_clean_sales[[#This Row],[Date]],"yyyymm")</f>
        <v>E009|202605</v>
      </c>
      <c r="U441" s="25">
        <f>IFERROR(INDEX('05_Target_Master'!$A$1:$F$32,MATCH(tbl_clean_sales[[#This Row],[target key]],'05_Target_Master'!$F$1:$F$32,0),3),"Missing")</f>
        <v>176300</v>
      </c>
    </row>
    <row r="442" spans="1:21" x14ac:dyDescent="0.3">
      <c r="A442" s="21">
        <v>46161</v>
      </c>
      <c r="B442" s="22" t="s">
        <v>476</v>
      </c>
      <c r="C442" s="22" t="s">
        <v>21</v>
      </c>
      <c r="D442" s="22" t="s">
        <v>36</v>
      </c>
      <c r="E442" s="22" t="s">
        <v>22</v>
      </c>
      <c r="F442" s="22">
        <v>4</v>
      </c>
      <c r="G442" s="23">
        <v>694.96</v>
      </c>
      <c r="H442" s="25" t="str">
        <f>IF(COUNTIF(tbl_clean_sales[Invoice_ID],tbl_clean_sales[[#This Row],[Invoice_ID]])&gt;1,"Duplicate","Unique")</f>
        <v>Unique</v>
      </c>
      <c r="I442" s="25"/>
      <c r="J4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2" s="25" t="str">
        <f>IFERROR(VLOOKUP(tbl_clean_sales[[#This Row],[Employee_ID]],'02_Employee_Master'!$A$1:$C$12,2,FALSE),"Employee Name Missing")</f>
        <v>Priya S</v>
      </c>
      <c r="L442" s="25" t="str">
        <f>IFERROR(VLOOKUP(tbl_clean_sales[[#This Row],[Employee_ID]],'02_Employee_Master'!$A$1:$C$12,3,FALSE),"Department Name Missing")</f>
        <v>Sales</v>
      </c>
      <c r="M442" s="25" t="str">
        <f>IF('03_Clean_data'!D442="","Missing",IFERROR(IF(VLOOKUP(D442,'03_Product_Master'!$A$1:$D$14,1,FALSE)='03_Clean_data'!D442,"Valid","Invalid"),"Invalid"))</f>
        <v>Valid</v>
      </c>
      <c r="N442" s="25" t="str">
        <f>IFERROR(VLOOKUP(tbl_clean_sales[[#This Row],[Product_ID]],'03_Product_Master'!$A$1:$D$14,2,FALSE),"Missing")</f>
        <v>Dish Wash</v>
      </c>
      <c r="O442" s="25" t="str">
        <f>IFERROR(VLOOKUP(tbl_clean_sales[[#This Row],[Product_ID]],'03_Product_Master'!$A$1:$D$14,3,FALSE),"Missing")</f>
        <v>Home Care</v>
      </c>
      <c r="P442" s="25">
        <f>IFERROR(VLOOKUP(tbl_clean_sales[[#This Row],[Product_ID]],'03_Product_Master'!$A$1:$D$14,4,FALSE),"Missing")</f>
        <v>190</v>
      </c>
      <c r="Q442" s="25" t="str">
        <f>IF('03_Clean_data'!E442="","Missing",IFERROR(IF(VLOOKUP(E442,'04_Branch_Master'!$A$1:$C$7,1,FALSE)='03_Clean_data'!E442,"Valid","Invalid"),"Invalid"))</f>
        <v>Valid</v>
      </c>
      <c r="R442" s="25" t="str">
        <f>IFERROR(VLOOKUP(tbl_clean_sales[[#This Row],[Branch_ID]],'04_Branch_Master'!$A$1:$C$7,2,FALSE),"Missing")</f>
        <v>Tirupur Central</v>
      </c>
      <c r="S442" s="25" t="str">
        <f>IFERROR(VLOOKUP(tbl_clean_sales[[#This Row],[Branch_ID]],'04_Branch_Master'!$A$1:$C$7,3,FALSE),"Missing")</f>
        <v>North</v>
      </c>
      <c r="T442" s="25" t="str">
        <f>C442&amp;"|"&amp;TEXT(tbl_clean_sales[[#This Row],[Date]],"yyyymm")</f>
        <v>E002|202605</v>
      </c>
      <c r="U442" s="25">
        <f>IFERROR(INDEX('05_Target_Master'!$A$1:$F$32,MATCH(tbl_clean_sales[[#This Row],[target key]],'05_Target_Master'!$F$1:$F$32,0),3),"Missing")</f>
        <v>132100</v>
      </c>
    </row>
    <row r="443" spans="1:21" x14ac:dyDescent="0.3">
      <c r="A443" s="21">
        <v>46123</v>
      </c>
      <c r="B443" s="22" t="s">
        <v>477</v>
      </c>
      <c r="C443" s="22" t="s">
        <v>24</v>
      </c>
      <c r="D443" s="22" t="s">
        <v>53</v>
      </c>
      <c r="E443" s="22" t="s">
        <v>26</v>
      </c>
      <c r="F443" s="22">
        <v>11</v>
      </c>
      <c r="G443" s="23">
        <v>3778.72</v>
      </c>
      <c r="H443" s="25" t="str">
        <f>IF(COUNTIF(tbl_clean_sales[Invoice_ID],tbl_clean_sales[[#This Row],[Invoice_ID]])&gt;1,"Duplicate","Unique")</f>
        <v>Unique</v>
      </c>
      <c r="I443" s="25"/>
      <c r="J4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3" s="25" t="str">
        <f>IFERROR(VLOOKUP(tbl_clean_sales[[#This Row],[Employee_ID]],'02_Employee_Master'!$A$1:$C$12,2,FALSE),"Employee Name Missing")</f>
        <v>Karthik P</v>
      </c>
      <c r="L443" s="25" t="str">
        <f>IFERROR(VLOOKUP(tbl_clean_sales[[#This Row],[Employee_ID]],'02_Employee_Master'!$A$1:$C$12,3,FALSE),"Department Name Missing")</f>
        <v>Sales</v>
      </c>
      <c r="M443" s="25" t="str">
        <f>IF('03_Clean_data'!D443="","Missing",IFERROR(IF(VLOOKUP(D443,'03_Product_Master'!$A$1:$D$14,1,FALSE)='03_Clean_data'!D443,"Valid","Invalid"),"Invalid"))</f>
        <v>Valid</v>
      </c>
      <c r="N443" s="25" t="str">
        <f>IFERROR(VLOOKUP(tbl_clean_sales[[#This Row],[Product_ID]],'03_Product_Master'!$A$1:$D$14,2,FALSE),"Missing")</f>
        <v>Instant Coffee</v>
      </c>
      <c r="O443" s="25" t="str">
        <f>IFERROR(VLOOKUP(tbl_clean_sales[[#This Row],[Product_ID]],'03_Product_Master'!$A$1:$D$14,3,FALSE),"Missing")</f>
        <v>Beverages</v>
      </c>
      <c r="P443" s="25">
        <f>IFERROR(VLOOKUP(tbl_clean_sales[[#This Row],[Product_ID]],'03_Product_Master'!$A$1:$D$14,4,FALSE),"Missing")</f>
        <v>350</v>
      </c>
      <c r="Q443" s="25" t="str">
        <f>IF('03_Clean_data'!E443="","Missing",IFERROR(IF(VLOOKUP(E443,'04_Branch_Master'!$A$1:$C$7,1,FALSE)='03_Clean_data'!E443,"Valid","Invalid"),"Invalid"))</f>
        <v>Valid</v>
      </c>
      <c r="R443" s="25" t="str">
        <f>IFERROR(VLOOKUP(tbl_clean_sales[[#This Row],[Branch_ID]],'04_Branch_Master'!$A$1:$C$7,2,FALSE),"Missing")</f>
        <v>Palladam</v>
      </c>
      <c r="S443" s="25" t="str">
        <f>IFERROR(VLOOKUP(tbl_clean_sales[[#This Row],[Branch_ID]],'04_Branch_Master'!$A$1:$C$7,3,FALSE),"Missing")</f>
        <v>South</v>
      </c>
      <c r="T443" s="25" t="str">
        <f>C443&amp;"|"&amp;TEXT(tbl_clean_sales[[#This Row],[Date]],"yyyymm")</f>
        <v>E005|202604</v>
      </c>
      <c r="U443" s="25">
        <f>IFERROR(INDEX('05_Target_Master'!$A$1:$F$32,MATCH(tbl_clean_sales[[#This Row],[target key]],'05_Target_Master'!$F$1:$F$32,0),3),"Missing")</f>
        <v>133000</v>
      </c>
    </row>
    <row r="444" spans="1:21" x14ac:dyDescent="0.3">
      <c r="A444" s="21">
        <v>46162</v>
      </c>
      <c r="B444" s="22" t="s">
        <v>478</v>
      </c>
      <c r="C444" s="22" t="s">
        <v>40</v>
      </c>
      <c r="D444" s="22" t="s">
        <v>34</v>
      </c>
      <c r="E444" s="22" t="s">
        <v>26</v>
      </c>
      <c r="F444" s="22">
        <v>1</v>
      </c>
      <c r="G444" s="23">
        <v>97.55</v>
      </c>
      <c r="H444" s="25" t="str">
        <f>IF(COUNTIF(tbl_clean_sales[Invoice_ID],tbl_clean_sales[[#This Row],[Invoice_ID]])&gt;1,"Duplicate","Unique")</f>
        <v>Unique</v>
      </c>
      <c r="I444" s="25"/>
      <c r="J4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4" s="25" t="str">
        <f>IFERROR(VLOOKUP(tbl_clean_sales[[#This Row],[Employee_ID]],'02_Employee_Master'!$A$1:$C$12,2,FALSE),"Employee Name Missing")</f>
        <v>Meena V</v>
      </c>
      <c r="L444" s="25" t="str">
        <f>IFERROR(VLOOKUP(tbl_clean_sales[[#This Row],[Employee_ID]],'02_Employee_Master'!$A$1:$C$12,3,FALSE),"Department Name Missing")</f>
        <v>Sales</v>
      </c>
      <c r="M444" s="25" t="str">
        <f>IF('03_Clean_data'!D444="","Missing",IFERROR(IF(VLOOKUP(D444,'03_Product_Master'!$A$1:$D$14,1,FALSE)='03_Clean_data'!D444,"Valid","Invalid"),"Invalid"))</f>
        <v>Valid</v>
      </c>
      <c r="N444" s="25" t="str">
        <f>IFERROR(VLOOKUP(tbl_clean_sales[[#This Row],[Product_ID]],'03_Product_Master'!$A$1:$D$14,2,FALSE),"Missing")</f>
        <v>Potato Chips</v>
      </c>
      <c r="O444" s="25" t="str">
        <f>IFERROR(VLOOKUP(tbl_clean_sales[[#This Row],[Product_ID]],'03_Product_Master'!$A$1:$D$14,3,FALSE),"Missing")</f>
        <v>Snacks</v>
      </c>
      <c r="P444" s="25">
        <f>IFERROR(VLOOKUP(tbl_clean_sales[[#This Row],[Product_ID]],'03_Product_Master'!$A$1:$D$14,4,FALSE),"Missing")</f>
        <v>110</v>
      </c>
      <c r="Q444" s="25" t="str">
        <f>IF('03_Clean_data'!E444="","Missing",IFERROR(IF(VLOOKUP(E444,'04_Branch_Master'!$A$1:$C$7,1,FALSE)='03_Clean_data'!E444,"Valid","Invalid"),"Invalid"))</f>
        <v>Valid</v>
      </c>
      <c r="R444" s="25" t="str">
        <f>IFERROR(VLOOKUP(tbl_clean_sales[[#This Row],[Branch_ID]],'04_Branch_Master'!$A$1:$C$7,2,FALSE),"Missing")</f>
        <v>Palladam</v>
      </c>
      <c r="S444" s="25" t="str">
        <f>IFERROR(VLOOKUP(tbl_clean_sales[[#This Row],[Branch_ID]],'04_Branch_Master'!$A$1:$C$7,3,FALSE),"Missing")</f>
        <v>South</v>
      </c>
      <c r="T444" s="25" t="str">
        <f>C444&amp;"|"&amp;TEXT(tbl_clean_sales[[#This Row],[Date]],"yyyymm")</f>
        <v>E006|202605</v>
      </c>
      <c r="U444" s="25">
        <f>IFERROR(INDEX('05_Target_Master'!$A$1:$F$32,MATCH(tbl_clean_sales[[#This Row],[target key]],'05_Target_Master'!$F$1:$F$32,0),3),"Missing")</f>
        <v>141500</v>
      </c>
    </row>
    <row r="445" spans="1:21" x14ac:dyDescent="0.3">
      <c r="A445" s="21">
        <v>46169</v>
      </c>
      <c r="B445" s="22" t="s">
        <v>479</v>
      </c>
      <c r="C445" s="22" t="s">
        <v>40</v>
      </c>
      <c r="D445" s="22" t="s">
        <v>82</v>
      </c>
      <c r="E445" s="22" t="s">
        <v>26</v>
      </c>
      <c r="F445" s="22">
        <v>2</v>
      </c>
      <c r="G445" s="23">
        <v>234.6</v>
      </c>
      <c r="H445" s="25" t="str">
        <f>IF(COUNTIF(tbl_clean_sales[Invoice_ID],tbl_clean_sales[[#This Row],[Invoice_ID]])&gt;1,"Duplicate","Unique")</f>
        <v>Unique</v>
      </c>
      <c r="I445" s="25"/>
      <c r="J4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5" s="25" t="str">
        <f>IFERROR(VLOOKUP(tbl_clean_sales[[#This Row],[Employee_ID]],'02_Employee_Master'!$A$1:$C$12,2,FALSE),"Employee Name Missing")</f>
        <v>Meena V</v>
      </c>
      <c r="L445" s="25" t="str">
        <f>IFERROR(VLOOKUP(tbl_clean_sales[[#This Row],[Employee_ID]],'02_Employee_Master'!$A$1:$C$12,3,FALSE),"Department Name Missing")</f>
        <v>Sales</v>
      </c>
      <c r="M445" s="25" t="str">
        <f>IF('03_Clean_data'!D445="","Missing",IFERROR(IF(VLOOKUP(D445,'03_Product_Master'!$A$1:$D$14,1,FALSE)='03_Clean_data'!D445,"Valid","Invalid"),"Invalid"))</f>
        <v>Valid</v>
      </c>
      <c r="N445" s="25" t="str">
        <f>IFERROR(VLOOKUP(tbl_clean_sales[[#This Row],[Product_ID]],'03_Product_Master'!$A$1:$D$14,2,FALSE),"Missing")</f>
        <v>Chocolate Bar</v>
      </c>
      <c r="O445" s="25" t="str">
        <f>IFERROR(VLOOKUP(tbl_clean_sales[[#This Row],[Product_ID]],'03_Product_Master'!$A$1:$D$14,3,FALSE),"Missing")</f>
        <v>Snacks</v>
      </c>
      <c r="P445" s="25">
        <f>IFERROR(VLOOKUP(tbl_clean_sales[[#This Row],[Product_ID]],'03_Product_Master'!$A$1:$D$14,4,FALSE),"Missing")</f>
        <v>120</v>
      </c>
      <c r="Q445" s="25" t="str">
        <f>IF('03_Clean_data'!E445="","Missing",IFERROR(IF(VLOOKUP(E445,'04_Branch_Master'!$A$1:$C$7,1,FALSE)='03_Clean_data'!E445,"Valid","Invalid"),"Invalid"))</f>
        <v>Valid</v>
      </c>
      <c r="R445" s="25" t="str">
        <f>IFERROR(VLOOKUP(tbl_clean_sales[[#This Row],[Branch_ID]],'04_Branch_Master'!$A$1:$C$7,2,FALSE),"Missing")</f>
        <v>Palladam</v>
      </c>
      <c r="S445" s="25" t="str">
        <f>IFERROR(VLOOKUP(tbl_clean_sales[[#This Row],[Branch_ID]],'04_Branch_Master'!$A$1:$C$7,3,FALSE),"Missing")</f>
        <v>South</v>
      </c>
      <c r="T445" s="25" t="str">
        <f>C445&amp;"|"&amp;TEXT(tbl_clean_sales[[#This Row],[Date]],"yyyymm")</f>
        <v>E006|202605</v>
      </c>
      <c r="U445" s="25">
        <f>IFERROR(INDEX('05_Target_Master'!$A$1:$F$32,MATCH(tbl_clean_sales[[#This Row],[target key]],'05_Target_Master'!$F$1:$F$32,0),3),"Missing")</f>
        <v>141500</v>
      </c>
    </row>
    <row r="446" spans="1:21" x14ac:dyDescent="0.3">
      <c r="A446" s="21">
        <v>46170</v>
      </c>
      <c r="B446" s="22" t="s">
        <v>480</v>
      </c>
      <c r="C446" s="22" t="s">
        <v>8</v>
      </c>
      <c r="D446" s="22" t="s">
        <v>13</v>
      </c>
      <c r="E446" s="22" t="s">
        <v>10</v>
      </c>
      <c r="F446" s="22">
        <v>2</v>
      </c>
      <c r="G446" s="23">
        <v>777.54</v>
      </c>
      <c r="H446" s="25" t="str">
        <f>IF(COUNTIF(tbl_clean_sales[Invoice_ID],tbl_clean_sales[[#This Row],[Invoice_ID]])&gt;1,"Duplicate","Unique")</f>
        <v>Unique</v>
      </c>
      <c r="I446" s="25"/>
      <c r="J4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6" s="25" t="str">
        <f>IFERROR(VLOOKUP(tbl_clean_sales[[#This Row],[Employee_ID]],'02_Employee_Master'!$A$1:$C$12,2,FALSE),"Employee Name Missing")</f>
        <v>Vignesh R</v>
      </c>
      <c r="L446" s="25" t="str">
        <f>IFERROR(VLOOKUP(tbl_clean_sales[[#This Row],[Employee_ID]],'02_Employee_Master'!$A$1:$C$12,3,FALSE),"Department Name Missing")</f>
        <v>Sales</v>
      </c>
      <c r="M446" s="25" t="str">
        <f>IF('03_Clean_data'!D446="","Missing",IFERROR(IF(VLOOKUP(D446,'03_Product_Master'!$A$1:$D$14,1,FALSE)='03_Clean_data'!D446,"Valid","Invalid"),"Invalid"))</f>
        <v>Valid</v>
      </c>
      <c r="N446" s="25" t="str">
        <f>IFERROR(VLOOKUP(tbl_clean_sales[[#This Row],[Product_ID]],'03_Product_Master'!$A$1:$D$14,2,FALSE),"Missing")</f>
        <v>Body Lotion</v>
      </c>
      <c r="O446" s="25" t="str">
        <f>IFERROR(VLOOKUP(tbl_clean_sales[[#This Row],[Product_ID]],'03_Product_Master'!$A$1:$D$14,3,FALSE),"Missing")</f>
        <v>Personal Care</v>
      </c>
      <c r="P446" s="25">
        <f>IFERROR(VLOOKUP(tbl_clean_sales[[#This Row],[Product_ID]],'03_Product_Master'!$A$1:$D$14,4,FALSE),"Missing")</f>
        <v>390</v>
      </c>
      <c r="Q446" s="25" t="str">
        <f>IF('03_Clean_data'!E446="","Missing",IFERROR(IF(VLOOKUP(E446,'04_Branch_Master'!$A$1:$C$7,1,FALSE)='03_Clean_data'!E446,"Valid","Invalid"),"Invalid"))</f>
        <v>Valid</v>
      </c>
      <c r="R446" s="25" t="str">
        <f>IFERROR(VLOOKUP(tbl_clean_sales[[#This Row],[Branch_ID]],'04_Branch_Master'!$A$1:$C$7,2,FALSE),"Missing")</f>
        <v>Dharapuram</v>
      </c>
      <c r="S446" s="25" t="str">
        <f>IFERROR(VLOOKUP(tbl_clean_sales[[#This Row],[Branch_ID]],'04_Branch_Master'!$A$1:$C$7,3,FALSE),"Missing")</f>
        <v>South</v>
      </c>
      <c r="T446" s="25" t="str">
        <f>C446&amp;"|"&amp;TEXT(tbl_clean_sales[[#This Row],[Date]],"yyyymm")</f>
        <v>E009|202605</v>
      </c>
      <c r="U446" s="25">
        <f>IFERROR(INDEX('05_Target_Master'!$A$1:$F$32,MATCH(tbl_clean_sales[[#This Row],[target key]],'05_Target_Master'!$F$1:$F$32,0),3),"Missing")</f>
        <v>176300</v>
      </c>
    </row>
    <row r="447" spans="1:21" x14ac:dyDescent="0.3">
      <c r="A447" s="21">
        <v>46158</v>
      </c>
      <c r="B447" s="22" t="s">
        <v>481</v>
      </c>
      <c r="C447" s="22" t="s">
        <v>8</v>
      </c>
      <c r="D447" s="22" t="s">
        <v>9</v>
      </c>
      <c r="E447" s="22" t="s">
        <v>10</v>
      </c>
      <c r="F447" s="22">
        <v>6</v>
      </c>
      <c r="G447" s="23">
        <v>1505.87</v>
      </c>
      <c r="H447" s="25" t="str">
        <f>IF(COUNTIF(tbl_clean_sales[Invoice_ID],tbl_clean_sales[[#This Row],[Invoice_ID]])&gt;1,"Duplicate","Unique")</f>
        <v>Unique</v>
      </c>
      <c r="I447" s="25"/>
      <c r="J4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7" s="25" t="str">
        <f>IFERROR(VLOOKUP(tbl_clean_sales[[#This Row],[Employee_ID]],'02_Employee_Master'!$A$1:$C$12,2,FALSE),"Employee Name Missing")</f>
        <v>Vignesh R</v>
      </c>
      <c r="L447" s="25" t="str">
        <f>IFERROR(VLOOKUP(tbl_clean_sales[[#This Row],[Employee_ID]],'02_Employee_Master'!$A$1:$C$12,3,FALSE),"Department Name Missing")</f>
        <v>Sales</v>
      </c>
      <c r="M447" s="25" t="str">
        <f>IF('03_Clean_data'!D447="","Missing",IFERROR(IF(VLOOKUP(D447,'03_Product_Master'!$A$1:$D$14,1,FALSE)='03_Clean_data'!D447,"Valid","Invalid"),"Invalid"))</f>
        <v>Valid</v>
      </c>
      <c r="N447" s="25" t="str">
        <f>IFERROR(VLOOKUP(tbl_clean_sales[[#This Row],[Product_ID]],'03_Product_Master'!$A$1:$D$14,2,FALSE),"Missing")</f>
        <v>Green Tea</v>
      </c>
      <c r="O447" s="25" t="str">
        <f>IFERROR(VLOOKUP(tbl_clean_sales[[#This Row],[Product_ID]],'03_Product_Master'!$A$1:$D$14,3,FALSE),"Missing")</f>
        <v>Beverages</v>
      </c>
      <c r="P447" s="25">
        <f>IFERROR(VLOOKUP(tbl_clean_sales[[#This Row],[Product_ID]],'03_Product_Master'!$A$1:$D$14,4,FALSE),"Missing")</f>
        <v>280</v>
      </c>
      <c r="Q447" s="25" t="str">
        <f>IF('03_Clean_data'!E447="","Missing",IFERROR(IF(VLOOKUP(E447,'04_Branch_Master'!$A$1:$C$7,1,FALSE)='03_Clean_data'!E447,"Valid","Invalid"),"Invalid"))</f>
        <v>Valid</v>
      </c>
      <c r="R447" s="25" t="str">
        <f>IFERROR(VLOOKUP(tbl_clean_sales[[#This Row],[Branch_ID]],'04_Branch_Master'!$A$1:$C$7,2,FALSE),"Missing")</f>
        <v>Dharapuram</v>
      </c>
      <c r="S447" s="25" t="str">
        <f>IFERROR(VLOOKUP(tbl_clean_sales[[#This Row],[Branch_ID]],'04_Branch_Master'!$A$1:$C$7,3,FALSE),"Missing")</f>
        <v>South</v>
      </c>
      <c r="T447" s="25" t="str">
        <f>C447&amp;"|"&amp;TEXT(tbl_clean_sales[[#This Row],[Date]],"yyyymm")</f>
        <v>E009|202605</v>
      </c>
      <c r="U447" s="25">
        <f>IFERROR(INDEX('05_Target_Master'!$A$1:$F$32,MATCH(tbl_clean_sales[[#This Row],[target key]],'05_Target_Master'!$F$1:$F$32,0),3),"Missing")</f>
        <v>176300</v>
      </c>
    </row>
    <row r="448" spans="1:21" x14ac:dyDescent="0.3">
      <c r="A448" s="21">
        <v>46114</v>
      </c>
      <c r="B448" s="22" t="s">
        <v>482</v>
      </c>
      <c r="C448" s="22" t="s">
        <v>24</v>
      </c>
      <c r="D448" s="22" t="s">
        <v>16</v>
      </c>
      <c r="E448" s="22" t="s">
        <v>26</v>
      </c>
      <c r="F448" s="22">
        <v>2</v>
      </c>
      <c r="G448" s="23">
        <v>566.07000000000005</v>
      </c>
      <c r="H448" s="25" t="str">
        <f>IF(COUNTIF(tbl_clean_sales[Invoice_ID],tbl_clean_sales[[#This Row],[Invoice_ID]])&gt;1,"Duplicate","Unique")</f>
        <v>Unique</v>
      </c>
      <c r="I448" s="25"/>
      <c r="J4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8" s="25" t="str">
        <f>IFERROR(VLOOKUP(tbl_clean_sales[[#This Row],[Employee_ID]],'02_Employee_Master'!$A$1:$C$12,2,FALSE),"Employee Name Missing")</f>
        <v>Karthik P</v>
      </c>
      <c r="L448" s="25" t="str">
        <f>IFERROR(VLOOKUP(tbl_clean_sales[[#This Row],[Employee_ID]],'02_Employee_Master'!$A$1:$C$12,3,FALSE),"Department Name Missing")</f>
        <v>Sales</v>
      </c>
      <c r="M448" s="25" t="str">
        <f>IF('03_Clean_data'!D448="","Missing",IFERROR(IF(VLOOKUP(D448,'03_Product_Master'!$A$1:$D$14,1,FALSE)='03_Clean_data'!D448,"Valid","Invalid"),"Invalid"))</f>
        <v>Valid</v>
      </c>
      <c r="N448" s="25" t="str">
        <f>IFERROR(VLOOKUP(tbl_clean_sales[[#This Row],[Product_ID]],'03_Product_Master'!$A$1:$D$14,2,FALSE),"Missing")</f>
        <v>Shampoo</v>
      </c>
      <c r="O448" s="25" t="str">
        <f>IFERROR(VLOOKUP(tbl_clean_sales[[#This Row],[Product_ID]],'03_Product_Master'!$A$1:$D$14,3,FALSE),"Missing")</f>
        <v>Personal Care</v>
      </c>
      <c r="P448" s="25">
        <f>IFERROR(VLOOKUP(tbl_clean_sales[[#This Row],[Product_ID]],'03_Product_Master'!$A$1:$D$14,4,FALSE),"Missing")</f>
        <v>310</v>
      </c>
      <c r="Q448" s="25" t="str">
        <f>IF('03_Clean_data'!E448="","Missing",IFERROR(IF(VLOOKUP(E448,'04_Branch_Master'!$A$1:$C$7,1,FALSE)='03_Clean_data'!E448,"Valid","Invalid"),"Invalid"))</f>
        <v>Valid</v>
      </c>
      <c r="R448" s="25" t="str">
        <f>IFERROR(VLOOKUP(tbl_clean_sales[[#This Row],[Branch_ID]],'04_Branch_Master'!$A$1:$C$7,2,FALSE),"Missing")</f>
        <v>Palladam</v>
      </c>
      <c r="S448" s="25" t="str">
        <f>IFERROR(VLOOKUP(tbl_clean_sales[[#This Row],[Branch_ID]],'04_Branch_Master'!$A$1:$C$7,3,FALSE),"Missing")</f>
        <v>South</v>
      </c>
      <c r="T448" s="25" t="str">
        <f>C448&amp;"|"&amp;TEXT(tbl_clean_sales[[#This Row],[Date]],"yyyymm")</f>
        <v>E005|202604</v>
      </c>
      <c r="U448" s="25">
        <f>IFERROR(INDEX('05_Target_Master'!$A$1:$F$32,MATCH(tbl_clean_sales[[#This Row],[target key]],'05_Target_Master'!$F$1:$F$32,0),3),"Missing")</f>
        <v>133000</v>
      </c>
    </row>
    <row r="449" spans="1:21" x14ac:dyDescent="0.3">
      <c r="A449" s="21">
        <v>46184</v>
      </c>
      <c r="B449" s="22" t="s">
        <v>483</v>
      </c>
      <c r="C449" s="22" t="s">
        <v>12</v>
      </c>
      <c r="D449" s="22" t="s">
        <v>36</v>
      </c>
      <c r="E449" s="22" t="s">
        <v>14</v>
      </c>
      <c r="F449" s="22">
        <v>11</v>
      </c>
      <c r="G449" s="23">
        <v>1994.51</v>
      </c>
      <c r="H449" s="25" t="str">
        <f>IF(COUNTIF(tbl_clean_sales[Invoice_ID],tbl_clean_sales[[#This Row],[Invoice_ID]])&gt;1,"Duplicate","Unique")</f>
        <v>Unique</v>
      </c>
      <c r="I449" s="25"/>
      <c r="J4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49" s="25" t="str">
        <f>IFERROR(VLOOKUP(tbl_clean_sales[[#This Row],[Employee_ID]],'02_Employee_Master'!$A$1:$C$12,2,FALSE),"Employee Name Missing")</f>
        <v>Divya R</v>
      </c>
      <c r="L449" s="25" t="str">
        <f>IFERROR(VLOOKUP(tbl_clean_sales[[#This Row],[Employee_ID]],'02_Employee_Master'!$A$1:$C$12,3,FALSE),"Department Name Missing")</f>
        <v>Sales</v>
      </c>
      <c r="M449" s="25" t="str">
        <f>IF('03_Clean_data'!D449="","Missing",IFERROR(IF(VLOOKUP(D449,'03_Product_Master'!$A$1:$D$14,1,FALSE)='03_Clean_data'!D449,"Valid","Invalid"),"Invalid"))</f>
        <v>Valid</v>
      </c>
      <c r="N449" s="25" t="str">
        <f>IFERROR(VLOOKUP(tbl_clean_sales[[#This Row],[Product_ID]],'03_Product_Master'!$A$1:$D$14,2,FALSE),"Missing")</f>
        <v>Dish Wash</v>
      </c>
      <c r="O449" s="25" t="str">
        <f>IFERROR(VLOOKUP(tbl_clean_sales[[#This Row],[Product_ID]],'03_Product_Master'!$A$1:$D$14,3,FALSE),"Missing")</f>
        <v>Home Care</v>
      </c>
      <c r="P449" s="25">
        <f>IFERROR(VLOOKUP(tbl_clean_sales[[#This Row],[Product_ID]],'03_Product_Master'!$A$1:$D$14,4,FALSE),"Missing")</f>
        <v>190</v>
      </c>
      <c r="Q449" s="25" t="str">
        <f>IF('03_Clean_data'!E449="","Missing",IFERROR(IF(VLOOKUP(E449,'04_Branch_Master'!$A$1:$C$7,1,FALSE)='03_Clean_data'!E449,"Valid","Invalid"),"Invalid"))</f>
        <v>Valid</v>
      </c>
      <c r="R449" s="25" t="str">
        <f>IFERROR(VLOOKUP(tbl_clean_sales[[#This Row],[Branch_ID]],'04_Branch_Master'!$A$1:$C$7,2,FALSE),"Missing")</f>
        <v>Avinashi Road</v>
      </c>
      <c r="S449" s="25" t="str">
        <f>IFERROR(VLOOKUP(tbl_clean_sales[[#This Row],[Branch_ID]],'04_Branch_Master'!$A$1:$C$7,3,FALSE),"Missing")</f>
        <v>North</v>
      </c>
      <c r="T449" s="25" t="str">
        <f>C449&amp;"|"&amp;TEXT(tbl_clean_sales[[#This Row],[Date]],"yyyymm")</f>
        <v>E004|202606</v>
      </c>
      <c r="U449" s="25">
        <f>IFERROR(INDEX('05_Target_Master'!$A$1:$F$32,MATCH(tbl_clean_sales[[#This Row],[target key]],'05_Target_Master'!$F$1:$F$32,0),3),"Missing")</f>
        <v>157100</v>
      </c>
    </row>
    <row r="450" spans="1:21" x14ac:dyDescent="0.3">
      <c r="A450" s="21">
        <v>46130</v>
      </c>
      <c r="B450" s="22" t="s">
        <v>484</v>
      </c>
      <c r="C450" s="22" t="s">
        <v>24</v>
      </c>
      <c r="D450" s="22" t="s">
        <v>82</v>
      </c>
      <c r="E450" s="22" t="s">
        <v>26</v>
      </c>
      <c r="F450" s="22">
        <v>3</v>
      </c>
      <c r="G450" s="23">
        <v>357.27</v>
      </c>
      <c r="H450" s="25" t="str">
        <f>IF(COUNTIF(tbl_clean_sales[Invoice_ID],tbl_clean_sales[[#This Row],[Invoice_ID]])&gt;1,"Duplicate","Unique")</f>
        <v>Unique</v>
      </c>
      <c r="I450" s="25"/>
      <c r="J4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0" s="25" t="str">
        <f>IFERROR(VLOOKUP(tbl_clean_sales[[#This Row],[Employee_ID]],'02_Employee_Master'!$A$1:$C$12,2,FALSE),"Employee Name Missing")</f>
        <v>Karthik P</v>
      </c>
      <c r="L450" s="25" t="str">
        <f>IFERROR(VLOOKUP(tbl_clean_sales[[#This Row],[Employee_ID]],'02_Employee_Master'!$A$1:$C$12,3,FALSE),"Department Name Missing")</f>
        <v>Sales</v>
      </c>
      <c r="M450" s="25" t="str">
        <f>IF('03_Clean_data'!D450="","Missing",IFERROR(IF(VLOOKUP(D450,'03_Product_Master'!$A$1:$D$14,1,FALSE)='03_Clean_data'!D450,"Valid","Invalid"),"Invalid"))</f>
        <v>Valid</v>
      </c>
      <c r="N450" s="25" t="str">
        <f>IFERROR(VLOOKUP(tbl_clean_sales[[#This Row],[Product_ID]],'03_Product_Master'!$A$1:$D$14,2,FALSE),"Missing")</f>
        <v>Chocolate Bar</v>
      </c>
      <c r="O450" s="25" t="str">
        <f>IFERROR(VLOOKUP(tbl_clean_sales[[#This Row],[Product_ID]],'03_Product_Master'!$A$1:$D$14,3,FALSE),"Missing")</f>
        <v>Snacks</v>
      </c>
      <c r="P450" s="25">
        <f>IFERROR(VLOOKUP(tbl_clean_sales[[#This Row],[Product_ID]],'03_Product_Master'!$A$1:$D$14,4,FALSE),"Missing")</f>
        <v>120</v>
      </c>
      <c r="Q450" s="25" t="str">
        <f>IF('03_Clean_data'!E450="","Missing",IFERROR(IF(VLOOKUP(E450,'04_Branch_Master'!$A$1:$C$7,1,FALSE)='03_Clean_data'!E450,"Valid","Invalid"),"Invalid"))</f>
        <v>Valid</v>
      </c>
      <c r="R450" s="25" t="str">
        <f>IFERROR(VLOOKUP(tbl_clean_sales[[#This Row],[Branch_ID]],'04_Branch_Master'!$A$1:$C$7,2,FALSE),"Missing")</f>
        <v>Palladam</v>
      </c>
      <c r="S450" s="25" t="str">
        <f>IFERROR(VLOOKUP(tbl_clean_sales[[#This Row],[Branch_ID]],'04_Branch_Master'!$A$1:$C$7,3,FALSE),"Missing")</f>
        <v>South</v>
      </c>
      <c r="T450" s="25" t="str">
        <f>C450&amp;"|"&amp;TEXT(tbl_clean_sales[[#This Row],[Date]],"yyyymm")</f>
        <v>E005|202604</v>
      </c>
      <c r="U450" s="25">
        <f>IFERROR(INDEX('05_Target_Master'!$A$1:$F$32,MATCH(tbl_clean_sales[[#This Row],[target key]],'05_Target_Master'!$F$1:$F$32,0),3),"Missing")</f>
        <v>133000</v>
      </c>
    </row>
    <row r="451" spans="1:21" x14ac:dyDescent="0.3">
      <c r="A451" s="21">
        <v>46168</v>
      </c>
      <c r="B451" s="22" t="s">
        <v>485</v>
      </c>
      <c r="C451" s="22" t="s">
        <v>24</v>
      </c>
      <c r="D451" s="22" t="s">
        <v>16</v>
      </c>
      <c r="E451" s="22" t="s">
        <v>26</v>
      </c>
      <c r="F451" s="22">
        <v>2</v>
      </c>
      <c r="G451" s="23">
        <v>593.13</v>
      </c>
      <c r="H451" s="25" t="str">
        <f>IF(COUNTIF(tbl_clean_sales[Invoice_ID],tbl_clean_sales[[#This Row],[Invoice_ID]])&gt;1,"Duplicate","Unique")</f>
        <v>Unique</v>
      </c>
      <c r="I451" s="25"/>
      <c r="J4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1" s="25" t="str">
        <f>IFERROR(VLOOKUP(tbl_clean_sales[[#This Row],[Employee_ID]],'02_Employee_Master'!$A$1:$C$12,2,FALSE),"Employee Name Missing")</f>
        <v>Karthik P</v>
      </c>
      <c r="L451" s="25" t="str">
        <f>IFERROR(VLOOKUP(tbl_clean_sales[[#This Row],[Employee_ID]],'02_Employee_Master'!$A$1:$C$12,3,FALSE),"Department Name Missing")</f>
        <v>Sales</v>
      </c>
      <c r="M451" s="25" t="str">
        <f>IF('03_Clean_data'!D451="","Missing",IFERROR(IF(VLOOKUP(D451,'03_Product_Master'!$A$1:$D$14,1,FALSE)='03_Clean_data'!D451,"Valid","Invalid"),"Invalid"))</f>
        <v>Valid</v>
      </c>
      <c r="N451" s="25" t="str">
        <f>IFERROR(VLOOKUP(tbl_clean_sales[[#This Row],[Product_ID]],'03_Product_Master'!$A$1:$D$14,2,FALSE),"Missing")</f>
        <v>Shampoo</v>
      </c>
      <c r="O451" s="25" t="str">
        <f>IFERROR(VLOOKUP(tbl_clean_sales[[#This Row],[Product_ID]],'03_Product_Master'!$A$1:$D$14,3,FALSE),"Missing")</f>
        <v>Personal Care</v>
      </c>
      <c r="P451" s="25">
        <f>IFERROR(VLOOKUP(tbl_clean_sales[[#This Row],[Product_ID]],'03_Product_Master'!$A$1:$D$14,4,FALSE),"Missing")</f>
        <v>310</v>
      </c>
      <c r="Q451" s="25" t="str">
        <f>IF('03_Clean_data'!E451="","Missing",IFERROR(IF(VLOOKUP(E451,'04_Branch_Master'!$A$1:$C$7,1,FALSE)='03_Clean_data'!E451,"Valid","Invalid"),"Invalid"))</f>
        <v>Valid</v>
      </c>
      <c r="R451" s="25" t="str">
        <f>IFERROR(VLOOKUP(tbl_clean_sales[[#This Row],[Branch_ID]],'04_Branch_Master'!$A$1:$C$7,2,FALSE),"Missing")</f>
        <v>Palladam</v>
      </c>
      <c r="S451" s="25" t="str">
        <f>IFERROR(VLOOKUP(tbl_clean_sales[[#This Row],[Branch_ID]],'04_Branch_Master'!$A$1:$C$7,3,FALSE),"Missing")</f>
        <v>South</v>
      </c>
      <c r="T451" s="25" t="str">
        <f>C451&amp;"|"&amp;TEXT(tbl_clean_sales[[#This Row],[Date]],"yyyymm")</f>
        <v>E005|202605</v>
      </c>
      <c r="U451" s="25">
        <f>IFERROR(INDEX('05_Target_Master'!$A$1:$F$32,MATCH(tbl_clean_sales[[#This Row],[target key]],'05_Target_Master'!$F$1:$F$32,0),3),"Missing")</f>
        <v>143700</v>
      </c>
    </row>
    <row r="452" spans="1:21" x14ac:dyDescent="0.3">
      <c r="A452" s="21">
        <v>46144</v>
      </c>
      <c r="B452" s="22" t="s">
        <v>486</v>
      </c>
      <c r="C452" s="22" t="s">
        <v>38</v>
      </c>
      <c r="D452" s="22" t="s">
        <v>36</v>
      </c>
      <c r="E452" s="22" t="s">
        <v>32</v>
      </c>
      <c r="F452" s="22">
        <v>8</v>
      </c>
      <c r="G452" s="23">
        <v>1500.49</v>
      </c>
      <c r="H452" s="25" t="str">
        <f>IF(COUNTIF(tbl_clean_sales[Invoice_ID],tbl_clean_sales[[#This Row],[Invoice_ID]])&gt;1,"Duplicate","Unique")</f>
        <v>Unique</v>
      </c>
      <c r="I452" s="25"/>
      <c r="J45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2" s="25" t="str">
        <f>IFERROR(VLOOKUP(tbl_clean_sales[[#This Row],[Employee_ID]],'02_Employee_Master'!$A$1:$C$12,2,FALSE),"Employee Name Missing")</f>
        <v>Nandhini K</v>
      </c>
      <c r="L452" s="25" t="str">
        <f>IFERROR(VLOOKUP(tbl_clean_sales[[#This Row],[Employee_ID]],'02_Employee_Master'!$A$1:$C$12,3,FALSE),"Department Name Missing")</f>
        <v>Sales</v>
      </c>
      <c r="M452" s="25" t="str">
        <f>IF('03_Clean_data'!D452="","Missing",IFERROR(IF(VLOOKUP(D452,'03_Product_Master'!$A$1:$D$14,1,FALSE)='03_Clean_data'!D452,"Valid","Invalid"),"Invalid"))</f>
        <v>Valid</v>
      </c>
      <c r="N452" s="25" t="str">
        <f>IFERROR(VLOOKUP(tbl_clean_sales[[#This Row],[Product_ID]],'03_Product_Master'!$A$1:$D$14,2,FALSE),"Missing")</f>
        <v>Dish Wash</v>
      </c>
      <c r="O452" s="25" t="str">
        <f>IFERROR(VLOOKUP(tbl_clean_sales[[#This Row],[Product_ID]],'03_Product_Master'!$A$1:$D$14,3,FALSE),"Missing")</f>
        <v>Home Care</v>
      </c>
      <c r="P452" s="25">
        <f>IFERROR(VLOOKUP(tbl_clean_sales[[#This Row],[Product_ID]],'03_Product_Master'!$A$1:$D$14,4,FALSE),"Missing")</f>
        <v>190</v>
      </c>
      <c r="Q452" s="25" t="str">
        <f>IF('03_Clean_data'!E452="","Missing",IFERROR(IF(VLOOKUP(E452,'04_Branch_Master'!$A$1:$C$7,1,FALSE)='03_Clean_data'!E452,"Valid","Invalid"),"Invalid"))</f>
        <v>Valid</v>
      </c>
      <c r="R452" s="25" t="str">
        <f>IFERROR(VLOOKUP(tbl_clean_sales[[#This Row],[Branch_ID]],'04_Branch_Master'!$A$1:$C$7,2,FALSE),"Missing")</f>
        <v>Kangeyam</v>
      </c>
      <c r="S452" s="25" t="str">
        <f>IFERROR(VLOOKUP(tbl_clean_sales[[#This Row],[Branch_ID]],'04_Branch_Master'!$A$1:$C$7,3,FALSE),"Missing")</f>
        <v>East</v>
      </c>
      <c r="T452" s="25" t="str">
        <f>C452&amp;"|"&amp;TEXT(tbl_clean_sales[[#This Row],[Date]],"yyyymm")</f>
        <v>E008|202605</v>
      </c>
      <c r="U452" s="25">
        <f>IFERROR(INDEX('05_Target_Master'!$A$1:$F$32,MATCH(tbl_clean_sales[[#This Row],[target key]],'05_Target_Master'!$F$1:$F$32,0),3),"Missing")</f>
        <v>134100</v>
      </c>
    </row>
    <row r="453" spans="1:21" x14ac:dyDescent="0.3">
      <c r="A453" s="21">
        <v>46151</v>
      </c>
      <c r="B453" s="22" t="s">
        <v>487</v>
      </c>
      <c r="C453" s="22" t="s">
        <v>74</v>
      </c>
      <c r="D453" s="22" t="s">
        <v>16</v>
      </c>
      <c r="E453" s="22" t="s">
        <v>22</v>
      </c>
      <c r="F453" s="22">
        <v>10</v>
      </c>
      <c r="G453" s="23">
        <v>2958.68</v>
      </c>
      <c r="H453" s="25" t="str">
        <f>IF(COUNTIF(tbl_clean_sales[Invoice_ID],tbl_clean_sales[[#This Row],[Invoice_ID]])&gt;1,"Duplicate","Unique")</f>
        <v>Unique</v>
      </c>
      <c r="I453" s="25"/>
      <c r="J45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3" s="25" t="str">
        <f>IFERROR(VLOOKUP(tbl_clean_sales[[#This Row],[Employee_ID]],'02_Employee_Master'!$A$1:$C$12,2,FALSE),"Employee Name Missing")</f>
        <v>Arun Kumar</v>
      </c>
      <c r="L453" s="25" t="str">
        <f>IFERROR(VLOOKUP(tbl_clean_sales[[#This Row],[Employee_ID]],'02_Employee_Master'!$A$1:$C$12,3,FALSE),"Department Name Missing")</f>
        <v>Sales</v>
      </c>
      <c r="M453" s="25" t="str">
        <f>IF('03_Clean_data'!D453="","Missing",IFERROR(IF(VLOOKUP(D453,'03_Product_Master'!$A$1:$D$14,1,FALSE)='03_Clean_data'!D453,"Valid","Invalid"),"Invalid"))</f>
        <v>Valid</v>
      </c>
      <c r="N453" s="25" t="str">
        <f>IFERROR(VLOOKUP(tbl_clean_sales[[#This Row],[Product_ID]],'03_Product_Master'!$A$1:$D$14,2,FALSE),"Missing")</f>
        <v>Shampoo</v>
      </c>
      <c r="O453" s="25" t="str">
        <f>IFERROR(VLOOKUP(tbl_clean_sales[[#This Row],[Product_ID]],'03_Product_Master'!$A$1:$D$14,3,FALSE),"Missing")</f>
        <v>Personal Care</v>
      </c>
      <c r="P453" s="25">
        <f>IFERROR(VLOOKUP(tbl_clean_sales[[#This Row],[Product_ID]],'03_Product_Master'!$A$1:$D$14,4,FALSE),"Missing")</f>
        <v>310</v>
      </c>
      <c r="Q453" s="25" t="str">
        <f>IF('03_Clean_data'!E453="","Missing",IFERROR(IF(VLOOKUP(E453,'04_Branch_Master'!$A$1:$C$7,1,FALSE)='03_Clean_data'!E453,"Valid","Invalid"),"Invalid"))</f>
        <v>Valid</v>
      </c>
      <c r="R453" s="25" t="str">
        <f>IFERROR(VLOOKUP(tbl_clean_sales[[#This Row],[Branch_ID]],'04_Branch_Master'!$A$1:$C$7,2,FALSE),"Missing")</f>
        <v>Tirupur Central</v>
      </c>
      <c r="S453" s="25" t="str">
        <f>IFERROR(VLOOKUP(tbl_clean_sales[[#This Row],[Branch_ID]],'04_Branch_Master'!$A$1:$C$7,3,FALSE),"Missing")</f>
        <v>North</v>
      </c>
      <c r="T453" s="25" t="str">
        <f>C453&amp;"|"&amp;TEXT(tbl_clean_sales[[#This Row],[Date]],"yyyymm")</f>
        <v>E001|202605</v>
      </c>
      <c r="U453" s="25">
        <f>IFERROR(INDEX('05_Target_Master'!$A$1:$F$32,MATCH(tbl_clean_sales[[#This Row],[target key]],'05_Target_Master'!$F$1:$F$32,0),3),"Missing")</f>
        <v>169500</v>
      </c>
    </row>
    <row r="454" spans="1:21" x14ac:dyDescent="0.3">
      <c r="A454" s="21">
        <v>46155</v>
      </c>
      <c r="B454" s="22" t="s">
        <v>488</v>
      </c>
      <c r="C454" s="22" t="s">
        <v>38</v>
      </c>
      <c r="D454" s="22" t="s">
        <v>34</v>
      </c>
      <c r="E454" s="22" t="s">
        <v>32</v>
      </c>
      <c r="F454" s="22">
        <v>11</v>
      </c>
      <c r="G454" s="23">
        <v>1068.54</v>
      </c>
      <c r="H454" s="25" t="str">
        <f>IF(COUNTIF(tbl_clean_sales[Invoice_ID],tbl_clean_sales[[#This Row],[Invoice_ID]])&gt;1,"Duplicate","Unique")</f>
        <v>Unique</v>
      </c>
      <c r="I454" s="25"/>
      <c r="J45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4" s="25" t="str">
        <f>IFERROR(VLOOKUP(tbl_clean_sales[[#This Row],[Employee_ID]],'02_Employee_Master'!$A$1:$C$12,2,FALSE),"Employee Name Missing")</f>
        <v>Nandhini K</v>
      </c>
      <c r="L454" s="25" t="str">
        <f>IFERROR(VLOOKUP(tbl_clean_sales[[#This Row],[Employee_ID]],'02_Employee_Master'!$A$1:$C$12,3,FALSE),"Department Name Missing")</f>
        <v>Sales</v>
      </c>
      <c r="M454" s="25" t="str">
        <f>IF('03_Clean_data'!D454="","Missing",IFERROR(IF(VLOOKUP(D454,'03_Product_Master'!$A$1:$D$14,1,FALSE)='03_Clean_data'!D454,"Valid","Invalid"),"Invalid"))</f>
        <v>Valid</v>
      </c>
      <c r="N454" s="25" t="str">
        <f>IFERROR(VLOOKUP(tbl_clean_sales[[#This Row],[Product_ID]],'03_Product_Master'!$A$1:$D$14,2,FALSE),"Missing")</f>
        <v>Potato Chips</v>
      </c>
      <c r="O454" s="25" t="str">
        <f>IFERROR(VLOOKUP(tbl_clean_sales[[#This Row],[Product_ID]],'03_Product_Master'!$A$1:$D$14,3,FALSE),"Missing")</f>
        <v>Snacks</v>
      </c>
      <c r="P454" s="25">
        <f>IFERROR(VLOOKUP(tbl_clean_sales[[#This Row],[Product_ID]],'03_Product_Master'!$A$1:$D$14,4,FALSE),"Missing")</f>
        <v>110</v>
      </c>
      <c r="Q454" s="25" t="str">
        <f>IF('03_Clean_data'!E454="","Missing",IFERROR(IF(VLOOKUP(E454,'04_Branch_Master'!$A$1:$C$7,1,FALSE)='03_Clean_data'!E454,"Valid","Invalid"),"Invalid"))</f>
        <v>Valid</v>
      </c>
      <c r="R454" s="25" t="str">
        <f>IFERROR(VLOOKUP(tbl_clean_sales[[#This Row],[Branch_ID]],'04_Branch_Master'!$A$1:$C$7,2,FALSE),"Missing")</f>
        <v>Kangeyam</v>
      </c>
      <c r="S454" s="25" t="str">
        <f>IFERROR(VLOOKUP(tbl_clean_sales[[#This Row],[Branch_ID]],'04_Branch_Master'!$A$1:$C$7,3,FALSE),"Missing")</f>
        <v>East</v>
      </c>
      <c r="T454" s="25" t="str">
        <f>C454&amp;"|"&amp;TEXT(tbl_clean_sales[[#This Row],[Date]],"yyyymm")</f>
        <v>E008|202605</v>
      </c>
      <c r="U454" s="25">
        <f>IFERROR(INDEX('05_Target_Master'!$A$1:$F$32,MATCH(tbl_clean_sales[[#This Row],[target key]],'05_Target_Master'!$F$1:$F$32,0),3),"Missing")</f>
        <v>134100</v>
      </c>
    </row>
    <row r="455" spans="1:21" x14ac:dyDescent="0.3">
      <c r="A455" s="21">
        <v>46130</v>
      </c>
      <c r="B455" s="22" t="s">
        <v>489</v>
      </c>
      <c r="C455" s="22" t="s">
        <v>24</v>
      </c>
      <c r="D455" s="22" t="s">
        <v>34</v>
      </c>
      <c r="E455" s="22" t="s">
        <v>26</v>
      </c>
      <c r="F455" s="22">
        <v>12</v>
      </c>
      <c r="G455" s="23">
        <v>1288.19</v>
      </c>
      <c r="H455" s="25" t="str">
        <f>IF(COUNTIF(tbl_clean_sales[Invoice_ID],tbl_clean_sales[[#This Row],[Invoice_ID]])&gt;1,"Duplicate","Unique")</f>
        <v>Unique</v>
      </c>
      <c r="I455" s="25"/>
      <c r="J45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5" s="25" t="str">
        <f>IFERROR(VLOOKUP(tbl_clean_sales[[#This Row],[Employee_ID]],'02_Employee_Master'!$A$1:$C$12,2,FALSE),"Employee Name Missing")</f>
        <v>Karthik P</v>
      </c>
      <c r="L455" s="25" t="str">
        <f>IFERROR(VLOOKUP(tbl_clean_sales[[#This Row],[Employee_ID]],'02_Employee_Master'!$A$1:$C$12,3,FALSE),"Department Name Missing")</f>
        <v>Sales</v>
      </c>
      <c r="M455" s="25" t="str">
        <f>IF('03_Clean_data'!D455="","Missing",IFERROR(IF(VLOOKUP(D455,'03_Product_Master'!$A$1:$D$14,1,FALSE)='03_Clean_data'!D455,"Valid","Invalid"),"Invalid"))</f>
        <v>Valid</v>
      </c>
      <c r="N455" s="25" t="str">
        <f>IFERROR(VLOOKUP(tbl_clean_sales[[#This Row],[Product_ID]],'03_Product_Master'!$A$1:$D$14,2,FALSE),"Missing")</f>
        <v>Potato Chips</v>
      </c>
      <c r="O455" s="25" t="str">
        <f>IFERROR(VLOOKUP(tbl_clean_sales[[#This Row],[Product_ID]],'03_Product_Master'!$A$1:$D$14,3,FALSE),"Missing")</f>
        <v>Snacks</v>
      </c>
      <c r="P455" s="25">
        <f>IFERROR(VLOOKUP(tbl_clean_sales[[#This Row],[Product_ID]],'03_Product_Master'!$A$1:$D$14,4,FALSE),"Missing")</f>
        <v>110</v>
      </c>
      <c r="Q455" s="25" t="str">
        <f>IF('03_Clean_data'!E455="","Missing",IFERROR(IF(VLOOKUP(E455,'04_Branch_Master'!$A$1:$C$7,1,FALSE)='03_Clean_data'!E455,"Valid","Invalid"),"Invalid"))</f>
        <v>Valid</v>
      </c>
      <c r="R455" s="25" t="str">
        <f>IFERROR(VLOOKUP(tbl_clean_sales[[#This Row],[Branch_ID]],'04_Branch_Master'!$A$1:$C$7,2,FALSE),"Missing")</f>
        <v>Palladam</v>
      </c>
      <c r="S455" s="25" t="str">
        <f>IFERROR(VLOOKUP(tbl_clean_sales[[#This Row],[Branch_ID]],'04_Branch_Master'!$A$1:$C$7,3,FALSE),"Missing")</f>
        <v>South</v>
      </c>
      <c r="T455" s="25" t="str">
        <f>C455&amp;"|"&amp;TEXT(tbl_clean_sales[[#This Row],[Date]],"yyyymm")</f>
        <v>E005|202604</v>
      </c>
      <c r="U455" s="25">
        <f>IFERROR(INDEX('05_Target_Master'!$A$1:$F$32,MATCH(tbl_clean_sales[[#This Row],[target key]],'05_Target_Master'!$F$1:$F$32,0),3),"Missing")</f>
        <v>133000</v>
      </c>
    </row>
    <row r="456" spans="1:21" x14ac:dyDescent="0.3">
      <c r="A456" s="21">
        <v>46153</v>
      </c>
      <c r="B456" s="22" t="s">
        <v>490</v>
      </c>
      <c r="C456" s="22" t="s">
        <v>18</v>
      </c>
      <c r="D456" s="22" t="s">
        <v>16</v>
      </c>
      <c r="E456" s="22" t="s">
        <v>26</v>
      </c>
      <c r="F456" s="22">
        <v>12</v>
      </c>
      <c r="G456" s="23">
        <v>3409.77</v>
      </c>
      <c r="H456" s="25" t="str">
        <f>IF(COUNTIF(tbl_clean_sales[Invoice_ID],tbl_clean_sales[[#This Row],[Invoice_ID]])&gt;1,"Duplicate","Unique")</f>
        <v>Unique</v>
      </c>
      <c r="I456" s="25"/>
      <c r="J45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6" s="25" t="str">
        <f>IFERROR(VLOOKUP(tbl_clean_sales[[#This Row],[Employee_ID]],'02_Employee_Master'!$A$1:$C$12,2,FALSE),"Employee Name Missing")</f>
        <v>Rahul M</v>
      </c>
      <c r="L456" s="25" t="str">
        <f>IFERROR(VLOOKUP(tbl_clean_sales[[#This Row],[Employee_ID]],'02_Employee_Master'!$A$1:$C$12,3,FALSE),"Department Name Missing")</f>
        <v>Sales</v>
      </c>
      <c r="M456" s="25" t="str">
        <f>IF('03_Clean_data'!D456="","Missing",IFERROR(IF(VLOOKUP(D456,'03_Product_Master'!$A$1:$D$14,1,FALSE)='03_Clean_data'!D456,"Valid","Invalid"),"Invalid"))</f>
        <v>Valid</v>
      </c>
      <c r="N456" s="25" t="str">
        <f>IFERROR(VLOOKUP(tbl_clean_sales[[#This Row],[Product_ID]],'03_Product_Master'!$A$1:$D$14,2,FALSE),"Missing")</f>
        <v>Shampoo</v>
      </c>
      <c r="O456" s="25" t="str">
        <f>IFERROR(VLOOKUP(tbl_clean_sales[[#This Row],[Product_ID]],'03_Product_Master'!$A$1:$D$14,3,FALSE),"Missing")</f>
        <v>Personal Care</v>
      </c>
      <c r="P456" s="25">
        <f>IFERROR(VLOOKUP(tbl_clean_sales[[#This Row],[Product_ID]],'03_Product_Master'!$A$1:$D$14,4,FALSE),"Missing")</f>
        <v>310</v>
      </c>
      <c r="Q456" s="25" t="str">
        <f>IF('03_Clean_data'!E456="","Missing",IFERROR(IF(VLOOKUP(E456,'04_Branch_Master'!$A$1:$C$7,1,FALSE)='03_Clean_data'!E456,"Valid","Invalid"),"Invalid"))</f>
        <v>Valid</v>
      </c>
      <c r="R456" s="25" t="str">
        <f>IFERROR(VLOOKUP(tbl_clean_sales[[#This Row],[Branch_ID]],'04_Branch_Master'!$A$1:$C$7,2,FALSE),"Missing")</f>
        <v>Palladam</v>
      </c>
      <c r="S456" s="25" t="str">
        <f>IFERROR(VLOOKUP(tbl_clean_sales[[#This Row],[Branch_ID]],'04_Branch_Master'!$A$1:$C$7,3,FALSE),"Missing")</f>
        <v>South</v>
      </c>
      <c r="T456" s="25" t="str">
        <f>C456&amp;"|"&amp;TEXT(tbl_clean_sales[[#This Row],[Date]],"yyyymm")</f>
        <v>E003|202605</v>
      </c>
      <c r="U456" s="25">
        <f>IFERROR(INDEX('05_Target_Master'!$A$1:$F$32,MATCH(tbl_clean_sales[[#This Row],[target key]],'05_Target_Master'!$F$1:$F$32,0),3),"Missing")</f>
        <v>126000</v>
      </c>
    </row>
    <row r="457" spans="1:21" x14ac:dyDescent="0.3">
      <c r="A457" s="21">
        <v>46175</v>
      </c>
      <c r="B457" s="22" t="s">
        <v>491</v>
      </c>
      <c r="C457" s="22" t="s">
        <v>29</v>
      </c>
      <c r="D457" s="22" t="s">
        <v>492</v>
      </c>
      <c r="E457" s="22" t="s">
        <v>10</v>
      </c>
      <c r="F457" s="22">
        <v>5</v>
      </c>
      <c r="G457" s="23">
        <v>721.62</v>
      </c>
      <c r="H457" s="25" t="str">
        <f>IF(COUNTIF(tbl_clean_sales[Invoice_ID],tbl_clean_sales[[#This Row],[Invoice_ID]])&gt;1,"Duplicate","Unique")</f>
        <v>Unique</v>
      </c>
      <c r="I457" s="25"/>
      <c r="J45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7" s="25" t="str">
        <f>IFERROR(VLOOKUP(tbl_clean_sales[[#This Row],[Employee_ID]],'02_Employee_Master'!$A$1:$C$12,2,FALSE),"Employee Name Missing")</f>
        <v>Swetha L</v>
      </c>
      <c r="L457" s="25" t="str">
        <f>IFERROR(VLOOKUP(tbl_clean_sales[[#This Row],[Employee_ID]],'02_Employee_Master'!$A$1:$C$12,3,FALSE),"Department Name Missing")</f>
        <v>Sales</v>
      </c>
      <c r="M457" s="25" t="str">
        <f>IF('03_Clean_data'!D457="","Missing",IFERROR(IF(VLOOKUP(D457,'03_Product_Master'!$A$1:$D$14,1,FALSE)='03_Clean_data'!D457,"Valid","Invalid"),"Invalid"))</f>
        <v>Invalid</v>
      </c>
      <c r="N457" s="25" t="str">
        <f>IFERROR(VLOOKUP(tbl_clean_sales[[#This Row],[Product_ID]],'03_Product_Master'!$A$1:$D$14,2,FALSE),"Missing")</f>
        <v>Missing</v>
      </c>
      <c r="O457" s="25" t="str">
        <f>IFERROR(VLOOKUP(tbl_clean_sales[[#This Row],[Product_ID]],'03_Product_Master'!$A$1:$D$14,3,FALSE),"Missing")</f>
        <v>Missing</v>
      </c>
      <c r="P457" s="25" t="str">
        <f>IFERROR(VLOOKUP(tbl_clean_sales[[#This Row],[Product_ID]],'03_Product_Master'!$A$1:$D$14,4,FALSE),"Missing")</f>
        <v>Missing</v>
      </c>
      <c r="Q457" s="25" t="str">
        <f>IF('03_Clean_data'!E457="","Missing",IFERROR(IF(VLOOKUP(E457,'04_Branch_Master'!$A$1:$C$7,1,FALSE)='03_Clean_data'!E457,"Valid","Invalid"),"Invalid"))</f>
        <v>Valid</v>
      </c>
      <c r="R457" s="25" t="str">
        <f>IFERROR(VLOOKUP(tbl_clean_sales[[#This Row],[Branch_ID]],'04_Branch_Master'!$A$1:$C$7,2,FALSE),"Missing")</f>
        <v>Dharapuram</v>
      </c>
      <c r="S457" s="25" t="str">
        <f>IFERROR(VLOOKUP(tbl_clean_sales[[#This Row],[Branch_ID]],'04_Branch_Master'!$A$1:$C$7,3,FALSE),"Missing")</f>
        <v>South</v>
      </c>
      <c r="T457" s="25" t="str">
        <f>C457&amp;"|"&amp;TEXT(tbl_clean_sales[[#This Row],[Date]],"yyyymm")</f>
        <v>E010|202606</v>
      </c>
      <c r="U457" s="25">
        <f>IFERROR(INDEX('05_Target_Master'!$A$1:$F$32,MATCH(tbl_clean_sales[[#This Row],[target key]],'05_Target_Master'!$F$1:$F$32,0),3),"Missing")</f>
        <v>116800</v>
      </c>
    </row>
    <row r="458" spans="1:21" x14ac:dyDescent="0.3">
      <c r="A458" s="21">
        <v>46163</v>
      </c>
      <c r="B458" s="22" t="s">
        <v>493</v>
      </c>
      <c r="C458" s="22" t="s">
        <v>40</v>
      </c>
      <c r="D458" s="22" t="s">
        <v>9</v>
      </c>
      <c r="E458" s="22" t="s">
        <v>14</v>
      </c>
      <c r="F458" s="22">
        <v>10</v>
      </c>
      <c r="G458" s="23">
        <v>2464.92</v>
      </c>
      <c r="H458" s="25" t="str">
        <f>IF(COUNTIF(tbl_clean_sales[Invoice_ID],tbl_clean_sales[[#This Row],[Invoice_ID]])&gt;1,"Duplicate","Unique")</f>
        <v>Unique</v>
      </c>
      <c r="I458" s="25"/>
      <c r="J45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8" s="25" t="str">
        <f>IFERROR(VLOOKUP(tbl_clean_sales[[#This Row],[Employee_ID]],'02_Employee_Master'!$A$1:$C$12,2,FALSE),"Employee Name Missing")</f>
        <v>Meena V</v>
      </c>
      <c r="L458" s="25" t="str">
        <f>IFERROR(VLOOKUP(tbl_clean_sales[[#This Row],[Employee_ID]],'02_Employee_Master'!$A$1:$C$12,3,FALSE),"Department Name Missing")</f>
        <v>Sales</v>
      </c>
      <c r="M458" s="25" t="str">
        <f>IF('03_Clean_data'!D458="","Missing",IFERROR(IF(VLOOKUP(D458,'03_Product_Master'!$A$1:$D$14,1,FALSE)='03_Clean_data'!D458,"Valid","Invalid"),"Invalid"))</f>
        <v>Valid</v>
      </c>
      <c r="N458" s="25" t="str">
        <f>IFERROR(VLOOKUP(tbl_clean_sales[[#This Row],[Product_ID]],'03_Product_Master'!$A$1:$D$14,2,FALSE),"Missing")</f>
        <v>Green Tea</v>
      </c>
      <c r="O458" s="25" t="str">
        <f>IFERROR(VLOOKUP(tbl_clean_sales[[#This Row],[Product_ID]],'03_Product_Master'!$A$1:$D$14,3,FALSE),"Missing")</f>
        <v>Beverages</v>
      </c>
      <c r="P458" s="25">
        <f>IFERROR(VLOOKUP(tbl_clean_sales[[#This Row],[Product_ID]],'03_Product_Master'!$A$1:$D$14,4,FALSE),"Missing")</f>
        <v>280</v>
      </c>
      <c r="Q458" s="25" t="str">
        <f>IF('03_Clean_data'!E458="","Missing",IFERROR(IF(VLOOKUP(E458,'04_Branch_Master'!$A$1:$C$7,1,FALSE)='03_Clean_data'!E458,"Valid","Invalid"),"Invalid"))</f>
        <v>Valid</v>
      </c>
      <c r="R458" s="25" t="str">
        <f>IFERROR(VLOOKUP(tbl_clean_sales[[#This Row],[Branch_ID]],'04_Branch_Master'!$A$1:$C$7,2,FALSE),"Missing")</f>
        <v>Avinashi Road</v>
      </c>
      <c r="S458" s="25" t="str">
        <f>IFERROR(VLOOKUP(tbl_clean_sales[[#This Row],[Branch_ID]],'04_Branch_Master'!$A$1:$C$7,3,FALSE),"Missing")</f>
        <v>North</v>
      </c>
      <c r="T458" s="25" t="str">
        <f>C458&amp;"|"&amp;TEXT(tbl_clean_sales[[#This Row],[Date]],"yyyymm")</f>
        <v>E006|202605</v>
      </c>
      <c r="U458" s="25">
        <f>IFERROR(INDEX('05_Target_Master'!$A$1:$F$32,MATCH(tbl_clean_sales[[#This Row],[target key]],'05_Target_Master'!$F$1:$F$32,0),3),"Missing")</f>
        <v>141500</v>
      </c>
    </row>
    <row r="459" spans="1:21" x14ac:dyDescent="0.3">
      <c r="A459" s="21">
        <v>46136</v>
      </c>
      <c r="B459" s="22" t="s">
        <v>494</v>
      </c>
      <c r="C459" s="22" t="s">
        <v>8</v>
      </c>
      <c r="D459" s="22" t="s">
        <v>25</v>
      </c>
      <c r="E459" s="22" t="s">
        <v>32</v>
      </c>
      <c r="F459" s="22">
        <v>12</v>
      </c>
      <c r="G459" s="23">
        <v>4913.2</v>
      </c>
      <c r="H459" s="25" t="str">
        <f>IF(COUNTIF(tbl_clean_sales[Invoice_ID],tbl_clean_sales[[#This Row],[Invoice_ID]])&gt;1,"Duplicate","Unique")</f>
        <v>Unique</v>
      </c>
      <c r="I459" s="25"/>
      <c r="J45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59" s="25" t="str">
        <f>IFERROR(VLOOKUP(tbl_clean_sales[[#This Row],[Employee_ID]],'02_Employee_Master'!$A$1:$C$12,2,FALSE),"Employee Name Missing")</f>
        <v>Vignesh R</v>
      </c>
      <c r="L459" s="25" t="str">
        <f>IFERROR(VLOOKUP(tbl_clean_sales[[#This Row],[Employee_ID]],'02_Employee_Master'!$A$1:$C$12,3,FALSE),"Department Name Missing")</f>
        <v>Sales</v>
      </c>
      <c r="M459" s="25" t="str">
        <f>IF('03_Clean_data'!D459="","Missing",IFERROR(IF(VLOOKUP(D459,'03_Product_Master'!$A$1:$D$14,1,FALSE)='03_Clean_data'!D459,"Valid","Invalid"),"Invalid"))</f>
        <v>Valid</v>
      </c>
      <c r="N459" s="25" t="str">
        <f>IFERROR(VLOOKUP(tbl_clean_sales[[#This Row],[Product_ID]],'03_Product_Master'!$A$1:$D$14,2,FALSE),"Missing")</f>
        <v>Premium Coffee</v>
      </c>
      <c r="O459" s="25" t="str">
        <f>IFERROR(VLOOKUP(tbl_clean_sales[[#This Row],[Product_ID]],'03_Product_Master'!$A$1:$D$14,3,FALSE),"Missing")</f>
        <v>Beverages</v>
      </c>
      <c r="P459" s="25">
        <f>IFERROR(VLOOKUP(tbl_clean_sales[[#This Row],[Product_ID]],'03_Product_Master'!$A$1:$D$14,4,FALSE),"Missing")</f>
        <v>420</v>
      </c>
      <c r="Q459" s="25" t="str">
        <f>IF('03_Clean_data'!E459="","Missing",IFERROR(IF(VLOOKUP(E459,'04_Branch_Master'!$A$1:$C$7,1,FALSE)='03_Clean_data'!E459,"Valid","Invalid"),"Invalid"))</f>
        <v>Valid</v>
      </c>
      <c r="R459" s="25" t="str">
        <f>IFERROR(VLOOKUP(tbl_clean_sales[[#This Row],[Branch_ID]],'04_Branch_Master'!$A$1:$C$7,2,FALSE),"Missing")</f>
        <v>Kangeyam</v>
      </c>
      <c r="S459" s="25" t="str">
        <f>IFERROR(VLOOKUP(tbl_clean_sales[[#This Row],[Branch_ID]],'04_Branch_Master'!$A$1:$C$7,3,FALSE),"Missing")</f>
        <v>East</v>
      </c>
      <c r="T459" s="25" t="str">
        <f>C459&amp;"|"&amp;TEXT(tbl_clean_sales[[#This Row],[Date]],"yyyymm")</f>
        <v>E009|202604</v>
      </c>
      <c r="U459" s="25">
        <f>IFERROR(INDEX('05_Target_Master'!$A$1:$F$32,MATCH(tbl_clean_sales[[#This Row],[target key]],'05_Target_Master'!$F$1:$F$32,0),3),"Missing")</f>
        <v>163300</v>
      </c>
    </row>
    <row r="460" spans="1:21" x14ac:dyDescent="0.3">
      <c r="A460" s="21">
        <v>46150</v>
      </c>
      <c r="B460" s="22" t="s">
        <v>495</v>
      </c>
      <c r="C460" s="22" t="s">
        <v>21</v>
      </c>
      <c r="D460" s="22" t="s">
        <v>16</v>
      </c>
      <c r="E460" s="22" t="s">
        <v>22</v>
      </c>
      <c r="F460" s="22">
        <v>3</v>
      </c>
      <c r="G460" s="23">
        <v>859.32</v>
      </c>
      <c r="H460" s="25" t="str">
        <f>IF(COUNTIF(tbl_clean_sales[Invoice_ID],tbl_clean_sales[[#This Row],[Invoice_ID]])&gt;1,"Duplicate","Unique")</f>
        <v>Unique</v>
      </c>
      <c r="I460" s="25"/>
      <c r="J46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0" s="25" t="str">
        <f>IFERROR(VLOOKUP(tbl_clean_sales[[#This Row],[Employee_ID]],'02_Employee_Master'!$A$1:$C$12,2,FALSE),"Employee Name Missing")</f>
        <v>Priya S</v>
      </c>
      <c r="L460" s="25" t="str">
        <f>IFERROR(VLOOKUP(tbl_clean_sales[[#This Row],[Employee_ID]],'02_Employee_Master'!$A$1:$C$12,3,FALSE),"Department Name Missing")</f>
        <v>Sales</v>
      </c>
      <c r="M460" s="25" t="str">
        <f>IF('03_Clean_data'!D460="","Missing",IFERROR(IF(VLOOKUP(D460,'03_Product_Master'!$A$1:$D$14,1,FALSE)='03_Clean_data'!D460,"Valid","Invalid"),"Invalid"))</f>
        <v>Valid</v>
      </c>
      <c r="N460" s="25" t="str">
        <f>IFERROR(VLOOKUP(tbl_clean_sales[[#This Row],[Product_ID]],'03_Product_Master'!$A$1:$D$14,2,FALSE),"Missing")</f>
        <v>Shampoo</v>
      </c>
      <c r="O460" s="25" t="str">
        <f>IFERROR(VLOOKUP(tbl_clean_sales[[#This Row],[Product_ID]],'03_Product_Master'!$A$1:$D$14,3,FALSE),"Missing")</f>
        <v>Personal Care</v>
      </c>
      <c r="P460" s="25">
        <f>IFERROR(VLOOKUP(tbl_clean_sales[[#This Row],[Product_ID]],'03_Product_Master'!$A$1:$D$14,4,FALSE),"Missing")</f>
        <v>310</v>
      </c>
      <c r="Q460" s="25" t="str">
        <f>IF('03_Clean_data'!E460="","Missing",IFERROR(IF(VLOOKUP(E460,'04_Branch_Master'!$A$1:$C$7,1,FALSE)='03_Clean_data'!E460,"Valid","Invalid"),"Invalid"))</f>
        <v>Valid</v>
      </c>
      <c r="R460" s="25" t="str">
        <f>IFERROR(VLOOKUP(tbl_clean_sales[[#This Row],[Branch_ID]],'04_Branch_Master'!$A$1:$C$7,2,FALSE),"Missing")</f>
        <v>Tirupur Central</v>
      </c>
      <c r="S460" s="25" t="str">
        <f>IFERROR(VLOOKUP(tbl_clean_sales[[#This Row],[Branch_ID]],'04_Branch_Master'!$A$1:$C$7,3,FALSE),"Missing")</f>
        <v>North</v>
      </c>
      <c r="T460" s="25" t="str">
        <f>C460&amp;"|"&amp;TEXT(tbl_clean_sales[[#This Row],[Date]],"yyyymm")</f>
        <v>E002|202605</v>
      </c>
      <c r="U460" s="25">
        <f>IFERROR(INDEX('05_Target_Master'!$A$1:$F$32,MATCH(tbl_clean_sales[[#This Row],[target key]],'05_Target_Master'!$F$1:$F$32,0),3),"Missing")</f>
        <v>132100</v>
      </c>
    </row>
    <row r="461" spans="1:21" x14ac:dyDescent="0.3">
      <c r="A461" s="21">
        <v>46143</v>
      </c>
      <c r="B461" s="22" t="s">
        <v>496</v>
      </c>
      <c r="C461" s="22" t="s">
        <v>24</v>
      </c>
      <c r="D461" s="22" t="s">
        <v>43</v>
      </c>
      <c r="E461" s="22" t="s">
        <v>26</v>
      </c>
      <c r="F461" s="22">
        <v>7</v>
      </c>
      <c r="G461" s="23">
        <v>2154.64</v>
      </c>
      <c r="H461" s="25" t="str">
        <f>IF(COUNTIF(tbl_clean_sales[Invoice_ID],tbl_clean_sales[[#This Row],[Invoice_ID]])&gt;1,"Duplicate","Unique")</f>
        <v>Unique</v>
      </c>
      <c r="I461" s="25"/>
      <c r="J46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1" s="25" t="str">
        <f>IFERROR(VLOOKUP(tbl_clean_sales[[#This Row],[Employee_ID]],'02_Employee_Master'!$A$1:$C$12,2,FALSE),"Employee Name Missing")</f>
        <v>Karthik P</v>
      </c>
      <c r="L461" s="25" t="str">
        <f>IFERROR(VLOOKUP(tbl_clean_sales[[#This Row],[Employee_ID]],'02_Employee_Master'!$A$1:$C$12,3,FALSE),"Department Name Missing")</f>
        <v>Sales</v>
      </c>
      <c r="M461" s="25" t="str">
        <f>IF('03_Clean_data'!D461="","Missing",IFERROR(IF(VLOOKUP(D461,'03_Product_Master'!$A$1:$D$14,1,FALSE)='03_Clean_data'!D461,"Valid","Invalid"),"Invalid"))</f>
        <v>Valid</v>
      </c>
      <c r="N461" s="25" t="str">
        <f>IFERROR(VLOOKUP(tbl_clean_sales[[#This Row],[Product_ID]],'03_Product_Master'!$A$1:$D$14,2,FALSE),"Missing")</f>
        <v>Laundry Liquid</v>
      </c>
      <c r="O461" s="25" t="str">
        <f>IFERROR(VLOOKUP(tbl_clean_sales[[#This Row],[Product_ID]],'03_Product_Master'!$A$1:$D$14,3,FALSE),"Missing")</f>
        <v>Home Care</v>
      </c>
      <c r="P461" s="25">
        <f>IFERROR(VLOOKUP(tbl_clean_sales[[#This Row],[Product_ID]],'03_Product_Master'!$A$1:$D$14,4,FALSE),"Missing")</f>
        <v>340</v>
      </c>
      <c r="Q461" s="25" t="str">
        <f>IF('03_Clean_data'!E461="","Missing",IFERROR(IF(VLOOKUP(E461,'04_Branch_Master'!$A$1:$C$7,1,FALSE)='03_Clean_data'!E461,"Valid","Invalid"),"Invalid"))</f>
        <v>Valid</v>
      </c>
      <c r="R461" s="25" t="str">
        <f>IFERROR(VLOOKUP(tbl_clean_sales[[#This Row],[Branch_ID]],'04_Branch_Master'!$A$1:$C$7,2,FALSE),"Missing")</f>
        <v>Palladam</v>
      </c>
      <c r="S461" s="25" t="str">
        <f>IFERROR(VLOOKUP(tbl_clean_sales[[#This Row],[Branch_ID]],'04_Branch_Master'!$A$1:$C$7,3,FALSE),"Missing")</f>
        <v>South</v>
      </c>
      <c r="T461" s="25" t="str">
        <f>C461&amp;"|"&amp;TEXT(tbl_clean_sales[[#This Row],[Date]],"yyyymm")</f>
        <v>E005|202605</v>
      </c>
      <c r="U461" s="25">
        <f>IFERROR(INDEX('05_Target_Master'!$A$1:$F$32,MATCH(tbl_clean_sales[[#This Row],[target key]],'05_Target_Master'!$F$1:$F$32,0),3),"Missing")</f>
        <v>143700</v>
      </c>
    </row>
    <row r="462" spans="1:21" x14ac:dyDescent="0.3">
      <c r="A462" s="21">
        <v>46122</v>
      </c>
      <c r="B462" s="22" t="s">
        <v>497</v>
      </c>
      <c r="C462" s="22" t="s">
        <v>38</v>
      </c>
      <c r="D462" s="22" t="s">
        <v>36</v>
      </c>
      <c r="E462" s="22" t="s">
        <v>32</v>
      </c>
      <c r="F462" s="22">
        <v>7</v>
      </c>
      <c r="G462" s="23">
        <v>1244.71</v>
      </c>
      <c r="H462" s="25" t="str">
        <f>IF(COUNTIF(tbl_clean_sales[Invoice_ID],tbl_clean_sales[[#This Row],[Invoice_ID]])&gt;1,"Duplicate","Unique")</f>
        <v>Unique</v>
      </c>
      <c r="I462" s="25"/>
      <c r="J46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2" s="25" t="str">
        <f>IFERROR(VLOOKUP(tbl_clean_sales[[#This Row],[Employee_ID]],'02_Employee_Master'!$A$1:$C$12,2,FALSE),"Employee Name Missing")</f>
        <v>Nandhini K</v>
      </c>
      <c r="L462" s="25" t="str">
        <f>IFERROR(VLOOKUP(tbl_clean_sales[[#This Row],[Employee_ID]],'02_Employee_Master'!$A$1:$C$12,3,FALSE),"Department Name Missing")</f>
        <v>Sales</v>
      </c>
      <c r="M462" s="25" t="str">
        <f>IF('03_Clean_data'!D462="","Missing",IFERROR(IF(VLOOKUP(D462,'03_Product_Master'!$A$1:$D$14,1,FALSE)='03_Clean_data'!D462,"Valid","Invalid"),"Invalid"))</f>
        <v>Valid</v>
      </c>
      <c r="N462" s="25" t="str">
        <f>IFERROR(VLOOKUP(tbl_clean_sales[[#This Row],[Product_ID]],'03_Product_Master'!$A$1:$D$14,2,FALSE),"Missing")</f>
        <v>Dish Wash</v>
      </c>
      <c r="O462" s="25" t="str">
        <f>IFERROR(VLOOKUP(tbl_clean_sales[[#This Row],[Product_ID]],'03_Product_Master'!$A$1:$D$14,3,FALSE),"Missing")</f>
        <v>Home Care</v>
      </c>
      <c r="P462" s="25">
        <f>IFERROR(VLOOKUP(tbl_clean_sales[[#This Row],[Product_ID]],'03_Product_Master'!$A$1:$D$14,4,FALSE),"Missing")</f>
        <v>190</v>
      </c>
      <c r="Q462" s="25" t="str">
        <f>IF('03_Clean_data'!E462="","Missing",IFERROR(IF(VLOOKUP(E462,'04_Branch_Master'!$A$1:$C$7,1,FALSE)='03_Clean_data'!E462,"Valid","Invalid"),"Invalid"))</f>
        <v>Valid</v>
      </c>
      <c r="R462" s="25" t="str">
        <f>IFERROR(VLOOKUP(tbl_clean_sales[[#This Row],[Branch_ID]],'04_Branch_Master'!$A$1:$C$7,2,FALSE),"Missing")</f>
        <v>Kangeyam</v>
      </c>
      <c r="S462" s="25" t="str">
        <f>IFERROR(VLOOKUP(tbl_clean_sales[[#This Row],[Branch_ID]],'04_Branch_Master'!$A$1:$C$7,3,FALSE),"Missing")</f>
        <v>East</v>
      </c>
      <c r="T462" s="25" t="str">
        <f>C462&amp;"|"&amp;TEXT(tbl_clean_sales[[#This Row],[Date]],"yyyymm")</f>
        <v>E008|202604</v>
      </c>
      <c r="U462" s="25">
        <f>IFERROR(INDEX('05_Target_Master'!$A$1:$F$32,MATCH(tbl_clean_sales[[#This Row],[target key]],'05_Target_Master'!$F$1:$F$32,0),3),"Missing")</f>
        <v>124100</v>
      </c>
    </row>
    <row r="463" spans="1:21" x14ac:dyDescent="0.3">
      <c r="A463" s="21">
        <v>46201</v>
      </c>
      <c r="B463" s="22" t="s">
        <v>498</v>
      </c>
      <c r="C463" s="22" t="s">
        <v>46</v>
      </c>
      <c r="D463" s="22" t="s">
        <v>13</v>
      </c>
      <c r="E463" s="22" t="s">
        <v>32</v>
      </c>
      <c r="F463" s="22">
        <v>6</v>
      </c>
      <c r="G463" s="23">
        <v>2142.98</v>
      </c>
      <c r="H463" s="25" t="str">
        <f>IF(COUNTIF(tbl_clean_sales[Invoice_ID],tbl_clean_sales[[#This Row],[Invoice_ID]])&gt;1,"Duplicate","Unique")</f>
        <v>Unique</v>
      </c>
      <c r="I463" s="25"/>
      <c r="J46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3" s="25" t="str">
        <f>IFERROR(VLOOKUP(tbl_clean_sales[[#This Row],[Employee_ID]],'02_Employee_Master'!$A$1:$C$12,2,FALSE),"Employee Name Missing")</f>
        <v>Suresh B</v>
      </c>
      <c r="L463" s="25" t="str">
        <f>IFERROR(VLOOKUP(tbl_clean_sales[[#This Row],[Employee_ID]],'02_Employee_Master'!$A$1:$C$12,3,FALSE),"Department Name Missing")</f>
        <v>Sales</v>
      </c>
      <c r="M463" s="25" t="str">
        <f>IF('03_Clean_data'!D463="","Missing",IFERROR(IF(VLOOKUP(D463,'03_Product_Master'!$A$1:$D$14,1,FALSE)='03_Clean_data'!D463,"Valid","Invalid"),"Invalid"))</f>
        <v>Valid</v>
      </c>
      <c r="N463" s="25" t="str">
        <f>IFERROR(VLOOKUP(tbl_clean_sales[[#This Row],[Product_ID]],'03_Product_Master'!$A$1:$D$14,2,FALSE),"Missing")</f>
        <v>Body Lotion</v>
      </c>
      <c r="O463" s="25" t="str">
        <f>IFERROR(VLOOKUP(tbl_clean_sales[[#This Row],[Product_ID]],'03_Product_Master'!$A$1:$D$14,3,FALSE),"Missing")</f>
        <v>Personal Care</v>
      </c>
      <c r="P463" s="25">
        <f>IFERROR(VLOOKUP(tbl_clean_sales[[#This Row],[Product_ID]],'03_Product_Master'!$A$1:$D$14,4,FALSE),"Missing")</f>
        <v>390</v>
      </c>
      <c r="Q463" s="25" t="str">
        <f>IF('03_Clean_data'!E463="","Missing",IFERROR(IF(VLOOKUP(E463,'04_Branch_Master'!$A$1:$C$7,1,FALSE)='03_Clean_data'!E463,"Valid","Invalid"),"Invalid"))</f>
        <v>Valid</v>
      </c>
      <c r="R463" s="25" t="str">
        <f>IFERROR(VLOOKUP(tbl_clean_sales[[#This Row],[Branch_ID]],'04_Branch_Master'!$A$1:$C$7,2,FALSE),"Missing")</f>
        <v>Kangeyam</v>
      </c>
      <c r="S463" s="25" t="str">
        <f>IFERROR(VLOOKUP(tbl_clean_sales[[#This Row],[Branch_ID]],'04_Branch_Master'!$A$1:$C$7,3,FALSE),"Missing")</f>
        <v>East</v>
      </c>
      <c r="T463" s="25" t="str">
        <f>C463&amp;"|"&amp;TEXT(tbl_clean_sales[[#This Row],[Date]],"yyyymm")</f>
        <v>E007|202606</v>
      </c>
      <c r="U463" s="25">
        <f>IFERROR(INDEX('05_Target_Master'!$A$1:$F$32,MATCH(tbl_clean_sales[[#This Row],[target key]],'05_Target_Master'!$F$1:$F$32,0),3),"Missing")</f>
        <v>124400</v>
      </c>
    </row>
    <row r="464" spans="1:21" x14ac:dyDescent="0.3">
      <c r="A464" s="21">
        <v>46181</v>
      </c>
      <c r="B464" s="22" t="s">
        <v>499</v>
      </c>
      <c r="C464" s="22" t="s">
        <v>29</v>
      </c>
      <c r="D464" s="22" t="s">
        <v>43</v>
      </c>
      <c r="E464" s="22" t="s">
        <v>22</v>
      </c>
      <c r="F464" s="22">
        <v>4</v>
      </c>
      <c r="G464" s="23">
        <v>1252.68</v>
      </c>
      <c r="H464" s="25" t="str">
        <f>IF(COUNTIF(tbl_clean_sales[Invoice_ID],tbl_clean_sales[[#This Row],[Invoice_ID]])&gt;1,"Duplicate","Unique")</f>
        <v>Unique</v>
      </c>
      <c r="I464" s="25"/>
      <c r="J46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4" s="25" t="str">
        <f>IFERROR(VLOOKUP(tbl_clean_sales[[#This Row],[Employee_ID]],'02_Employee_Master'!$A$1:$C$12,2,FALSE),"Employee Name Missing")</f>
        <v>Swetha L</v>
      </c>
      <c r="L464" s="25" t="str">
        <f>IFERROR(VLOOKUP(tbl_clean_sales[[#This Row],[Employee_ID]],'02_Employee_Master'!$A$1:$C$12,3,FALSE),"Department Name Missing")</f>
        <v>Sales</v>
      </c>
      <c r="M464" s="25" t="str">
        <f>IF('03_Clean_data'!D464="","Missing",IFERROR(IF(VLOOKUP(D464,'03_Product_Master'!$A$1:$D$14,1,FALSE)='03_Clean_data'!D464,"Valid","Invalid"),"Invalid"))</f>
        <v>Valid</v>
      </c>
      <c r="N464" s="25" t="str">
        <f>IFERROR(VLOOKUP(tbl_clean_sales[[#This Row],[Product_ID]],'03_Product_Master'!$A$1:$D$14,2,FALSE),"Missing")</f>
        <v>Laundry Liquid</v>
      </c>
      <c r="O464" s="25" t="str">
        <f>IFERROR(VLOOKUP(tbl_clean_sales[[#This Row],[Product_ID]],'03_Product_Master'!$A$1:$D$14,3,FALSE),"Missing")</f>
        <v>Home Care</v>
      </c>
      <c r="P464" s="25">
        <f>IFERROR(VLOOKUP(tbl_clean_sales[[#This Row],[Product_ID]],'03_Product_Master'!$A$1:$D$14,4,FALSE),"Missing")</f>
        <v>340</v>
      </c>
      <c r="Q464" s="25" t="str">
        <f>IF('03_Clean_data'!E464="","Missing",IFERROR(IF(VLOOKUP(E464,'04_Branch_Master'!$A$1:$C$7,1,FALSE)='03_Clean_data'!E464,"Valid","Invalid"),"Invalid"))</f>
        <v>Valid</v>
      </c>
      <c r="R464" s="25" t="str">
        <f>IFERROR(VLOOKUP(tbl_clean_sales[[#This Row],[Branch_ID]],'04_Branch_Master'!$A$1:$C$7,2,FALSE),"Missing")</f>
        <v>Tirupur Central</v>
      </c>
      <c r="S464" s="25" t="str">
        <f>IFERROR(VLOOKUP(tbl_clean_sales[[#This Row],[Branch_ID]],'04_Branch_Master'!$A$1:$C$7,3,FALSE),"Missing")</f>
        <v>North</v>
      </c>
      <c r="T464" s="25" t="str">
        <f>C464&amp;"|"&amp;TEXT(tbl_clean_sales[[#This Row],[Date]],"yyyymm")</f>
        <v>E010|202606</v>
      </c>
      <c r="U464" s="25">
        <f>IFERROR(INDEX('05_Target_Master'!$A$1:$F$32,MATCH(tbl_clean_sales[[#This Row],[target key]],'05_Target_Master'!$F$1:$F$32,0),3),"Missing")</f>
        <v>116800</v>
      </c>
    </row>
    <row r="465" spans="1:21" x14ac:dyDescent="0.3">
      <c r="A465" s="21">
        <v>46158</v>
      </c>
      <c r="B465" s="22" t="s">
        <v>500</v>
      </c>
      <c r="C465" s="22" t="s">
        <v>18</v>
      </c>
      <c r="D465" s="22" t="s">
        <v>43</v>
      </c>
      <c r="E465" s="22" t="s">
        <v>14</v>
      </c>
      <c r="F465" s="22">
        <v>10</v>
      </c>
      <c r="G465" s="23">
        <v>2998.69</v>
      </c>
      <c r="H465" s="25" t="str">
        <f>IF(COUNTIF(tbl_clean_sales[Invoice_ID],tbl_clean_sales[[#This Row],[Invoice_ID]])&gt;1,"Duplicate","Unique")</f>
        <v>Unique</v>
      </c>
      <c r="I465" s="25"/>
      <c r="J46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5" s="25" t="str">
        <f>IFERROR(VLOOKUP(tbl_clean_sales[[#This Row],[Employee_ID]],'02_Employee_Master'!$A$1:$C$12,2,FALSE),"Employee Name Missing")</f>
        <v>Rahul M</v>
      </c>
      <c r="L465" s="25" t="str">
        <f>IFERROR(VLOOKUP(tbl_clean_sales[[#This Row],[Employee_ID]],'02_Employee_Master'!$A$1:$C$12,3,FALSE),"Department Name Missing")</f>
        <v>Sales</v>
      </c>
      <c r="M465" s="25" t="str">
        <f>IF('03_Clean_data'!D465="","Missing",IFERROR(IF(VLOOKUP(D465,'03_Product_Master'!$A$1:$D$14,1,FALSE)='03_Clean_data'!D465,"Valid","Invalid"),"Invalid"))</f>
        <v>Valid</v>
      </c>
      <c r="N465" s="25" t="str">
        <f>IFERROR(VLOOKUP(tbl_clean_sales[[#This Row],[Product_ID]],'03_Product_Master'!$A$1:$D$14,2,FALSE),"Missing")</f>
        <v>Laundry Liquid</v>
      </c>
      <c r="O465" s="25" t="str">
        <f>IFERROR(VLOOKUP(tbl_clean_sales[[#This Row],[Product_ID]],'03_Product_Master'!$A$1:$D$14,3,FALSE),"Missing")</f>
        <v>Home Care</v>
      </c>
      <c r="P465" s="25">
        <f>IFERROR(VLOOKUP(tbl_clean_sales[[#This Row],[Product_ID]],'03_Product_Master'!$A$1:$D$14,4,FALSE),"Missing")</f>
        <v>340</v>
      </c>
      <c r="Q465" s="25" t="str">
        <f>IF('03_Clean_data'!E465="","Missing",IFERROR(IF(VLOOKUP(E465,'04_Branch_Master'!$A$1:$C$7,1,FALSE)='03_Clean_data'!E465,"Valid","Invalid"),"Invalid"))</f>
        <v>Valid</v>
      </c>
      <c r="R465" s="25" t="str">
        <f>IFERROR(VLOOKUP(tbl_clean_sales[[#This Row],[Branch_ID]],'04_Branch_Master'!$A$1:$C$7,2,FALSE),"Missing")</f>
        <v>Avinashi Road</v>
      </c>
      <c r="S465" s="25" t="str">
        <f>IFERROR(VLOOKUP(tbl_clean_sales[[#This Row],[Branch_ID]],'04_Branch_Master'!$A$1:$C$7,3,FALSE),"Missing")</f>
        <v>North</v>
      </c>
      <c r="T465" s="25" t="str">
        <f>C465&amp;"|"&amp;TEXT(tbl_clean_sales[[#This Row],[Date]],"yyyymm")</f>
        <v>E003|202605</v>
      </c>
      <c r="U465" s="25">
        <f>IFERROR(INDEX('05_Target_Master'!$A$1:$F$32,MATCH(tbl_clean_sales[[#This Row],[target key]],'05_Target_Master'!$F$1:$F$32,0),3),"Missing")</f>
        <v>126000</v>
      </c>
    </row>
    <row r="466" spans="1:21" x14ac:dyDescent="0.3">
      <c r="A466" s="21">
        <v>46199</v>
      </c>
      <c r="B466" s="22" t="s">
        <v>501</v>
      </c>
      <c r="C466" s="22" t="s">
        <v>46</v>
      </c>
      <c r="D466" s="22" t="s">
        <v>34</v>
      </c>
      <c r="E466" s="22" t="s">
        <v>32</v>
      </c>
      <c r="F466" s="22">
        <v>2</v>
      </c>
      <c r="G466" s="23">
        <v>219.72</v>
      </c>
      <c r="H466" s="25" t="str">
        <f>IF(COUNTIF(tbl_clean_sales[Invoice_ID],tbl_clean_sales[[#This Row],[Invoice_ID]])&gt;1,"Duplicate","Unique")</f>
        <v>Unique</v>
      </c>
      <c r="I466" s="25"/>
      <c r="J46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6" s="25" t="str">
        <f>IFERROR(VLOOKUP(tbl_clean_sales[[#This Row],[Employee_ID]],'02_Employee_Master'!$A$1:$C$12,2,FALSE),"Employee Name Missing")</f>
        <v>Suresh B</v>
      </c>
      <c r="L466" s="25" t="str">
        <f>IFERROR(VLOOKUP(tbl_clean_sales[[#This Row],[Employee_ID]],'02_Employee_Master'!$A$1:$C$12,3,FALSE),"Department Name Missing")</f>
        <v>Sales</v>
      </c>
      <c r="M466" s="25" t="str">
        <f>IF('03_Clean_data'!D466="","Missing",IFERROR(IF(VLOOKUP(D466,'03_Product_Master'!$A$1:$D$14,1,FALSE)='03_Clean_data'!D466,"Valid","Invalid"),"Invalid"))</f>
        <v>Valid</v>
      </c>
      <c r="N466" s="25" t="str">
        <f>IFERROR(VLOOKUP(tbl_clean_sales[[#This Row],[Product_ID]],'03_Product_Master'!$A$1:$D$14,2,FALSE),"Missing")</f>
        <v>Potato Chips</v>
      </c>
      <c r="O466" s="25" t="str">
        <f>IFERROR(VLOOKUP(tbl_clean_sales[[#This Row],[Product_ID]],'03_Product_Master'!$A$1:$D$14,3,FALSE),"Missing")</f>
        <v>Snacks</v>
      </c>
      <c r="P466" s="25">
        <f>IFERROR(VLOOKUP(tbl_clean_sales[[#This Row],[Product_ID]],'03_Product_Master'!$A$1:$D$14,4,FALSE),"Missing")</f>
        <v>110</v>
      </c>
      <c r="Q466" s="25" t="str">
        <f>IF('03_Clean_data'!E466="","Missing",IFERROR(IF(VLOOKUP(E466,'04_Branch_Master'!$A$1:$C$7,1,FALSE)='03_Clean_data'!E466,"Valid","Invalid"),"Invalid"))</f>
        <v>Valid</v>
      </c>
      <c r="R466" s="25" t="str">
        <f>IFERROR(VLOOKUP(tbl_clean_sales[[#This Row],[Branch_ID]],'04_Branch_Master'!$A$1:$C$7,2,FALSE),"Missing")</f>
        <v>Kangeyam</v>
      </c>
      <c r="S466" s="25" t="str">
        <f>IFERROR(VLOOKUP(tbl_clean_sales[[#This Row],[Branch_ID]],'04_Branch_Master'!$A$1:$C$7,3,FALSE),"Missing")</f>
        <v>East</v>
      </c>
      <c r="T466" s="25" t="str">
        <f>C466&amp;"|"&amp;TEXT(tbl_clean_sales[[#This Row],[Date]],"yyyymm")</f>
        <v>E007|202606</v>
      </c>
      <c r="U466" s="25">
        <f>IFERROR(INDEX('05_Target_Master'!$A$1:$F$32,MATCH(tbl_clean_sales[[#This Row],[target key]],'05_Target_Master'!$F$1:$F$32,0),3),"Missing")</f>
        <v>124400</v>
      </c>
    </row>
    <row r="467" spans="1:21" x14ac:dyDescent="0.3">
      <c r="A467" s="21">
        <v>46146</v>
      </c>
      <c r="B467" s="22" t="s">
        <v>502</v>
      </c>
      <c r="C467" s="22" t="s">
        <v>12</v>
      </c>
      <c r="D467" s="22" t="s">
        <v>13</v>
      </c>
      <c r="E467" s="22" t="s">
        <v>14</v>
      </c>
      <c r="F467" s="22">
        <v>9</v>
      </c>
      <c r="G467" s="23">
        <v>3265.49</v>
      </c>
      <c r="H467" s="25" t="str">
        <f>IF(COUNTIF(tbl_clean_sales[Invoice_ID],tbl_clean_sales[[#This Row],[Invoice_ID]])&gt;1,"Duplicate","Unique")</f>
        <v>Unique</v>
      </c>
      <c r="I467" s="25"/>
      <c r="J46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7" s="25" t="str">
        <f>IFERROR(VLOOKUP(tbl_clean_sales[[#This Row],[Employee_ID]],'02_Employee_Master'!$A$1:$C$12,2,FALSE),"Employee Name Missing")</f>
        <v>Divya R</v>
      </c>
      <c r="L467" s="25" t="str">
        <f>IFERROR(VLOOKUP(tbl_clean_sales[[#This Row],[Employee_ID]],'02_Employee_Master'!$A$1:$C$12,3,FALSE),"Department Name Missing")</f>
        <v>Sales</v>
      </c>
      <c r="M467" s="25" t="str">
        <f>IF('03_Clean_data'!D467="","Missing",IFERROR(IF(VLOOKUP(D467,'03_Product_Master'!$A$1:$D$14,1,FALSE)='03_Clean_data'!D467,"Valid","Invalid"),"Invalid"))</f>
        <v>Valid</v>
      </c>
      <c r="N467" s="25" t="str">
        <f>IFERROR(VLOOKUP(tbl_clean_sales[[#This Row],[Product_ID]],'03_Product_Master'!$A$1:$D$14,2,FALSE),"Missing")</f>
        <v>Body Lotion</v>
      </c>
      <c r="O467" s="25" t="str">
        <f>IFERROR(VLOOKUP(tbl_clean_sales[[#This Row],[Product_ID]],'03_Product_Master'!$A$1:$D$14,3,FALSE),"Missing")</f>
        <v>Personal Care</v>
      </c>
      <c r="P467" s="25">
        <f>IFERROR(VLOOKUP(tbl_clean_sales[[#This Row],[Product_ID]],'03_Product_Master'!$A$1:$D$14,4,FALSE),"Missing")</f>
        <v>390</v>
      </c>
      <c r="Q467" s="25" t="str">
        <f>IF('03_Clean_data'!E467="","Missing",IFERROR(IF(VLOOKUP(E467,'04_Branch_Master'!$A$1:$C$7,1,FALSE)='03_Clean_data'!E467,"Valid","Invalid"),"Invalid"))</f>
        <v>Valid</v>
      </c>
      <c r="R467" s="25" t="str">
        <f>IFERROR(VLOOKUP(tbl_clean_sales[[#This Row],[Branch_ID]],'04_Branch_Master'!$A$1:$C$7,2,FALSE),"Missing")</f>
        <v>Avinashi Road</v>
      </c>
      <c r="S467" s="25" t="str">
        <f>IFERROR(VLOOKUP(tbl_clean_sales[[#This Row],[Branch_ID]],'04_Branch_Master'!$A$1:$C$7,3,FALSE),"Missing")</f>
        <v>North</v>
      </c>
      <c r="T467" s="25" t="str">
        <f>C467&amp;"|"&amp;TEXT(tbl_clean_sales[[#This Row],[Date]],"yyyymm")</f>
        <v>E004|202605</v>
      </c>
      <c r="U467" s="25">
        <f>IFERROR(INDEX('05_Target_Master'!$A$1:$F$32,MATCH(tbl_clean_sales[[#This Row],[target key]],'05_Target_Master'!$F$1:$F$32,0),3),"Missing")</f>
        <v>176700</v>
      </c>
    </row>
    <row r="468" spans="1:21" x14ac:dyDescent="0.3">
      <c r="A468" s="21">
        <v>46186</v>
      </c>
      <c r="B468" s="22" t="s">
        <v>503</v>
      </c>
      <c r="C468" s="22" t="s">
        <v>12</v>
      </c>
      <c r="D468" s="22" t="s">
        <v>48</v>
      </c>
      <c r="E468" s="22" t="s">
        <v>14</v>
      </c>
      <c r="F468" s="22">
        <v>8</v>
      </c>
      <c r="G468" s="23">
        <v>1887.22</v>
      </c>
      <c r="H468" s="25" t="str">
        <f>IF(COUNTIF(tbl_clean_sales[Invoice_ID],tbl_clean_sales[[#This Row],[Invoice_ID]])&gt;1,"Duplicate","Unique")</f>
        <v>Unique</v>
      </c>
      <c r="I468" s="25"/>
      <c r="J46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8" s="25" t="str">
        <f>IFERROR(VLOOKUP(tbl_clean_sales[[#This Row],[Employee_ID]],'02_Employee_Master'!$A$1:$C$12,2,FALSE),"Employee Name Missing")</f>
        <v>Divya R</v>
      </c>
      <c r="L468" s="25" t="str">
        <f>IFERROR(VLOOKUP(tbl_clean_sales[[#This Row],[Employee_ID]],'02_Employee_Master'!$A$1:$C$12,3,FALSE),"Department Name Missing")</f>
        <v>Sales</v>
      </c>
      <c r="M468" s="25" t="str">
        <f>IF('03_Clean_data'!D468="","Missing",IFERROR(IF(VLOOKUP(D468,'03_Product_Master'!$A$1:$D$14,1,FALSE)='03_Clean_data'!D468,"Valid","Invalid"),"Invalid"))</f>
        <v>Valid</v>
      </c>
      <c r="N468" s="25" t="str">
        <f>IFERROR(VLOOKUP(tbl_clean_sales[[#This Row],[Product_ID]],'03_Product_Master'!$A$1:$D$14,2,FALSE),"Missing")</f>
        <v>Face Wash</v>
      </c>
      <c r="O468" s="25" t="str">
        <f>IFERROR(VLOOKUP(tbl_clean_sales[[#This Row],[Product_ID]],'03_Product_Master'!$A$1:$D$14,3,FALSE),"Missing")</f>
        <v>Personal Care</v>
      </c>
      <c r="P468" s="25">
        <f>IFERROR(VLOOKUP(tbl_clean_sales[[#This Row],[Product_ID]],'03_Product_Master'!$A$1:$D$14,4,FALSE),"Missing")</f>
        <v>260</v>
      </c>
      <c r="Q468" s="25" t="str">
        <f>IF('03_Clean_data'!E468="","Missing",IFERROR(IF(VLOOKUP(E468,'04_Branch_Master'!$A$1:$C$7,1,FALSE)='03_Clean_data'!E468,"Valid","Invalid"),"Invalid"))</f>
        <v>Valid</v>
      </c>
      <c r="R468" s="25" t="str">
        <f>IFERROR(VLOOKUP(tbl_clean_sales[[#This Row],[Branch_ID]],'04_Branch_Master'!$A$1:$C$7,2,FALSE),"Missing")</f>
        <v>Avinashi Road</v>
      </c>
      <c r="S468" s="25" t="str">
        <f>IFERROR(VLOOKUP(tbl_clean_sales[[#This Row],[Branch_ID]],'04_Branch_Master'!$A$1:$C$7,3,FALSE),"Missing")</f>
        <v>North</v>
      </c>
      <c r="T468" s="25" t="str">
        <f>C468&amp;"|"&amp;TEXT(tbl_clean_sales[[#This Row],[Date]],"yyyymm")</f>
        <v>E004|202606</v>
      </c>
      <c r="U468" s="25">
        <f>IFERROR(INDEX('05_Target_Master'!$A$1:$F$32,MATCH(tbl_clean_sales[[#This Row],[target key]],'05_Target_Master'!$F$1:$F$32,0),3),"Missing")</f>
        <v>157100</v>
      </c>
    </row>
    <row r="469" spans="1:21" x14ac:dyDescent="0.3">
      <c r="A469" s="21">
        <v>46188</v>
      </c>
      <c r="B469" s="22" t="s">
        <v>504</v>
      </c>
      <c r="C469" s="22" t="s">
        <v>8</v>
      </c>
      <c r="D469" s="22" t="s">
        <v>53</v>
      </c>
      <c r="E469" s="22" t="s">
        <v>10</v>
      </c>
      <c r="F469" s="22">
        <v>1</v>
      </c>
      <c r="G469" s="23">
        <v>329.72</v>
      </c>
      <c r="H469" s="25" t="str">
        <f>IF(COUNTIF(tbl_clean_sales[Invoice_ID],tbl_clean_sales[[#This Row],[Invoice_ID]])&gt;1,"Duplicate","Unique")</f>
        <v>Unique</v>
      </c>
      <c r="I469" s="25"/>
      <c r="J46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69" s="25" t="str">
        <f>IFERROR(VLOOKUP(tbl_clean_sales[[#This Row],[Employee_ID]],'02_Employee_Master'!$A$1:$C$12,2,FALSE),"Employee Name Missing")</f>
        <v>Vignesh R</v>
      </c>
      <c r="L469" s="25" t="str">
        <f>IFERROR(VLOOKUP(tbl_clean_sales[[#This Row],[Employee_ID]],'02_Employee_Master'!$A$1:$C$12,3,FALSE),"Department Name Missing")</f>
        <v>Sales</v>
      </c>
      <c r="M469" s="25" t="str">
        <f>IF('03_Clean_data'!D469="","Missing",IFERROR(IF(VLOOKUP(D469,'03_Product_Master'!$A$1:$D$14,1,FALSE)='03_Clean_data'!D469,"Valid","Invalid"),"Invalid"))</f>
        <v>Valid</v>
      </c>
      <c r="N469" s="25" t="str">
        <f>IFERROR(VLOOKUP(tbl_clean_sales[[#This Row],[Product_ID]],'03_Product_Master'!$A$1:$D$14,2,FALSE),"Missing")</f>
        <v>Instant Coffee</v>
      </c>
      <c r="O469" s="25" t="str">
        <f>IFERROR(VLOOKUP(tbl_clean_sales[[#This Row],[Product_ID]],'03_Product_Master'!$A$1:$D$14,3,FALSE),"Missing")</f>
        <v>Beverages</v>
      </c>
      <c r="P469" s="25">
        <f>IFERROR(VLOOKUP(tbl_clean_sales[[#This Row],[Product_ID]],'03_Product_Master'!$A$1:$D$14,4,FALSE),"Missing")</f>
        <v>350</v>
      </c>
      <c r="Q469" s="25" t="str">
        <f>IF('03_Clean_data'!E469="","Missing",IFERROR(IF(VLOOKUP(E469,'04_Branch_Master'!$A$1:$C$7,1,FALSE)='03_Clean_data'!E469,"Valid","Invalid"),"Invalid"))</f>
        <v>Valid</v>
      </c>
      <c r="R469" s="25" t="str">
        <f>IFERROR(VLOOKUP(tbl_clean_sales[[#This Row],[Branch_ID]],'04_Branch_Master'!$A$1:$C$7,2,FALSE),"Missing")</f>
        <v>Dharapuram</v>
      </c>
      <c r="S469" s="25" t="str">
        <f>IFERROR(VLOOKUP(tbl_clean_sales[[#This Row],[Branch_ID]],'04_Branch_Master'!$A$1:$C$7,3,FALSE),"Missing")</f>
        <v>South</v>
      </c>
      <c r="T469" s="25" t="str">
        <f>C469&amp;"|"&amp;TEXT(tbl_clean_sales[[#This Row],[Date]],"yyyymm")</f>
        <v>E009|202606</v>
      </c>
      <c r="U469" s="25">
        <f>IFERROR(INDEX('05_Target_Master'!$A$1:$F$32,MATCH(tbl_clean_sales[[#This Row],[target key]],'05_Target_Master'!$F$1:$F$32,0),3),"Missing")</f>
        <v>156700</v>
      </c>
    </row>
    <row r="470" spans="1:21" x14ac:dyDescent="0.3">
      <c r="A470" s="21">
        <v>46150</v>
      </c>
      <c r="B470" s="22" t="s">
        <v>505</v>
      </c>
      <c r="C470" s="22" t="s">
        <v>46</v>
      </c>
      <c r="D470" s="22" t="s">
        <v>9</v>
      </c>
      <c r="E470" s="22" t="s">
        <v>32</v>
      </c>
      <c r="F470" s="22">
        <v>12</v>
      </c>
      <c r="G470" s="23">
        <v>3302.88</v>
      </c>
      <c r="H470" s="25" t="str">
        <f>IF(COUNTIF(tbl_clean_sales[Invoice_ID],tbl_clean_sales[[#This Row],[Invoice_ID]])&gt;1,"Duplicate","Unique")</f>
        <v>Unique</v>
      </c>
      <c r="I470" s="25"/>
      <c r="J47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0" s="25" t="str">
        <f>IFERROR(VLOOKUP(tbl_clean_sales[[#This Row],[Employee_ID]],'02_Employee_Master'!$A$1:$C$12,2,FALSE),"Employee Name Missing")</f>
        <v>Suresh B</v>
      </c>
      <c r="L470" s="25" t="str">
        <f>IFERROR(VLOOKUP(tbl_clean_sales[[#This Row],[Employee_ID]],'02_Employee_Master'!$A$1:$C$12,3,FALSE),"Department Name Missing")</f>
        <v>Sales</v>
      </c>
      <c r="M470" s="25" t="str">
        <f>IF('03_Clean_data'!D470="","Missing",IFERROR(IF(VLOOKUP(D470,'03_Product_Master'!$A$1:$D$14,1,FALSE)='03_Clean_data'!D470,"Valid","Invalid"),"Invalid"))</f>
        <v>Valid</v>
      </c>
      <c r="N470" s="25" t="str">
        <f>IFERROR(VLOOKUP(tbl_clean_sales[[#This Row],[Product_ID]],'03_Product_Master'!$A$1:$D$14,2,FALSE),"Missing")</f>
        <v>Green Tea</v>
      </c>
      <c r="O470" s="25" t="str">
        <f>IFERROR(VLOOKUP(tbl_clean_sales[[#This Row],[Product_ID]],'03_Product_Master'!$A$1:$D$14,3,FALSE),"Missing")</f>
        <v>Beverages</v>
      </c>
      <c r="P470" s="25">
        <f>IFERROR(VLOOKUP(tbl_clean_sales[[#This Row],[Product_ID]],'03_Product_Master'!$A$1:$D$14,4,FALSE),"Missing")</f>
        <v>280</v>
      </c>
      <c r="Q470" s="25" t="str">
        <f>IF('03_Clean_data'!E470="","Missing",IFERROR(IF(VLOOKUP(E470,'04_Branch_Master'!$A$1:$C$7,1,FALSE)='03_Clean_data'!E470,"Valid","Invalid"),"Invalid"))</f>
        <v>Valid</v>
      </c>
      <c r="R470" s="25" t="str">
        <f>IFERROR(VLOOKUP(tbl_clean_sales[[#This Row],[Branch_ID]],'04_Branch_Master'!$A$1:$C$7,2,FALSE),"Missing")</f>
        <v>Kangeyam</v>
      </c>
      <c r="S470" s="25" t="str">
        <f>IFERROR(VLOOKUP(tbl_clean_sales[[#This Row],[Branch_ID]],'04_Branch_Master'!$A$1:$C$7,3,FALSE),"Missing")</f>
        <v>East</v>
      </c>
      <c r="T470" s="25" t="str">
        <f>C470&amp;"|"&amp;TEXT(tbl_clean_sales[[#This Row],[Date]],"yyyymm")</f>
        <v>E007|202605</v>
      </c>
      <c r="U470" s="25">
        <f>IFERROR(INDEX('05_Target_Master'!$A$1:$F$32,MATCH(tbl_clean_sales[[#This Row],[target key]],'05_Target_Master'!$F$1:$F$32,0),3),"Missing")</f>
        <v>140000</v>
      </c>
    </row>
    <row r="471" spans="1:21" x14ac:dyDescent="0.3">
      <c r="A471" s="21">
        <v>46152</v>
      </c>
      <c r="B471" s="22" t="s">
        <v>506</v>
      </c>
      <c r="C471" s="22" t="s">
        <v>40</v>
      </c>
      <c r="D471" s="22" t="s">
        <v>48</v>
      </c>
      <c r="E471" s="22" t="s">
        <v>10</v>
      </c>
      <c r="F471" s="22">
        <v>8</v>
      </c>
      <c r="G471" s="23">
        <v>1993.06</v>
      </c>
      <c r="H471" s="25" t="str">
        <f>IF(COUNTIF(tbl_clean_sales[Invoice_ID],tbl_clean_sales[[#This Row],[Invoice_ID]])&gt;1,"Duplicate","Unique")</f>
        <v>Unique</v>
      </c>
      <c r="I471" s="25"/>
      <c r="J47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1" s="25" t="str">
        <f>IFERROR(VLOOKUP(tbl_clean_sales[[#This Row],[Employee_ID]],'02_Employee_Master'!$A$1:$C$12,2,FALSE),"Employee Name Missing")</f>
        <v>Meena V</v>
      </c>
      <c r="L471" s="25" t="str">
        <f>IFERROR(VLOOKUP(tbl_clean_sales[[#This Row],[Employee_ID]],'02_Employee_Master'!$A$1:$C$12,3,FALSE),"Department Name Missing")</f>
        <v>Sales</v>
      </c>
      <c r="M471" s="25" t="str">
        <f>IF('03_Clean_data'!D471="","Missing",IFERROR(IF(VLOOKUP(D471,'03_Product_Master'!$A$1:$D$14,1,FALSE)='03_Clean_data'!D471,"Valid","Invalid"),"Invalid"))</f>
        <v>Valid</v>
      </c>
      <c r="N471" s="25" t="str">
        <f>IFERROR(VLOOKUP(tbl_clean_sales[[#This Row],[Product_ID]],'03_Product_Master'!$A$1:$D$14,2,FALSE),"Missing")</f>
        <v>Face Wash</v>
      </c>
      <c r="O471" s="25" t="str">
        <f>IFERROR(VLOOKUP(tbl_clean_sales[[#This Row],[Product_ID]],'03_Product_Master'!$A$1:$D$14,3,FALSE),"Missing")</f>
        <v>Personal Care</v>
      </c>
      <c r="P471" s="25">
        <f>IFERROR(VLOOKUP(tbl_clean_sales[[#This Row],[Product_ID]],'03_Product_Master'!$A$1:$D$14,4,FALSE),"Missing")</f>
        <v>260</v>
      </c>
      <c r="Q471" s="25" t="str">
        <f>IF('03_Clean_data'!E471="","Missing",IFERROR(IF(VLOOKUP(E471,'04_Branch_Master'!$A$1:$C$7,1,FALSE)='03_Clean_data'!E471,"Valid","Invalid"),"Invalid"))</f>
        <v>Valid</v>
      </c>
      <c r="R471" s="25" t="str">
        <f>IFERROR(VLOOKUP(tbl_clean_sales[[#This Row],[Branch_ID]],'04_Branch_Master'!$A$1:$C$7,2,FALSE),"Missing")</f>
        <v>Dharapuram</v>
      </c>
      <c r="S471" s="25" t="str">
        <f>IFERROR(VLOOKUP(tbl_clean_sales[[#This Row],[Branch_ID]],'04_Branch_Master'!$A$1:$C$7,3,FALSE),"Missing")</f>
        <v>South</v>
      </c>
      <c r="T471" s="25" t="str">
        <f>C471&amp;"|"&amp;TEXT(tbl_clean_sales[[#This Row],[Date]],"yyyymm")</f>
        <v>E006|202605</v>
      </c>
      <c r="U471" s="25">
        <f>IFERROR(INDEX('05_Target_Master'!$A$1:$F$32,MATCH(tbl_clean_sales[[#This Row],[target key]],'05_Target_Master'!$F$1:$F$32,0),3),"Missing")</f>
        <v>141500</v>
      </c>
    </row>
    <row r="472" spans="1:21" x14ac:dyDescent="0.3">
      <c r="A472" s="21">
        <v>46125</v>
      </c>
      <c r="B472" s="22" t="s">
        <v>507</v>
      </c>
      <c r="C472" s="22" t="s">
        <v>38</v>
      </c>
      <c r="D472" s="22" t="s">
        <v>19</v>
      </c>
      <c r="E472" s="22" t="s">
        <v>32</v>
      </c>
      <c r="F472" s="22">
        <v>6</v>
      </c>
      <c r="G472" s="23">
        <v>1368.88</v>
      </c>
      <c r="H472" s="25" t="str">
        <f>IF(COUNTIF(tbl_clean_sales[Invoice_ID],tbl_clean_sales[[#This Row],[Invoice_ID]])&gt;1,"Duplicate","Unique")</f>
        <v>Unique</v>
      </c>
      <c r="I472" s="25"/>
      <c r="J47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2" s="25" t="str">
        <f>IFERROR(VLOOKUP(tbl_clean_sales[[#This Row],[Employee_ID]],'02_Employee_Master'!$A$1:$C$12,2,FALSE),"Employee Name Missing")</f>
        <v>Nandhini K</v>
      </c>
      <c r="L472" s="25" t="str">
        <f>IFERROR(VLOOKUP(tbl_clean_sales[[#This Row],[Employee_ID]],'02_Employee_Master'!$A$1:$C$12,3,FALSE),"Department Name Missing")</f>
        <v>Sales</v>
      </c>
      <c r="M472" s="25" t="str">
        <f>IF('03_Clean_data'!D472="","Missing",IFERROR(IF(VLOOKUP(D472,'03_Product_Master'!$A$1:$D$14,1,FALSE)='03_Clean_data'!D472,"Valid","Invalid"),"Invalid"))</f>
        <v>Valid</v>
      </c>
      <c r="N472" s="25" t="str">
        <f>IFERROR(VLOOKUP(tbl_clean_sales[[#This Row],[Product_ID]],'03_Product_Master'!$A$1:$D$14,2,FALSE),"Missing")</f>
        <v>Floor Cleaner</v>
      </c>
      <c r="O472" s="25" t="str">
        <f>IFERROR(VLOOKUP(tbl_clean_sales[[#This Row],[Product_ID]],'03_Product_Master'!$A$1:$D$14,3,FALSE),"Missing")</f>
        <v>Home Care</v>
      </c>
      <c r="P472" s="25">
        <f>IFERROR(VLOOKUP(tbl_clean_sales[[#This Row],[Product_ID]],'03_Product_Master'!$A$1:$D$14,4,FALSE),"Missing")</f>
        <v>230</v>
      </c>
      <c r="Q472" s="25" t="str">
        <f>IF('03_Clean_data'!E472="","Missing",IFERROR(IF(VLOOKUP(E472,'04_Branch_Master'!$A$1:$C$7,1,FALSE)='03_Clean_data'!E472,"Valid","Invalid"),"Invalid"))</f>
        <v>Valid</v>
      </c>
      <c r="R472" s="25" t="str">
        <f>IFERROR(VLOOKUP(tbl_clean_sales[[#This Row],[Branch_ID]],'04_Branch_Master'!$A$1:$C$7,2,FALSE),"Missing")</f>
        <v>Kangeyam</v>
      </c>
      <c r="S472" s="25" t="str">
        <f>IFERROR(VLOOKUP(tbl_clean_sales[[#This Row],[Branch_ID]],'04_Branch_Master'!$A$1:$C$7,3,FALSE),"Missing")</f>
        <v>East</v>
      </c>
      <c r="T472" s="25" t="str">
        <f>C472&amp;"|"&amp;TEXT(tbl_clean_sales[[#This Row],[Date]],"yyyymm")</f>
        <v>E008|202604</v>
      </c>
      <c r="U472" s="25">
        <f>IFERROR(INDEX('05_Target_Master'!$A$1:$F$32,MATCH(tbl_clean_sales[[#This Row],[target key]],'05_Target_Master'!$F$1:$F$32,0),3),"Missing")</f>
        <v>124100</v>
      </c>
    </row>
    <row r="473" spans="1:21" x14ac:dyDescent="0.3">
      <c r="A473" s="21">
        <v>46118</v>
      </c>
      <c r="B473" s="22" t="s">
        <v>508</v>
      </c>
      <c r="C473" s="22" t="s">
        <v>21</v>
      </c>
      <c r="D473" s="22" t="s">
        <v>25</v>
      </c>
      <c r="E473" s="22" t="s">
        <v>22</v>
      </c>
      <c r="F473" s="22">
        <v>11</v>
      </c>
      <c r="G473" s="23">
        <v>4176.45</v>
      </c>
      <c r="H473" s="25" t="str">
        <f>IF(COUNTIF(tbl_clean_sales[Invoice_ID],tbl_clean_sales[[#This Row],[Invoice_ID]])&gt;1,"Duplicate","Unique")</f>
        <v>Unique</v>
      </c>
      <c r="I473" s="25"/>
      <c r="J47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3" s="25" t="str">
        <f>IFERROR(VLOOKUP(tbl_clean_sales[[#This Row],[Employee_ID]],'02_Employee_Master'!$A$1:$C$12,2,FALSE),"Employee Name Missing")</f>
        <v>Priya S</v>
      </c>
      <c r="L473" s="25" t="str">
        <f>IFERROR(VLOOKUP(tbl_clean_sales[[#This Row],[Employee_ID]],'02_Employee_Master'!$A$1:$C$12,3,FALSE),"Department Name Missing")</f>
        <v>Sales</v>
      </c>
      <c r="M473" s="25" t="str">
        <f>IF('03_Clean_data'!D473="","Missing",IFERROR(IF(VLOOKUP(D473,'03_Product_Master'!$A$1:$D$14,1,FALSE)='03_Clean_data'!D473,"Valid","Invalid"),"Invalid"))</f>
        <v>Valid</v>
      </c>
      <c r="N473" s="25" t="str">
        <f>IFERROR(VLOOKUP(tbl_clean_sales[[#This Row],[Product_ID]],'03_Product_Master'!$A$1:$D$14,2,FALSE),"Missing")</f>
        <v>Premium Coffee</v>
      </c>
      <c r="O473" s="25" t="str">
        <f>IFERROR(VLOOKUP(tbl_clean_sales[[#This Row],[Product_ID]],'03_Product_Master'!$A$1:$D$14,3,FALSE),"Missing")</f>
        <v>Beverages</v>
      </c>
      <c r="P473" s="25">
        <f>IFERROR(VLOOKUP(tbl_clean_sales[[#This Row],[Product_ID]],'03_Product_Master'!$A$1:$D$14,4,FALSE),"Missing")</f>
        <v>420</v>
      </c>
      <c r="Q473" s="25" t="str">
        <f>IF('03_Clean_data'!E473="","Missing",IFERROR(IF(VLOOKUP(E473,'04_Branch_Master'!$A$1:$C$7,1,FALSE)='03_Clean_data'!E473,"Valid","Invalid"),"Invalid"))</f>
        <v>Valid</v>
      </c>
      <c r="R473" s="25" t="str">
        <f>IFERROR(VLOOKUP(tbl_clean_sales[[#This Row],[Branch_ID]],'04_Branch_Master'!$A$1:$C$7,2,FALSE),"Missing")</f>
        <v>Tirupur Central</v>
      </c>
      <c r="S473" s="25" t="str">
        <f>IFERROR(VLOOKUP(tbl_clean_sales[[#This Row],[Branch_ID]],'04_Branch_Master'!$A$1:$C$7,3,FALSE),"Missing")</f>
        <v>North</v>
      </c>
      <c r="T473" s="25" t="str">
        <f>C473&amp;"|"&amp;TEXT(tbl_clean_sales[[#This Row],[Date]],"yyyymm")</f>
        <v>E002|202604</v>
      </c>
      <c r="U473" s="25">
        <f>IFERROR(INDEX('05_Target_Master'!$A$1:$F$32,MATCH(tbl_clean_sales[[#This Row],[target key]],'05_Target_Master'!$F$1:$F$32,0),3),"Missing")</f>
        <v>122300</v>
      </c>
    </row>
    <row r="474" spans="1:21" x14ac:dyDescent="0.3">
      <c r="A474" s="21">
        <v>46144</v>
      </c>
      <c r="B474" s="22" t="s">
        <v>509</v>
      </c>
      <c r="C474" s="22" t="s">
        <v>8</v>
      </c>
      <c r="D474" s="22" t="s">
        <v>53</v>
      </c>
      <c r="E474" s="22" t="s">
        <v>10</v>
      </c>
      <c r="F474" s="22">
        <v>6</v>
      </c>
      <c r="G474" s="23">
        <v>1958.92</v>
      </c>
      <c r="H474" s="25" t="str">
        <f>IF(COUNTIF(tbl_clean_sales[Invoice_ID],tbl_clean_sales[[#This Row],[Invoice_ID]])&gt;1,"Duplicate","Unique")</f>
        <v>Unique</v>
      </c>
      <c r="I474" s="25"/>
      <c r="J47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4" s="25" t="str">
        <f>IFERROR(VLOOKUP(tbl_clean_sales[[#This Row],[Employee_ID]],'02_Employee_Master'!$A$1:$C$12,2,FALSE),"Employee Name Missing")</f>
        <v>Vignesh R</v>
      </c>
      <c r="L474" s="25" t="str">
        <f>IFERROR(VLOOKUP(tbl_clean_sales[[#This Row],[Employee_ID]],'02_Employee_Master'!$A$1:$C$12,3,FALSE),"Department Name Missing")</f>
        <v>Sales</v>
      </c>
      <c r="M474" s="25" t="str">
        <f>IF('03_Clean_data'!D474="","Missing",IFERROR(IF(VLOOKUP(D474,'03_Product_Master'!$A$1:$D$14,1,FALSE)='03_Clean_data'!D474,"Valid","Invalid"),"Invalid"))</f>
        <v>Valid</v>
      </c>
      <c r="N474" s="25" t="str">
        <f>IFERROR(VLOOKUP(tbl_clean_sales[[#This Row],[Product_ID]],'03_Product_Master'!$A$1:$D$14,2,FALSE),"Missing")</f>
        <v>Instant Coffee</v>
      </c>
      <c r="O474" s="25" t="str">
        <f>IFERROR(VLOOKUP(tbl_clean_sales[[#This Row],[Product_ID]],'03_Product_Master'!$A$1:$D$14,3,FALSE),"Missing")</f>
        <v>Beverages</v>
      </c>
      <c r="P474" s="25">
        <f>IFERROR(VLOOKUP(tbl_clean_sales[[#This Row],[Product_ID]],'03_Product_Master'!$A$1:$D$14,4,FALSE),"Missing")</f>
        <v>350</v>
      </c>
      <c r="Q474" s="25" t="str">
        <f>IF('03_Clean_data'!E474="","Missing",IFERROR(IF(VLOOKUP(E474,'04_Branch_Master'!$A$1:$C$7,1,FALSE)='03_Clean_data'!E474,"Valid","Invalid"),"Invalid"))</f>
        <v>Valid</v>
      </c>
      <c r="R474" s="25" t="str">
        <f>IFERROR(VLOOKUP(tbl_clean_sales[[#This Row],[Branch_ID]],'04_Branch_Master'!$A$1:$C$7,2,FALSE),"Missing")</f>
        <v>Dharapuram</v>
      </c>
      <c r="S474" s="25" t="str">
        <f>IFERROR(VLOOKUP(tbl_clean_sales[[#This Row],[Branch_ID]],'04_Branch_Master'!$A$1:$C$7,3,FALSE),"Missing")</f>
        <v>South</v>
      </c>
      <c r="T474" s="25" t="str">
        <f>C474&amp;"|"&amp;TEXT(tbl_clean_sales[[#This Row],[Date]],"yyyymm")</f>
        <v>E009|202605</v>
      </c>
      <c r="U474" s="25">
        <f>IFERROR(INDEX('05_Target_Master'!$A$1:$F$32,MATCH(tbl_clean_sales[[#This Row],[target key]],'05_Target_Master'!$F$1:$F$32,0),3),"Missing")</f>
        <v>176300</v>
      </c>
    </row>
    <row r="475" spans="1:21" x14ac:dyDescent="0.3">
      <c r="A475" s="21">
        <v>46172</v>
      </c>
      <c r="B475" s="22" t="s">
        <v>510</v>
      </c>
      <c r="C475" s="22" t="s">
        <v>12</v>
      </c>
      <c r="D475" s="22" t="s">
        <v>16</v>
      </c>
      <c r="E475" s="22" t="s">
        <v>14</v>
      </c>
      <c r="F475" s="22">
        <v>3</v>
      </c>
      <c r="G475" s="23">
        <v>858.52</v>
      </c>
      <c r="H475" s="25" t="str">
        <f>IF(COUNTIF(tbl_clean_sales[Invoice_ID],tbl_clean_sales[[#This Row],[Invoice_ID]])&gt;1,"Duplicate","Unique")</f>
        <v>Unique</v>
      </c>
      <c r="I475" s="25"/>
      <c r="J47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5" s="25" t="str">
        <f>IFERROR(VLOOKUP(tbl_clean_sales[[#This Row],[Employee_ID]],'02_Employee_Master'!$A$1:$C$12,2,FALSE),"Employee Name Missing")</f>
        <v>Divya R</v>
      </c>
      <c r="L475" s="25" t="str">
        <f>IFERROR(VLOOKUP(tbl_clean_sales[[#This Row],[Employee_ID]],'02_Employee_Master'!$A$1:$C$12,3,FALSE),"Department Name Missing")</f>
        <v>Sales</v>
      </c>
      <c r="M475" s="25" t="str">
        <f>IF('03_Clean_data'!D475="","Missing",IFERROR(IF(VLOOKUP(D475,'03_Product_Master'!$A$1:$D$14,1,FALSE)='03_Clean_data'!D475,"Valid","Invalid"),"Invalid"))</f>
        <v>Valid</v>
      </c>
      <c r="N475" s="25" t="str">
        <f>IFERROR(VLOOKUP(tbl_clean_sales[[#This Row],[Product_ID]],'03_Product_Master'!$A$1:$D$14,2,FALSE),"Missing")</f>
        <v>Shampoo</v>
      </c>
      <c r="O475" s="25" t="str">
        <f>IFERROR(VLOOKUP(tbl_clean_sales[[#This Row],[Product_ID]],'03_Product_Master'!$A$1:$D$14,3,FALSE),"Missing")</f>
        <v>Personal Care</v>
      </c>
      <c r="P475" s="25">
        <f>IFERROR(VLOOKUP(tbl_clean_sales[[#This Row],[Product_ID]],'03_Product_Master'!$A$1:$D$14,4,FALSE),"Missing")</f>
        <v>310</v>
      </c>
      <c r="Q475" s="25" t="str">
        <f>IF('03_Clean_data'!E475="","Missing",IFERROR(IF(VLOOKUP(E475,'04_Branch_Master'!$A$1:$C$7,1,FALSE)='03_Clean_data'!E475,"Valid","Invalid"),"Invalid"))</f>
        <v>Valid</v>
      </c>
      <c r="R475" s="25" t="str">
        <f>IFERROR(VLOOKUP(tbl_clean_sales[[#This Row],[Branch_ID]],'04_Branch_Master'!$A$1:$C$7,2,FALSE),"Missing")</f>
        <v>Avinashi Road</v>
      </c>
      <c r="S475" s="25" t="str">
        <f>IFERROR(VLOOKUP(tbl_clean_sales[[#This Row],[Branch_ID]],'04_Branch_Master'!$A$1:$C$7,3,FALSE),"Missing")</f>
        <v>North</v>
      </c>
      <c r="T475" s="25" t="str">
        <f>C475&amp;"|"&amp;TEXT(tbl_clean_sales[[#This Row],[Date]],"yyyymm")</f>
        <v>E004|202605</v>
      </c>
      <c r="U475" s="25">
        <f>IFERROR(INDEX('05_Target_Master'!$A$1:$F$32,MATCH(tbl_clean_sales[[#This Row],[target key]],'05_Target_Master'!$F$1:$F$32,0),3),"Missing")</f>
        <v>176700</v>
      </c>
    </row>
    <row r="476" spans="1:21" x14ac:dyDescent="0.3">
      <c r="A476" s="21">
        <v>46168</v>
      </c>
      <c r="B476" s="22" t="s">
        <v>511</v>
      </c>
      <c r="C476" s="22" t="s">
        <v>46</v>
      </c>
      <c r="D476" s="22" t="s">
        <v>25</v>
      </c>
      <c r="E476" s="22" t="s">
        <v>32</v>
      </c>
      <c r="F476" s="22">
        <v>4</v>
      </c>
      <c r="G476" s="23">
        <v>1589.37</v>
      </c>
      <c r="H476" s="25" t="str">
        <f>IF(COUNTIF(tbl_clean_sales[Invoice_ID],tbl_clean_sales[[#This Row],[Invoice_ID]])&gt;1,"Duplicate","Unique")</f>
        <v>Unique</v>
      </c>
      <c r="I476" s="25"/>
      <c r="J47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6" s="25" t="str">
        <f>IFERROR(VLOOKUP(tbl_clean_sales[[#This Row],[Employee_ID]],'02_Employee_Master'!$A$1:$C$12,2,FALSE),"Employee Name Missing")</f>
        <v>Suresh B</v>
      </c>
      <c r="L476" s="25" t="str">
        <f>IFERROR(VLOOKUP(tbl_clean_sales[[#This Row],[Employee_ID]],'02_Employee_Master'!$A$1:$C$12,3,FALSE),"Department Name Missing")</f>
        <v>Sales</v>
      </c>
      <c r="M476" s="25" t="str">
        <f>IF('03_Clean_data'!D476="","Missing",IFERROR(IF(VLOOKUP(D476,'03_Product_Master'!$A$1:$D$14,1,FALSE)='03_Clean_data'!D476,"Valid","Invalid"),"Invalid"))</f>
        <v>Valid</v>
      </c>
      <c r="N476" s="25" t="str">
        <f>IFERROR(VLOOKUP(tbl_clean_sales[[#This Row],[Product_ID]],'03_Product_Master'!$A$1:$D$14,2,FALSE),"Missing")</f>
        <v>Premium Coffee</v>
      </c>
      <c r="O476" s="25" t="str">
        <f>IFERROR(VLOOKUP(tbl_clean_sales[[#This Row],[Product_ID]],'03_Product_Master'!$A$1:$D$14,3,FALSE),"Missing")</f>
        <v>Beverages</v>
      </c>
      <c r="P476" s="25">
        <f>IFERROR(VLOOKUP(tbl_clean_sales[[#This Row],[Product_ID]],'03_Product_Master'!$A$1:$D$14,4,FALSE),"Missing")</f>
        <v>420</v>
      </c>
      <c r="Q476" s="25" t="str">
        <f>IF('03_Clean_data'!E476="","Missing",IFERROR(IF(VLOOKUP(E476,'04_Branch_Master'!$A$1:$C$7,1,FALSE)='03_Clean_data'!E476,"Valid","Invalid"),"Invalid"))</f>
        <v>Valid</v>
      </c>
      <c r="R476" s="25" t="str">
        <f>IFERROR(VLOOKUP(tbl_clean_sales[[#This Row],[Branch_ID]],'04_Branch_Master'!$A$1:$C$7,2,FALSE),"Missing")</f>
        <v>Kangeyam</v>
      </c>
      <c r="S476" s="25" t="str">
        <f>IFERROR(VLOOKUP(tbl_clean_sales[[#This Row],[Branch_ID]],'04_Branch_Master'!$A$1:$C$7,3,FALSE),"Missing")</f>
        <v>East</v>
      </c>
      <c r="T476" s="25" t="str">
        <f>C476&amp;"|"&amp;TEXT(tbl_clean_sales[[#This Row],[Date]],"yyyymm")</f>
        <v>E007|202605</v>
      </c>
      <c r="U476" s="25">
        <f>IFERROR(INDEX('05_Target_Master'!$A$1:$F$32,MATCH(tbl_clean_sales[[#This Row],[target key]],'05_Target_Master'!$F$1:$F$32,0),3),"Missing")</f>
        <v>140000</v>
      </c>
    </row>
    <row r="477" spans="1:21" x14ac:dyDescent="0.3">
      <c r="A477" s="21">
        <v>46167</v>
      </c>
      <c r="B477" s="22" t="s">
        <v>512</v>
      </c>
      <c r="C477" s="22" t="s">
        <v>46</v>
      </c>
      <c r="D477" s="22" t="s">
        <v>25</v>
      </c>
      <c r="E477" s="22" t="s">
        <v>32</v>
      </c>
      <c r="F477" s="22">
        <v>4</v>
      </c>
      <c r="G477" s="23">
        <v>1623.89</v>
      </c>
      <c r="H477" s="25" t="str">
        <f>IF(COUNTIF(tbl_clean_sales[Invoice_ID],tbl_clean_sales[[#This Row],[Invoice_ID]])&gt;1,"Duplicate","Unique")</f>
        <v>Unique</v>
      </c>
      <c r="I477" s="25"/>
      <c r="J47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7" s="25" t="str">
        <f>IFERROR(VLOOKUP(tbl_clean_sales[[#This Row],[Employee_ID]],'02_Employee_Master'!$A$1:$C$12,2,FALSE),"Employee Name Missing")</f>
        <v>Suresh B</v>
      </c>
      <c r="L477" s="25" t="str">
        <f>IFERROR(VLOOKUP(tbl_clean_sales[[#This Row],[Employee_ID]],'02_Employee_Master'!$A$1:$C$12,3,FALSE),"Department Name Missing")</f>
        <v>Sales</v>
      </c>
      <c r="M477" s="25" t="str">
        <f>IF('03_Clean_data'!D477="","Missing",IFERROR(IF(VLOOKUP(D477,'03_Product_Master'!$A$1:$D$14,1,FALSE)='03_Clean_data'!D477,"Valid","Invalid"),"Invalid"))</f>
        <v>Valid</v>
      </c>
      <c r="N477" s="25" t="str">
        <f>IFERROR(VLOOKUP(tbl_clean_sales[[#This Row],[Product_ID]],'03_Product_Master'!$A$1:$D$14,2,FALSE),"Missing")</f>
        <v>Premium Coffee</v>
      </c>
      <c r="O477" s="25" t="str">
        <f>IFERROR(VLOOKUP(tbl_clean_sales[[#This Row],[Product_ID]],'03_Product_Master'!$A$1:$D$14,3,FALSE),"Missing")</f>
        <v>Beverages</v>
      </c>
      <c r="P477" s="25">
        <f>IFERROR(VLOOKUP(tbl_clean_sales[[#This Row],[Product_ID]],'03_Product_Master'!$A$1:$D$14,4,FALSE),"Missing")</f>
        <v>420</v>
      </c>
      <c r="Q477" s="25" t="str">
        <f>IF('03_Clean_data'!E477="","Missing",IFERROR(IF(VLOOKUP(E477,'04_Branch_Master'!$A$1:$C$7,1,FALSE)='03_Clean_data'!E477,"Valid","Invalid"),"Invalid"))</f>
        <v>Valid</v>
      </c>
      <c r="R477" s="25" t="str">
        <f>IFERROR(VLOOKUP(tbl_clean_sales[[#This Row],[Branch_ID]],'04_Branch_Master'!$A$1:$C$7,2,FALSE),"Missing")</f>
        <v>Kangeyam</v>
      </c>
      <c r="S477" s="25" t="str">
        <f>IFERROR(VLOOKUP(tbl_clean_sales[[#This Row],[Branch_ID]],'04_Branch_Master'!$A$1:$C$7,3,FALSE),"Missing")</f>
        <v>East</v>
      </c>
      <c r="T477" s="25" t="str">
        <f>C477&amp;"|"&amp;TEXT(tbl_clean_sales[[#This Row],[Date]],"yyyymm")</f>
        <v>E007|202605</v>
      </c>
      <c r="U477" s="25">
        <f>IFERROR(INDEX('05_Target_Master'!$A$1:$F$32,MATCH(tbl_clean_sales[[#This Row],[target key]],'05_Target_Master'!$F$1:$F$32,0),3),"Missing")</f>
        <v>140000</v>
      </c>
    </row>
    <row r="478" spans="1:21" x14ac:dyDescent="0.3">
      <c r="A478" s="21">
        <v>46203</v>
      </c>
      <c r="B478" s="22" t="s">
        <v>513</v>
      </c>
      <c r="C478" s="22" t="s">
        <v>21</v>
      </c>
      <c r="D478" s="22" t="s">
        <v>36</v>
      </c>
      <c r="E478" s="22" t="s">
        <v>22</v>
      </c>
      <c r="F478" s="22">
        <v>9</v>
      </c>
      <c r="G478" s="23">
        <v>1671.64</v>
      </c>
      <c r="H478" s="25" t="str">
        <f>IF(COUNTIF(tbl_clean_sales[Invoice_ID],tbl_clean_sales[[#This Row],[Invoice_ID]])&gt;1,"Duplicate","Unique")</f>
        <v>Unique</v>
      </c>
      <c r="I478" s="25"/>
      <c r="J47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8" s="25" t="str">
        <f>IFERROR(VLOOKUP(tbl_clean_sales[[#This Row],[Employee_ID]],'02_Employee_Master'!$A$1:$C$12,2,FALSE),"Employee Name Missing")</f>
        <v>Priya S</v>
      </c>
      <c r="L478" s="25" t="str">
        <f>IFERROR(VLOOKUP(tbl_clean_sales[[#This Row],[Employee_ID]],'02_Employee_Master'!$A$1:$C$12,3,FALSE),"Department Name Missing")</f>
        <v>Sales</v>
      </c>
      <c r="M478" s="25" t="str">
        <f>IF('03_Clean_data'!D478="","Missing",IFERROR(IF(VLOOKUP(D478,'03_Product_Master'!$A$1:$D$14,1,FALSE)='03_Clean_data'!D478,"Valid","Invalid"),"Invalid"))</f>
        <v>Valid</v>
      </c>
      <c r="N478" s="25" t="str">
        <f>IFERROR(VLOOKUP(tbl_clean_sales[[#This Row],[Product_ID]],'03_Product_Master'!$A$1:$D$14,2,FALSE),"Missing")</f>
        <v>Dish Wash</v>
      </c>
      <c r="O478" s="25" t="str">
        <f>IFERROR(VLOOKUP(tbl_clean_sales[[#This Row],[Product_ID]],'03_Product_Master'!$A$1:$D$14,3,FALSE),"Missing")</f>
        <v>Home Care</v>
      </c>
      <c r="P478" s="25">
        <f>IFERROR(VLOOKUP(tbl_clean_sales[[#This Row],[Product_ID]],'03_Product_Master'!$A$1:$D$14,4,FALSE),"Missing")</f>
        <v>190</v>
      </c>
      <c r="Q478" s="25" t="str">
        <f>IF('03_Clean_data'!E478="","Missing",IFERROR(IF(VLOOKUP(E478,'04_Branch_Master'!$A$1:$C$7,1,FALSE)='03_Clean_data'!E478,"Valid","Invalid"),"Invalid"))</f>
        <v>Valid</v>
      </c>
      <c r="R478" s="25" t="str">
        <f>IFERROR(VLOOKUP(tbl_clean_sales[[#This Row],[Branch_ID]],'04_Branch_Master'!$A$1:$C$7,2,FALSE),"Missing")</f>
        <v>Tirupur Central</v>
      </c>
      <c r="S478" s="25" t="str">
        <f>IFERROR(VLOOKUP(tbl_clean_sales[[#This Row],[Branch_ID]],'04_Branch_Master'!$A$1:$C$7,3,FALSE),"Missing")</f>
        <v>North</v>
      </c>
      <c r="T478" s="25" t="str">
        <f>C478&amp;"|"&amp;TEXT(tbl_clean_sales[[#This Row],[Date]],"yyyymm")</f>
        <v>E002|202606</v>
      </c>
      <c r="U478" s="25">
        <f>IFERROR(INDEX('05_Target_Master'!$A$1:$F$32,MATCH(tbl_clean_sales[[#This Row],[target key]],'05_Target_Master'!$F$1:$F$32,0),3),"Missing")</f>
        <v>117400</v>
      </c>
    </row>
    <row r="479" spans="1:21" x14ac:dyDescent="0.3">
      <c r="A479" s="21">
        <v>46154</v>
      </c>
      <c r="B479" s="22" t="s">
        <v>514</v>
      </c>
      <c r="C479" s="22" t="s">
        <v>12</v>
      </c>
      <c r="D479" s="22" t="s">
        <v>48</v>
      </c>
      <c r="E479" s="22" t="s">
        <v>14</v>
      </c>
      <c r="F479" s="22">
        <v>11</v>
      </c>
      <c r="G479" s="23">
        <v>2563.94</v>
      </c>
      <c r="H479" s="25" t="str">
        <f>IF(COUNTIF(tbl_clean_sales[Invoice_ID],tbl_clean_sales[[#This Row],[Invoice_ID]])&gt;1,"Duplicate","Unique")</f>
        <v>Unique</v>
      </c>
      <c r="I479" s="25"/>
      <c r="J47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79" s="25" t="str">
        <f>IFERROR(VLOOKUP(tbl_clean_sales[[#This Row],[Employee_ID]],'02_Employee_Master'!$A$1:$C$12,2,FALSE),"Employee Name Missing")</f>
        <v>Divya R</v>
      </c>
      <c r="L479" s="25" t="str">
        <f>IFERROR(VLOOKUP(tbl_clean_sales[[#This Row],[Employee_ID]],'02_Employee_Master'!$A$1:$C$12,3,FALSE),"Department Name Missing")</f>
        <v>Sales</v>
      </c>
      <c r="M479" s="25" t="str">
        <f>IF('03_Clean_data'!D479="","Missing",IFERROR(IF(VLOOKUP(D479,'03_Product_Master'!$A$1:$D$14,1,FALSE)='03_Clean_data'!D479,"Valid","Invalid"),"Invalid"))</f>
        <v>Valid</v>
      </c>
      <c r="N479" s="25" t="str">
        <f>IFERROR(VLOOKUP(tbl_clean_sales[[#This Row],[Product_ID]],'03_Product_Master'!$A$1:$D$14,2,FALSE),"Missing")</f>
        <v>Face Wash</v>
      </c>
      <c r="O479" s="25" t="str">
        <f>IFERROR(VLOOKUP(tbl_clean_sales[[#This Row],[Product_ID]],'03_Product_Master'!$A$1:$D$14,3,FALSE),"Missing")</f>
        <v>Personal Care</v>
      </c>
      <c r="P479" s="25">
        <f>IFERROR(VLOOKUP(tbl_clean_sales[[#This Row],[Product_ID]],'03_Product_Master'!$A$1:$D$14,4,FALSE),"Missing")</f>
        <v>260</v>
      </c>
      <c r="Q479" s="25" t="str">
        <f>IF('03_Clean_data'!E479="","Missing",IFERROR(IF(VLOOKUP(E479,'04_Branch_Master'!$A$1:$C$7,1,FALSE)='03_Clean_data'!E479,"Valid","Invalid"),"Invalid"))</f>
        <v>Valid</v>
      </c>
      <c r="R479" s="25" t="str">
        <f>IFERROR(VLOOKUP(tbl_clean_sales[[#This Row],[Branch_ID]],'04_Branch_Master'!$A$1:$C$7,2,FALSE),"Missing")</f>
        <v>Avinashi Road</v>
      </c>
      <c r="S479" s="25" t="str">
        <f>IFERROR(VLOOKUP(tbl_clean_sales[[#This Row],[Branch_ID]],'04_Branch_Master'!$A$1:$C$7,3,FALSE),"Missing")</f>
        <v>North</v>
      </c>
      <c r="T479" s="25" t="str">
        <f>C479&amp;"|"&amp;TEXT(tbl_clean_sales[[#This Row],[Date]],"yyyymm")</f>
        <v>E004|202605</v>
      </c>
      <c r="U479" s="25">
        <f>IFERROR(INDEX('05_Target_Master'!$A$1:$F$32,MATCH(tbl_clean_sales[[#This Row],[target key]],'05_Target_Master'!$F$1:$F$32,0),3),"Missing")</f>
        <v>176700</v>
      </c>
    </row>
    <row r="480" spans="1:21" x14ac:dyDescent="0.3">
      <c r="A480" s="21">
        <v>46180</v>
      </c>
      <c r="B480" s="22" t="s">
        <v>515</v>
      </c>
      <c r="C480" s="22" t="s">
        <v>40</v>
      </c>
      <c r="D480" s="22" t="s">
        <v>36</v>
      </c>
      <c r="E480" s="22" t="s">
        <v>26</v>
      </c>
      <c r="F480" s="22">
        <v>7</v>
      </c>
      <c r="G480" s="23">
        <v>1236.31</v>
      </c>
      <c r="H480" s="25" t="str">
        <f>IF(COUNTIF(tbl_clean_sales[Invoice_ID],tbl_clean_sales[[#This Row],[Invoice_ID]])&gt;1,"Duplicate","Unique")</f>
        <v>Unique</v>
      </c>
      <c r="I480" s="25"/>
      <c r="J48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0" s="25" t="str">
        <f>IFERROR(VLOOKUP(tbl_clean_sales[[#This Row],[Employee_ID]],'02_Employee_Master'!$A$1:$C$12,2,FALSE),"Employee Name Missing")</f>
        <v>Meena V</v>
      </c>
      <c r="L480" s="25" t="str">
        <f>IFERROR(VLOOKUP(tbl_clean_sales[[#This Row],[Employee_ID]],'02_Employee_Master'!$A$1:$C$12,3,FALSE),"Department Name Missing")</f>
        <v>Sales</v>
      </c>
      <c r="M480" s="25" t="str">
        <f>IF('03_Clean_data'!D480="","Missing",IFERROR(IF(VLOOKUP(D480,'03_Product_Master'!$A$1:$D$14,1,FALSE)='03_Clean_data'!D480,"Valid","Invalid"),"Invalid"))</f>
        <v>Valid</v>
      </c>
      <c r="N480" s="25" t="str">
        <f>IFERROR(VLOOKUP(tbl_clean_sales[[#This Row],[Product_ID]],'03_Product_Master'!$A$1:$D$14,2,FALSE),"Missing")</f>
        <v>Dish Wash</v>
      </c>
      <c r="O480" s="25" t="str">
        <f>IFERROR(VLOOKUP(tbl_clean_sales[[#This Row],[Product_ID]],'03_Product_Master'!$A$1:$D$14,3,FALSE),"Missing")</f>
        <v>Home Care</v>
      </c>
      <c r="P480" s="25">
        <f>IFERROR(VLOOKUP(tbl_clean_sales[[#This Row],[Product_ID]],'03_Product_Master'!$A$1:$D$14,4,FALSE),"Missing")</f>
        <v>190</v>
      </c>
      <c r="Q480" s="25" t="str">
        <f>IF('03_Clean_data'!E480="","Missing",IFERROR(IF(VLOOKUP(E480,'04_Branch_Master'!$A$1:$C$7,1,FALSE)='03_Clean_data'!E480,"Valid","Invalid"),"Invalid"))</f>
        <v>Valid</v>
      </c>
      <c r="R480" s="25" t="str">
        <f>IFERROR(VLOOKUP(tbl_clean_sales[[#This Row],[Branch_ID]],'04_Branch_Master'!$A$1:$C$7,2,FALSE),"Missing")</f>
        <v>Palladam</v>
      </c>
      <c r="S480" s="25" t="str">
        <f>IFERROR(VLOOKUP(tbl_clean_sales[[#This Row],[Branch_ID]],'04_Branch_Master'!$A$1:$C$7,3,FALSE),"Missing")</f>
        <v>South</v>
      </c>
      <c r="T480" s="25" t="str">
        <f>C480&amp;"|"&amp;TEXT(tbl_clean_sales[[#This Row],[Date]],"yyyymm")</f>
        <v>E006|202606</v>
      </c>
      <c r="U480" s="25">
        <f>IFERROR(INDEX('05_Target_Master'!$A$1:$F$32,MATCH(tbl_clean_sales[[#This Row],[target key]],'05_Target_Master'!$F$1:$F$32,0),3),"Missing")</f>
        <v>125800</v>
      </c>
    </row>
    <row r="481" spans="1:21" x14ac:dyDescent="0.3">
      <c r="A481" s="21">
        <v>46157</v>
      </c>
      <c r="B481" s="22" t="s">
        <v>516</v>
      </c>
      <c r="C481" s="22" t="s">
        <v>40</v>
      </c>
      <c r="D481" s="22" t="s">
        <v>48</v>
      </c>
      <c r="E481" s="22" t="s">
        <v>26</v>
      </c>
      <c r="F481" s="22">
        <v>11</v>
      </c>
      <c r="G481" s="23">
        <v>2617.6999999999998</v>
      </c>
      <c r="H481" s="25" t="str">
        <f>IF(COUNTIF(tbl_clean_sales[Invoice_ID],tbl_clean_sales[[#This Row],[Invoice_ID]])&gt;1,"Duplicate","Unique")</f>
        <v>Unique</v>
      </c>
      <c r="I481" s="25"/>
      <c r="J48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1" s="25" t="str">
        <f>IFERROR(VLOOKUP(tbl_clean_sales[[#This Row],[Employee_ID]],'02_Employee_Master'!$A$1:$C$12,2,FALSE),"Employee Name Missing")</f>
        <v>Meena V</v>
      </c>
      <c r="L481" s="25" t="str">
        <f>IFERROR(VLOOKUP(tbl_clean_sales[[#This Row],[Employee_ID]],'02_Employee_Master'!$A$1:$C$12,3,FALSE),"Department Name Missing")</f>
        <v>Sales</v>
      </c>
      <c r="M481" s="25" t="str">
        <f>IF('03_Clean_data'!D481="","Missing",IFERROR(IF(VLOOKUP(D481,'03_Product_Master'!$A$1:$D$14,1,FALSE)='03_Clean_data'!D481,"Valid","Invalid"),"Invalid"))</f>
        <v>Valid</v>
      </c>
      <c r="N481" s="25" t="str">
        <f>IFERROR(VLOOKUP(tbl_clean_sales[[#This Row],[Product_ID]],'03_Product_Master'!$A$1:$D$14,2,FALSE),"Missing")</f>
        <v>Face Wash</v>
      </c>
      <c r="O481" s="25" t="str">
        <f>IFERROR(VLOOKUP(tbl_clean_sales[[#This Row],[Product_ID]],'03_Product_Master'!$A$1:$D$14,3,FALSE),"Missing")</f>
        <v>Personal Care</v>
      </c>
      <c r="P481" s="25">
        <f>IFERROR(VLOOKUP(tbl_clean_sales[[#This Row],[Product_ID]],'03_Product_Master'!$A$1:$D$14,4,FALSE),"Missing")</f>
        <v>260</v>
      </c>
      <c r="Q481" s="25" t="str">
        <f>IF('03_Clean_data'!E481="","Missing",IFERROR(IF(VLOOKUP(E481,'04_Branch_Master'!$A$1:$C$7,1,FALSE)='03_Clean_data'!E481,"Valid","Invalid"),"Invalid"))</f>
        <v>Valid</v>
      </c>
      <c r="R481" s="25" t="str">
        <f>IFERROR(VLOOKUP(tbl_clean_sales[[#This Row],[Branch_ID]],'04_Branch_Master'!$A$1:$C$7,2,FALSE),"Missing")</f>
        <v>Palladam</v>
      </c>
      <c r="S481" s="25" t="str">
        <f>IFERROR(VLOOKUP(tbl_clean_sales[[#This Row],[Branch_ID]],'04_Branch_Master'!$A$1:$C$7,3,FALSE),"Missing")</f>
        <v>South</v>
      </c>
      <c r="T481" s="25" t="str">
        <f>C481&amp;"|"&amp;TEXT(tbl_clean_sales[[#This Row],[Date]],"yyyymm")</f>
        <v>E006|202605</v>
      </c>
      <c r="U481" s="25">
        <f>IFERROR(INDEX('05_Target_Master'!$A$1:$F$32,MATCH(tbl_clean_sales[[#This Row],[target key]],'05_Target_Master'!$F$1:$F$32,0),3),"Missing")</f>
        <v>141500</v>
      </c>
    </row>
    <row r="482" spans="1:21" x14ac:dyDescent="0.3">
      <c r="A482" s="21">
        <v>46151</v>
      </c>
      <c r="B482" s="22" t="s">
        <v>517</v>
      </c>
      <c r="C482" s="22" t="s">
        <v>29</v>
      </c>
      <c r="D482" s="22" t="s">
        <v>36</v>
      </c>
      <c r="E482" s="22" t="s">
        <v>10</v>
      </c>
      <c r="F482" s="22">
        <v>3</v>
      </c>
      <c r="G482" s="23">
        <v>548.58000000000004</v>
      </c>
      <c r="H482" s="25" t="str">
        <f>IF(COUNTIF(tbl_clean_sales[Invoice_ID],tbl_clean_sales[[#This Row],[Invoice_ID]])&gt;1,"Duplicate","Unique")</f>
        <v>Unique</v>
      </c>
      <c r="I482" s="25"/>
      <c r="J48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2" s="25" t="str">
        <f>IFERROR(VLOOKUP(tbl_clean_sales[[#This Row],[Employee_ID]],'02_Employee_Master'!$A$1:$C$12,2,FALSE),"Employee Name Missing")</f>
        <v>Swetha L</v>
      </c>
      <c r="L482" s="25" t="str">
        <f>IFERROR(VLOOKUP(tbl_clean_sales[[#This Row],[Employee_ID]],'02_Employee_Master'!$A$1:$C$12,3,FALSE),"Department Name Missing")</f>
        <v>Sales</v>
      </c>
      <c r="M482" s="25" t="str">
        <f>IF('03_Clean_data'!D482="","Missing",IFERROR(IF(VLOOKUP(D482,'03_Product_Master'!$A$1:$D$14,1,FALSE)='03_Clean_data'!D482,"Valid","Invalid"),"Invalid"))</f>
        <v>Valid</v>
      </c>
      <c r="N482" s="25" t="str">
        <f>IFERROR(VLOOKUP(tbl_clean_sales[[#This Row],[Product_ID]],'03_Product_Master'!$A$1:$D$14,2,FALSE),"Missing")</f>
        <v>Dish Wash</v>
      </c>
      <c r="O482" s="25" t="str">
        <f>IFERROR(VLOOKUP(tbl_clean_sales[[#This Row],[Product_ID]],'03_Product_Master'!$A$1:$D$14,3,FALSE),"Missing")</f>
        <v>Home Care</v>
      </c>
      <c r="P482" s="25">
        <f>IFERROR(VLOOKUP(tbl_clean_sales[[#This Row],[Product_ID]],'03_Product_Master'!$A$1:$D$14,4,FALSE),"Missing")</f>
        <v>190</v>
      </c>
      <c r="Q482" s="25" t="str">
        <f>IF('03_Clean_data'!E482="","Missing",IFERROR(IF(VLOOKUP(E482,'04_Branch_Master'!$A$1:$C$7,1,FALSE)='03_Clean_data'!E482,"Valid","Invalid"),"Invalid"))</f>
        <v>Valid</v>
      </c>
      <c r="R482" s="25" t="str">
        <f>IFERROR(VLOOKUP(tbl_clean_sales[[#This Row],[Branch_ID]],'04_Branch_Master'!$A$1:$C$7,2,FALSE),"Missing")</f>
        <v>Dharapuram</v>
      </c>
      <c r="S482" s="25" t="str">
        <f>IFERROR(VLOOKUP(tbl_clean_sales[[#This Row],[Branch_ID]],'04_Branch_Master'!$A$1:$C$7,3,FALSE),"Missing")</f>
        <v>South</v>
      </c>
      <c r="T482" s="25" t="str">
        <f>C482&amp;"|"&amp;TEXT(tbl_clean_sales[[#This Row],[Date]],"yyyymm")</f>
        <v>E010|202605</v>
      </c>
      <c r="U482" s="25">
        <f>IFERROR(INDEX('05_Target_Master'!$A$1:$F$32,MATCH(tbl_clean_sales[[#This Row],[target key]],'05_Target_Master'!$F$1:$F$32,0),3),"Missing")</f>
        <v>131500</v>
      </c>
    </row>
    <row r="483" spans="1:21" x14ac:dyDescent="0.3">
      <c r="A483" s="21">
        <v>46143</v>
      </c>
      <c r="B483" s="22" t="s">
        <v>518</v>
      </c>
      <c r="C483" s="22" t="s">
        <v>24</v>
      </c>
      <c r="D483" s="22" t="s">
        <v>9</v>
      </c>
      <c r="E483" s="22" t="s">
        <v>26</v>
      </c>
      <c r="F483" s="22">
        <v>12</v>
      </c>
      <c r="G483" s="23">
        <v>3303</v>
      </c>
      <c r="H483" s="25" t="str">
        <f>IF(COUNTIF(tbl_clean_sales[Invoice_ID],tbl_clean_sales[[#This Row],[Invoice_ID]])&gt;1,"Duplicate","Unique")</f>
        <v>Unique</v>
      </c>
      <c r="I483" s="25"/>
      <c r="J48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3" s="25" t="str">
        <f>IFERROR(VLOOKUP(tbl_clean_sales[[#This Row],[Employee_ID]],'02_Employee_Master'!$A$1:$C$12,2,FALSE),"Employee Name Missing")</f>
        <v>Karthik P</v>
      </c>
      <c r="L483" s="25" t="str">
        <f>IFERROR(VLOOKUP(tbl_clean_sales[[#This Row],[Employee_ID]],'02_Employee_Master'!$A$1:$C$12,3,FALSE),"Department Name Missing")</f>
        <v>Sales</v>
      </c>
      <c r="M483" s="25" t="str">
        <f>IF('03_Clean_data'!D483="","Missing",IFERROR(IF(VLOOKUP(D483,'03_Product_Master'!$A$1:$D$14,1,FALSE)='03_Clean_data'!D483,"Valid","Invalid"),"Invalid"))</f>
        <v>Valid</v>
      </c>
      <c r="N483" s="25" t="str">
        <f>IFERROR(VLOOKUP(tbl_clean_sales[[#This Row],[Product_ID]],'03_Product_Master'!$A$1:$D$14,2,FALSE),"Missing")</f>
        <v>Green Tea</v>
      </c>
      <c r="O483" s="25" t="str">
        <f>IFERROR(VLOOKUP(tbl_clean_sales[[#This Row],[Product_ID]],'03_Product_Master'!$A$1:$D$14,3,FALSE),"Missing")</f>
        <v>Beverages</v>
      </c>
      <c r="P483" s="25">
        <f>IFERROR(VLOOKUP(tbl_clean_sales[[#This Row],[Product_ID]],'03_Product_Master'!$A$1:$D$14,4,FALSE),"Missing")</f>
        <v>280</v>
      </c>
      <c r="Q483" s="25" t="str">
        <f>IF('03_Clean_data'!E483="","Missing",IFERROR(IF(VLOOKUP(E483,'04_Branch_Master'!$A$1:$C$7,1,FALSE)='03_Clean_data'!E483,"Valid","Invalid"),"Invalid"))</f>
        <v>Valid</v>
      </c>
      <c r="R483" s="25" t="str">
        <f>IFERROR(VLOOKUP(tbl_clean_sales[[#This Row],[Branch_ID]],'04_Branch_Master'!$A$1:$C$7,2,FALSE),"Missing")</f>
        <v>Palladam</v>
      </c>
      <c r="S483" s="25" t="str">
        <f>IFERROR(VLOOKUP(tbl_clean_sales[[#This Row],[Branch_ID]],'04_Branch_Master'!$A$1:$C$7,3,FALSE),"Missing")</f>
        <v>South</v>
      </c>
      <c r="T483" s="25" t="str">
        <f>C483&amp;"|"&amp;TEXT(tbl_clean_sales[[#This Row],[Date]],"yyyymm")</f>
        <v>E005|202605</v>
      </c>
      <c r="U483" s="25">
        <f>IFERROR(INDEX('05_Target_Master'!$A$1:$F$32,MATCH(tbl_clean_sales[[#This Row],[target key]],'05_Target_Master'!$F$1:$F$32,0),3),"Missing")</f>
        <v>143700</v>
      </c>
    </row>
    <row r="484" spans="1:21" x14ac:dyDescent="0.3">
      <c r="A484" s="21">
        <v>46162</v>
      </c>
      <c r="B484" s="22" t="s">
        <v>519</v>
      </c>
      <c r="C484" s="22" t="s">
        <v>46</v>
      </c>
      <c r="D484" s="22" t="s">
        <v>36</v>
      </c>
      <c r="E484" s="22" t="s">
        <v>32</v>
      </c>
      <c r="F484" s="22">
        <v>7</v>
      </c>
      <c r="G484" s="23">
        <v>1262.48</v>
      </c>
      <c r="H484" s="25" t="str">
        <f>IF(COUNTIF(tbl_clean_sales[Invoice_ID],tbl_clean_sales[[#This Row],[Invoice_ID]])&gt;1,"Duplicate","Unique")</f>
        <v>Unique</v>
      </c>
      <c r="I484" s="25"/>
      <c r="J48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4" s="25" t="str">
        <f>IFERROR(VLOOKUP(tbl_clean_sales[[#This Row],[Employee_ID]],'02_Employee_Master'!$A$1:$C$12,2,FALSE),"Employee Name Missing")</f>
        <v>Suresh B</v>
      </c>
      <c r="L484" s="25" t="str">
        <f>IFERROR(VLOOKUP(tbl_clean_sales[[#This Row],[Employee_ID]],'02_Employee_Master'!$A$1:$C$12,3,FALSE),"Department Name Missing")</f>
        <v>Sales</v>
      </c>
      <c r="M484" s="25" t="str">
        <f>IF('03_Clean_data'!D484="","Missing",IFERROR(IF(VLOOKUP(D484,'03_Product_Master'!$A$1:$D$14,1,FALSE)='03_Clean_data'!D484,"Valid","Invalid"),"Invalid"))</f>
        <v>Valid</v>
      </c>
      <c r="N484" s="25" t="str">
        <f>IFERROR(VLOOKUP(tbl_clean_sales[[#This Row],[Product_ID]],'03_Product_Master'!$A$1:$D$14,2,FALSE),"Missing")</f>
        <v>Dish Wash</v>
      </c>
      <c r="O484" s="25" t="str">
        <f>IFERROR(VLOOKUP(tbl_clean_sales[[#This Row],[Product_ID]],'03_Product_Master'!$A$1:$D$14,3,FALSE),"Missing")</f>
        <v>Home Care</v>
      </c>
      <c r="P484" s="25">
        <f>IFERROR(VLOOKUP(tbl_clean_sales[[#This Row],[Product_ID]],'03_Product_Master'!$A$1:$D$14,4,FALSE),"Missing")</f>
        <v>190</v>
      </c>
      <c r="Q484" s="25" t="str">
        <f>IF('03_Clean_data'!E484="","Missing",IFERROR(IF(VLOOKUP(E484,'04_Branch_Master'!$A$1:$C$7,1,FALSE)='03_Clean_data'!E484,"Valid","Invalid"),"Invalid"))</f>
        <v>Valid</v>
      </c>
      <c r="R484" s="25" t="str">
        <f>IFERROR(VLOOKUP(tbl_clean_sales[[#This Row],[Branch_ID]],'04_Branch_Master'!$A$1:$C$7,2,FALSE),"Missing")</f>
        <v>Kangeyam</v>
      </c>
      <c r="S484" s="25" t="str">
        <f>IFERROR(VLOOKUP(tbl_clean_sales[[#This Row],[Branch_ID]],'04_Branch_Master'!$A$1:$C$7,3,FALSE),"Missing")</f>
        <v>East</v>
      </c>
      <c r="T484" s="25" t="str">
        <f>C484&amp;"|"&amp;TEXT(tbl_clean_sales[[#This Row],[Date]],"yyyymm")</f>
        <v>E007|202605</v>
      </c>
      <c r="U484" s="25">
        <f>IFERROR(INDEX('05_Target_Master'!$A$1:$F$32,MATCH(tbl_clean_sales[[#This Row],[target key]],'05_Target_Master'!$F$1:$F$32,0),3),"Missing")</f>
        <v>140000</v>
      </c>
    </row>
    <row r="485" spans="1:21" x14ac:dyDescent="0.3">
      <c r="A485" s="21">
        <v>46175</v>
      </c>
      <c r="B485" s="22" t="s">
        <v>520</v>
      </c>
      <c r="C485" s="22" t="s">
        <v>8</v>
      </c>
      <c r="D485" s="22" t="s">
        <v>19</v>
      </c>
      <c r="E485" s="22" t="s">
        <v>14</v>
      </c>
      <c r="F485" s="22">
        <v>9</v>
      </c>
      <c r="G485" s="23">
        <v>2028.55</v>
      </c>
      <c r="H485" s="25" t="str">
        <f>IF(COUNTIF(tbl_clean_sales[Invoice_ID],tbl_clean_sales[[#This Row],[Invoice_ID]])&gt;1,"Duplicate","Unique")</f>
        <v>Unique</v>
      </c>
      <c r="I485" s="25"/>
      <c r="J48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5" s="25" t="str">
        <f>IFERROR(VLOOKUP(tbl_clean_sales[[#This Row],[Employee_ID]],'02_Employee_Master'!$A$1:$C$12,2,FALSE),"Employee Name Missing")</f>
        <v>Vignesh R</v>
      </c>
      <c r="L485" s="25" t="str">
        <f>IFERROR(VLOOKUP(tbl_clean_sales[[#This Row],[Employee_ID]],'02_Employee_Master'!$A$1:$C$12,3,FALSE),"Department Name Missing")</f>
        <v>Sales</v>
      </c>
      <c r="M485" s="25" t="str">
        <f>IF('03_Clean_data'!D485="","Missing",IFERROR(IF(VLOOKUP(D485,'03_Product_Master'!$A$1:$D$14,1,FALSE)='03_Clean_data'!D485,"Valid","Invalid"),"Invalid"))</f>
        <v>Valid</v>
      </c>
      <c r="N485" s="25" t="str">
        <f>IFERROR(VLOOKUP(tbl_clean_sales[[#This Row],[Product_ID]],'03_Product_Master'!$A$1:$D$14,2,FALSE),"Missing")</f>
        <v>Floor Cleaner</v>
      </c>
      <c r="O485" s="25" t="str">
        <f>IFERROR(VLOOKUP(tbl_clean_sales[[#This Row],[Product_ID]],'03_Product_Master'!$A$1:$D$14,3,FALSE),"Missing")</f>
        <v>Home Care</v>
      </c>
      <c r="P485" s="25">
        <f>IFERROR(VLOOKUP(tbl_clean_sales[[#This Row],[Product_ID]],'03_Product_Master'!$A$1:$D$14,4,FALSE),"Missing")</f>
        <v>230</v>
      </c>
      <c r="Q485" s="25" t="str">
        <f>IF('03_Clean_data'!E485="","Missing",IFERROR(IF(VLOOKUP(E485,'04_Branch_Master'!$A$1:$C$7,1,FALSE)='03_Clean_data'!E485,"Valid","Invalid"),"Invalid"))</f>
        <v>Valid</v>
      </c>
      <c r="R485" s="25" t="str">
        <f>IFERROR(VLOOKUP(tbl_clean_sales[[#This Row],[Branch_ID]],'04_Branch_Master'!$A$1:$C$7,2,FALSE),"Missing")</f>
        <v>Avinashi Road</v>
      </c>
      <c r="S485" s="25" t="str">
        <f>IFERROR(VLOOKUP(tbl_clean_sales[[#This Row],[Branch_ID]],'04_Branch_Master'!$A$1:$C$7,3,FALSE),"Missing")</f>
        <v>North</v>
      </c>
      <c r="T485" s="25" t="str">
        <f>C485&amp;"|"&amp;TEXT(tbl_clean_sales[[#This Row],[Date]],"yyyymm")</f>
        <v>E009|202606</v>
      </c>
      <c r="U485" s="25">
        <f>IFERROR(INDEX('05_Target_Master'!$A$1:$F$32,MATCH(tbl_clean_sales[[#This Row],[target key]],'05_Target_Master'!$F$1:$F$32,0),3),"Missing")</f>
        <v>156700</v>
      </c>
    </row>
    <row r="486" spans="1:21" x14ac:dyDescent="0.3">
      <c r="A486" s="21">
        <v>46149</v>
      </c>
      <c r="B486" s="22" t="s">
        <v>521</v>
      </c>
      <c r="C486" s="22" t="s">
        <v>18</v>
      </c>
      <c r="D486" s="22" t="s">
        <v>53</v>
      </c>
      <c r="E486" s="22" t="s">
        <v>14</v>
      </c>
      <c r="F486" s="22">
        <v>8</v>
      </c>
      <c r="G486" s="23">
        <v>2591.88</v>
      </c>
      <c r="H486" s="25" t="str">
        <f>IF(COUNTIF(tbl_clean_sales[Invoice_ID],tbl_clean_sales[[#This Row],[Invoice_ID]])&gt;1,"Duplicate","Unique")</f>
        <v>Unique</v>
      </c>
      <c r="I486" s="25"/>
      <c r="J48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6" s="25" t="str">
        <f>IFERROR(VLOOKUP(tbl_clean_sales[[#This Row],[Employee_ID]],'02_Employee_Master'!$A$1:$C$12,2,FALSE),"Employee Name Missing")</f>
        <v>Rahul M</v>
      </c>
      <c r="L486" s="25" t="str">
        <f>IFERROR(VLOOKUP(tbl_clean_sales[[#This Row],[Employee_ID]],'02_Employee_Master'!$A$1:$C$12,3,FALSE),"Department Name Missing")</f>
        <v>Sales</v>
      </c>
      <c r="M486" s="25" t="str">
        <f>IF('03_Clean_data'!D486="","Missing",IFERROR(IF(VLOOKUP(D486,'03_Product_Master'!$A$1:$D$14,1,FALSE)='03_Clean_data'!D486,"Valid","Invalid"),"Invalid"))</f>
        <v>Valid</v>
      </c>
      <c r="N486" s="25" t="str">
        <f>IFERROR(VLOOKUP(tbl_clean_sales[[#This Row],[Product_ID]],'03_Product_Master'!$A$1:$D$14,2,FALSE),"Missing")</f>
        <v>Instant Coffee</v>
      </c>
      <c r="O486" s="25" t="str">
        <f>IFERROR(VLOOKUP(tbl_clean_sales[[#This Row],[Product_ID]],'03_Product_Master'!$A$1:$D$14,3,FALSE),"Missing")</f>
        <v>Beverages</v>
      </c>
      <c r="P486" s="25">
        <f>IFERROR(VLOOKUP(tbl_clean_sales[[#This Row],[Product_ID]],'03_Product_Master'!$A$1:$D$14,4,FALSE),"Missing")</f>
        <v>350</v>
      </c>
      <c r="Q486" s="25" t="str">
        <f>IF('03_Clean_data'!E486="","Missing",IFERROR(IF(VLOOKUP(E486,'04_Branch_Master'!$A$1:$C$7,1,FALSE)='03_Clean_data'!E486,"Valid","Invalid"),"Invalid"))</f>
        <v>Valid</v>
      </c>
      <c r="R486" s="25" t="str">
        <f>IFERROR(VLOOKUP(tbl_clean_sales[[#This Row],[Branch_ID]],'04_Branch_Master'!$A$1:$C$7,2,FALSE),"Missing")</f>
        <v>Avinashi Road</v>
      </c>
      <c r="S486" s="25" t="str">
        <f>IFERROR(VLOOKUP(tbl_clean_sales[[#This Row],[Branch_ID]],'04_Branch_Master'!$A$1:$C$7,3,FALSE),"Missing")</f>
        <v>North</v>
      </c>
      <c r="T486" s="25" t="str">
        <f>C486&amp;"|"&amp;TEXT(tbl_clean_sales[[#This Row],[Date]],"yyyymm")</f>
        <v>E003|202605</v>
      </c>
      <c r="U486" s="25">
        <f>IFERROR(INDEX('05_Target_Master'!$A$1:$F$32,MATCH(tbl_clean_sales[[#This Row],[target key]],'05_Target_Master'!$F$1:$F$32,0),3),"Missing")</f>
        <v>126000</v>
      </c>
    </row>
    <row r="487" spans="1:21" x14ac:dyDescent="0.3">
      <c r="A487" s="21">
        <v>46158</v>
      </c>
      <c r="B487" s="22" t="s">
        <v>522</v>
      </c>
      <c r="C487" s="22" t="s">
        <v>74</v>
      </c>
      <c r="D487" s="22" t="s">
        <v>48</v>
      </c>
      <c r="E487" s="22" t="s">
        <v>22</v>
      </c>
      <c r="F487" s="22">
        <v>7</v>
      </c>
      <c r="G487" s="23">
        <v>1609.5</v>
      </c>
      <c r="H487" s="25" t="str">
        <f>IF(COUNTIF(tbl_clean_sales[Invoice_ID],tbl_clean_sales[[#This Row],[Invoice_ID]])&gt;1,"Duplicate","Unique")</f>
        <v>Unique</v>
      </c>
      <c r="I487" s="25"/>
      <c r="J48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7" s="25" t="str">
        <f>IFERROR(VLOOKUP(tbl_clean_sales[[#This Row],[Employee_ID]],'02_Employee_Master'!$A$1:$C$12,2,FALSE),"Employee Name Missing")</f>
        <v>Arun Kumar</v>
      </c>
      <c r="L487" s="25" t="str">
        <f>IFERROR(VLOOKUP(tbl_clean_sales[[#This Row],[Employee_ID]],'02_Employee_Master'!$A$1:$C$12,3,FALSE),"Department Name Missing")</f>
        <v>Sales</v>
      </c>
      <c r="M487" s="25" t="str">
        <f>IF('03_Clean_data'!D487="","Missing",IFERROR(IF(VLOOKUP(D487,'03_Product_Master'!$A$1:$D$14,1,FALSE)='03_Clean_data'!D487,"Valid","Invalid"),"Invalid"))</f>
        <v>Valid</v>
      </c>
      <c r="N487" s="25" t="str">
        <f>IFERROR(VLOOKUP(tbl_clean_sales[[#This Row],[Product_ID]],'03_Product_Master'!$A$1:$D$14,2,FALSE),"Missing")</f>
        <v>Face Wash</v>
      </c>
      <c r="O487" s="25" t="str">
        <f>IFERROR(VLOOKUP(tbl_clean_sales[[#This Row],[Product_ID]],'03_Product_Master'!$A$1:$D$14,3,FALSE),"Missing")</f>
        <v>Personal Care</v>
      </c>
      <c r="P487" s="25">
        <f>IFERROR(VLOOKUP(tbl_clean_sales[[#This Row],[Product_ID]],'03_Product_Master'!$A$1:$D$14,4,FALSE),"Missing")</f>
        <v>260</v>
      </c>
      <c r="Q487" s="25" t="str">
        <f>IF('03_Clean_data'!E487="","Missing",IFERROR(IF(VLOOKUP(E487,'04_Branch_Master'!$A$1:$C$7,1,FALSE)='03_Clean_data'!E487,"Valid","Invalid"),"Invalid"))</f>
        <v>Valid</v>
      </c>
      <c r="R487" s="25" t="str">
        <f>IFERROR(VLOOKUP(tbl_clean_sales[[#This Row],[Branch_ID]],'04_Branch_Master'!$A$1:$C$7,2,FALSE),"Missing")</f>
        <v>Tirupur Central</v>
      </c>
      <c r="S487" s="25" t="str">
        <f>IFERROR(VLOOKUP(tbl_clean_sales[[#This Row],[Branch_ID]],'04_Branch_Master'!$A$1:$C$7,3,FALSE),"Missing")</f>
        <v>North</v>
      </c>
      <c r="T487" s="25" t="str">
        <f>C487&amp;"|"&amp;TEXT(tbl_clean_sales[[#This Row],[Date]],"yyyymm")</f>
        <v>E001|202605</v>
      </c>
      <c r="U487" s="25">
        <f>IFERROR(INDEX('05_Target_Master'!$A$1:$F$32,MATCH(tbl_clean_sales[[#This Row],[target key]],'05_Target_Master'!$F$1:$F$32,0),3),"Missing")</f>
        <v>169500</v>
      </c>
    </row>
    <row r="488" spans="1:21" x14ac:dyDescent="0.3">
      <c r="A488" s="21">
        <v>46177</v>
      </c>
      <c r="B488" s="22" t="s">
        <v>523</v>
      </c>
      <c r="C488" s="22" t="s">
        <v>38</v>
      </c>
      <c r="D488" s="22" t="s">
        <v>16</v>
      </c>
      <c r="E488" s="22" t="s">
        <v>32</v>
      </c>
      <c r="F488" s="22">
        <v>7</v>
      </c>
      <c r="G488" s="23">
        <v>1985.08</v>
      </c>
      <c r="H488" s="25" t="str">
        <f>IF(COUNTIF(tbl_clean_sales[Invoice_ID],tbl_clean_sales[[#This Row],[Invoice_ID]])&gt;1,"Duplicate","Unique")</f>
        <v>Unique</v>
      </c>
      <c r="I488" s="25"/>
      <c r="J48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8" s="25" t="str">
        <f>IFERROR(VLOOKUP(tbl_clean_sales[[#This Row],[Employee_ID]],'02_Employee_Master'!$A$1:$C$12,2,FALSE),"Employee Name Missing")</f>
        <v>Nandhini K</v>
      </c>
      <c r="L488" s="25" t="str">
        <f>IFERROR(VLOOKUP(tbl_clean_sales[[#This Row],[Employee_ID]],'02_Employee_Master'!$A$1:$C$12,3,FALSE),"Department Name Missing")</f>
        <v>Sales</v>
      </c>
      <c r="M488" s="25" t="str">
        <f>IF('03_Clean_data'!D488="","Missing",IFERROR(IF(VLOOKUP(D488,'03_Product_Master'!$A$1:$D$14,1,FALSE)='03_Clean_data'!D488,"Valid","Invalid"),"Invalid"))</f>
        <v>Valid</v>
      </c>
      <c r="N488" s="25" t="str">
        <f>IFERROR(VLOOKUP(tbl_clean_sales[[#This Row],[Product_ID]],'03_Product_Master'!$A$1:$D$14,2,FALSE),"Missing")</f>
        <v>Shampoo</v>
      </c>
      <c r="O488" s="25" t="str">
        <f>IFERROR(VLOOKUP(tbl_clean_sales[[#This Row],[Product_ID]],'03_Product_Master'!$A$1:$D$14,3,FALSE),"Missing")</f>
        <v>Personal Care</v>
      </c>
      <c r="P488" s="25">
        <f>IFERROR(VLOOKUP(tbl_clean_sales[[#This Row],[Product_ID]],'03_Product_Master'!$A$1:$D$14,4,FALSE),"Missing")</f>
        <v>310</v>
      </c>
      <c r="Q488" s="25" t="str">
        <f>IF('03_Clean_data'!E488="","Missing",IFERROR(IF(VLOOKUP(E488,'04_Branch_Master'!$A$1:$C$7,1,FALSE)='03_Clean_data'!E488,"Valid","Invalid"),"Invalid"))</f>
        <v>Valid</v>
      </c>
      <c r="R488" s="25" t="str">
        <f>IFERROR(VLOOKUP(tbl_clean_sales[[#This Row],[Branch_ID]],'04_Branch_Master'!$A$1:$C$7,2,FALSE),"Missing")</f>
        <v>Kangeyam</v>
      </c>
      <c r="S488" s="25" t="str">
        <f>IFERROR(VLOOKUP(tbl_clean_sales[[#This Row],[Branch_ID]],'04_Branch_Master'!$A$1:$C$7,3,FALSE),"Missing")</f>
        <v>East</v>
      </c>
      <c r="T488" s="25" t="str">
        <f>C488&amp;"|"&amp;TEXT(tbl_clean_sales[[#This Row],[Date]],"yyyymm")</f>
        <v>E008|202606</v>
      </c>
      <c r="U488" s="25">
        <f>IFERROR(INDEX('05_Target_Master'!$A$1:$F$32,MATCH(tbl_clean_sales[[#This Row],[target key]],'05_Target_Master'!$F$1:$F$32,0),3),"Missing")</f>
        <v>119200</v>
      </c>
    </row>
    <row r="489" spans="1:21" x14ac:dyDescent="0.3">
      <c r="A489" s="21">
        <v>46169</v>
      </c>
      <c r="B489" s="22" t="s">
        <v>524</v>
      </c>
      <c r="C489" s="22" t="s">
        <v>38</v>
      </c>
      <c r="D489" s="22" t="s">
        <v>53</v>
      </c>
      <c r="E489" s="22" t="s">
        <v>32</v>
      </c>
      <c r="F489" s="22">
        <v>1</v>
      </c>
      <c r="G489" s="23">
        <v>316.57</v>
      </c>
      <c r="H489" s="25" t="str">
        <f>IF(COUNTIF(tbl_clean_sales[Invoice_ID],tbl_clean_sales[[#This Row],[Invoice_ID]])&gt;1,"Duplicate","Unique")</f>
        <v>Unique</v>
      </c>
      <c r="I489" s="25"/>
      <c r="J48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89" s="25" t="str">
        <f>IFERROR(VLOOKUP(tbl_clean_sales[[#This Row],[Employee_ID]],'02_Employee_Master'!$A$1:$C$12,2,FALSE),"Employee Name Missing")</f>
        <v>Nandhini K</v>
      </c>
      <c r="L489" s="25" t="str">
        <f>IFERROR(VLOOKUP(tbl_clean_sales[[#This Row],[Employee_ID]],'02_Employee_Master'!$A$1:$C$12,3,FALSE),"Department Name Missing")</f>
        <v>Sales</v>
      </c>
      <c r="M489" s="25" t="str">
        <f>IF('03_Clean_data'!D489="","Missing",IFERROR(IF(VLOOKUP(D489,'03_Product_Master'!$A$1:$D$14,1,FALSE)='03_Clean_data'!D489,"Valid","Invalid"),"Invalid"))</f>
        <v>Valid</v>
      </c>
      <c r="N489" s="25" t="str">
        <f>IFERROR(VLOOKUP(tbl_clean_sales[[#This Row],[Product_ID]],'03_Product_Master'!$A$1:$D$14,2,FALSE),"Missing")</f>
        <v>Instant Coffee</v>
      </c>
      <c r="O489" s="25" t="str">
        <f>IFERROR(VLOOKUP(tbl_clean_sales[[#This Row],[Product_ID]],'03_Product_Master'!$A$1:$D$14,3,FALSE),"Missing")</f>
        <v>Beverages</v>
      </c>
      <c r="P489" s="25">
        <f>IFERROR(VLOOKUP(tbl_clean_sales[[#This Row],[Product_ID]],'03_Product_Master'!$A$1:$D$14,4,FALSE),"Missing")</f>
        <v>350</v>
      </c>
      <c r="Q489" s="25" t="str">
        <f>IF('03_Clean_data'!E489="","Missing",IFERROR(IF(VLOOKUP(E489,'04_Branch_Master'!$A$1:$C$7,1,FALSE)='03_Clean_data'!E489,"Valid","Invalid"),"Invalid"))</f>
        <v>Valid</v>
      </c>
      <c r="R489" s="25" t="str">
        <f>IFERROR(VLOOKUP(tbl_clean_sales[[#This Row],[Branch_ID]],'04_Branch_Master'!$A$1:$C$7,2,FALSE),"Missing")</f>
        <v>Kangeyam</v>
      </c>
      <c r="S489" s="25" t="str">
        <f>IFERROR(VLOOKUP(tbl_clean_sales[[#This Row],[Branch_ID]],'04_Branch_Master'!$A$1:$C$7,3,FALSE),"Missing")</f>
        <v>East</v>
      </c>
      <c r="T489" s="25" t="str">
        <f>C489&amp;"|"&amp;TEXT(tbl_clean_sales[[#This Row],[Date]],"yyyymm")</f>
        <v>E008|202605</v>
      </c>
      <c r="U489" s="25">
        <f>IFERROR(INDEX('05_Target_Master'!$A$1:$F$32,MATCH(tbl_clean_sales[[#This Row],[target key]],'05_Target_Master'!$F$1:$F$32,0),3),"Missing")</f>
        <v>134100</v>
      </c>
    </row>
    <row r="490" spans="1:21" x14ac:dyDescent="0.3">
      <c r="A490" s="21">
        <v>46141</v>
      </c>
      <c r="B490" s="22" t="s">
        <v>525</v>
      </c>
      <c r="C490" s="22" t="s">
        <v>24</v>
      </c>
      <c r="D490" s="22" t="s">
        <v>25</v>
      </c>
      <c r="E490" s="22" t="s">
        <v>26</v>
      </c>
      <c r="F490" s="22">
        <v>9</v>
      </c>
      <c r="G490" s="23">
        <v>3649.06</v>
      </c>
      <c r="H490" s="25" t="str">
        <f>IF(COUNTIF(tbl_clean_sales[Invoice_ID],tbl_clean_sales[[#This Row],[Invoice_ID]])&gt;1,"Duplicate","Unique")</f>
        <v>Unique</v>
      </c>
      <c r="I490" s="25"/>
      <c r="J49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0" s="25" t="str">
        <f>IFERROR(VLOOKUP(tbl_clean_sales[[#This Row],[Employee_ID]],'02_Employee_Master'!$A$1:$C$12,2,FALSE),"Employee Name Missing")</f>
        <v>Karthik P</v>
      </c>
      <c r="L490" s="25" t="str">
        <f>IFERROR(VLOOKUP(tbl_clean_sales[[#This Row],[Employee_ID]],'02_Employee_Master'!$A$1:$C$12,3,FALSE),"Department Name Missing")</f>
        <v>Sales</v>
      </c>
      <c r="M490" s="25" t="str">
        <f>IF('03_Clean_data'!D490="","Missing",IFERROR(IF(VLOOKUP(D490,'03_Product_Master'!$A$1:$D$14,1,FALSE)='03_Clean_data'!D490,"Valid","Invalid"),"Invalid"))</f>
        <v>Valid</v>
      </c>
      <c r="N490" s="25" t="str">
        <f>IFERROR(VLOOKUP(tbl_clean_sales[[#This Row],[Product_ID]],'03_Product_Master'!$A$1:$D$14,2,FALSE),"Missing")</f>
        <v>Premium Coffee</v>
      </c>
      <c r="O490" s="25" t="str">
        <f>IFERROR(VLOOKUP(tbl_clean_sales[[#This Row],[Product_ID]],'03_Product_Master'!$A$1:$D$14,3,FALSE),"Missing")</f>
        <v>Beverages</v>
      </c>
      <c r="P490" s="25">
        <f>IFERROR(VLOOKUP(tbl_clean_sales[[#This Row],[Product_ID]],'03_Product_Master'!$A$1:$D$14,4,FALSE),"Missing")</f>
        <v>420</v>
      </c>
      <c r="Q490" s="25" t="str">
        <f>IF('03_Clean_data'!E490="","Missing",IFERROR(IF(VLOOKUP(E490,'04_Branch_Master'!$A$1:$C$7,1,FALSE)='03_Clean_data'!E490,"Valid","Invalid"),"Invalid"))</f>
        <v>Valid</v>
      </c>
      <c r="R490" s="25" t="str">
        <f>IFERROR(VLOOKUP(tbl_clean_sales[[#This Row],[Branch_ID]],'04_Branch_Master'!$A$1:$C$7,2,FALSE),"Missing")</f>
        <v>Palladam</v>
      </c>
      <c r="S490" s="25" t="str">
        <f>IFERROR(VLOOKUP(tbl_clean_sales[[#This Row],[Branch_ID]],'04_Branch_Master'!$A$1:$C$7,3,FALSE),"Missing")</f>
        <v>South</v>
      </c>
      <c r="T490" s="25" t="str">
        <f>C490&amp;"|"&amp;TEXT(tbl_clean_sales[[#This Row],[Date]],"yyyymm")</f>
        <v>E005|202604</v>
      </c>
      <c r="U490" s="25">
        <f>IFERROR(INDEX('05_Target_Master'!$A$1:$F$32,MATCH(tbl_clean_sales[[#This Row],[target key]],'05_Target_Master'!$F$1:$F$32,0),3),"Missing")</f>
        <v>133000</v>
      </c>
    </row>
    <row r="491" spans="1:21" x14ac:dyDescent="0.3">
      <c r="A491" s="21">
        <v>46171</v>
      </c>
      <c r="B491" s="22" t="s">
        <v>526</v>
      </c>
      <c r="C491" s="22" t="s">
        <v>29</v>
      </c>
      <c r="D491" s="22" t="s">
        <v>19</v>
      </c>
      <c r="E491" s="22" t="s">
        <v>10</v>
      </c>
      <c r="F491" s="22">
        <v>8</v>
      </c>
      <c r="G491" s="23">
        <v>1718.62</v>
      </c>
      <c r="H491" s="25" t="str">
        <f>IF(COUNTIF(tbl_clean_sales[Invoice_ID],tbl_clean_sales[[#This Row],[Invoice_ID]])&gt;1,"Duplicate","Unique")</f>
        <v>Unique</v>
      </c>
      <c r="I491" s="25"/>
      <c r="J49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1" s="25" t="str">
        <f>IFERROR(VLOOKUP(tbl_clean_sales[[#This Row],[Employee_ID]],'02_Employee_Master'!$A$1:$C$12,2,FALSE),"Employee Name Missing")</f>
        <v>Swetha L</v>
      </c>
      <c r="L491" s="25" t="str">
        <f>IFERROR(VLOOKUP(tbl_clean_sales[[#This Row],[Employee_ID]],'02_Employee_Master'!$A$1:$C$12,3,FALSE),"Department Name Missing")</f>
        <v>Sales</v>
      </c>
      <c r="M491" s="25" t="str">
        <f>IF('03_Clean_data'!D491="","Missing",IFERROR(IF(VLOOKUP(D491,'03_Product_Master'!$A$1:$D$14,1,FALSE)='03_Clean_data'!D491,"Valid","Invalid"),"Invalid"))</f>
        <v>Valid</v>
      </c>
      <c r="N491" s="25" t="str">
        <f>IFERROR(VLOOKUP(tbl_clean_sales[[#This Row],[Product_ID]],'03_Product_Master'!$A$1:$D$14,2,FALSE),"Missing")</f>
        <v>Floor Cleaner</v>
      </c>
      <c r="O491" s="25" t="str">
        <f>IFERROR(VLOOKUP(tbl_clean_sales[[#This Row],[Product_ID]],'03_Product_Master'!$A$1:$D$14,3,FALSE),"Missing")</f>
        <v>Home Care</v>
      </c>
      <c r="P491" s="25">
        <f>IFERROR(VLOOKUP(tbl_clean_sales[[#This Row],[Product_ID]],'03_Product_Master'!$A$1:$D$14,4,FALSE),"Missing")</f>
        <v>230</v>
      </c>
      <c r="Q491" s="25" t="str">
        <f>IF('03_Clean_data'!E491="","Missing",IFERROR(IF(VLOOKUP(E491,'04_Branch_Master'!$A$1:$C$7,1,FALSE)='03_Clean_data'!E491,"Valid","Invalid"),"Invalid"))</f>
        <v>Valid</v>
      </c>
      <c r="R491" s="25" t="str">
        <f>IFERROR(VLOOKUP(tbl_clean_sales[[#This Row],[Branch_ID]],'04_Branch_Master'!$A$1:$C$7,2,FALSE),"Missing")</f>
        <v>Dharapuram</v>
      </c>
      <c r="S491" s="25" t="str">
        <f>IFERROR(VLOOKUP(tbl_clean_sales[[#This Row],[Branch_ID]],'04_Branch_Master'!$A$1:$C$7,3,FALSE),"Missing")</f>
        <v>South</v>
      </c>
      <c r="T491" s="25" t="str">
        <f>C491&amp;"|"&amp;TEXT(tbl_clean_sales[[#This Row],[Date]],"yyyymm")</f>
        <v>E010|202605</v>
      </c>
      <c r="U491" s="25">
        <f>IFERROR(INDEX('05_Target_Master'!$A$1:$F$32,MATCH(tbl_clean_sales[[#This Row],[target key]],'05_Target_Master'!$F$1:$F$32,0),3),"Missing")</f>
        <v>131500</v>
      </c>
    </row>
    <row r="492" spans="1:21" x14ac:dyDescent="0.3">
      <c r="A492" s="21">
        <v>46127</v>
      </c>
      <c r="B492" s="22" t="s">
        <v>527</v>
      </c>
      <c r="C492" s="22" t="s">
        <v>29</v>
      </c>
      <c r="D492" s="22" t="s">
        <v>9</v>
      </c>
      <c r="E492" s="22" t="s">
        <v>10</v>
      </c>
      <c r="F492" s="22">
        <v>9</v>
      </c>
      <c r="G492" s="23">
        <v>2271.04</v>
      </c>
      <c r="H492" s="25" t="str">
        <f>IF(COUNTIF(tbl_clean_sales[Invoice_ID],tbl_clean_sales[[#This Row],[Invoice_ID]])&gt;1,"Duplicate","Unique")</f>
        <v>Unique</v>
      </c>
      <c r="I492" s="25"/>
      <c r="J49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2" s="25" t="str">
        <f>IFERROR(VLOOKUP(tbl_clean_sales[[#This Row],[Employee_ID]],'02_Employee_Master'!$A$1:$C$12,2,FALSE),"Employee Name Missing")</f>
        <v>Swetha L</v>
      </c>
      <c r="L492" s="25" t="str">
        <f>IFERROR(VLOOKUP(tbl_clean_sales[[#This Row],[Employee_ID]],'02_Employee_Master'!$A$1:$C$12,3,FALSE),"Department Name Missing")</f>
        <v>Sales</v>
      </c>
      <c r="M492" s="25" t="str">
        <f>IF('03_Clean_data'!D492="","Missing",IFERROR(IF(VLOOKUP(D492,'03_Product_Master'!$A$1:$D$14,1,FALSE)='03_Clean_data'!D492,"Valid","Invalid"),"Invalid"))</f>
        <v>Valid</v>
      </c>
      <c r="N492" s="25" t="str">
        <f>IFERROR(VLOOKUP(tbl_clean_sales[[#This Row],[Product_ID]],'03_Product_Master'!$A$1:$D$14,2,FALSE),"Missing")</f>
        <v>Green Tea</v>
      </c>
      <c r="O492" s="25" t="str">
        <f>IFERROR(VLOOKUP(tbl_clean_sales[[#This Row],[Product_ID]],'03_Product_Master'!$A$1:$D$14,3,FALSE),"Missing")</f>
        <v>Beverages</v>
      </c>
      <c r="P492" s="25">
        <f>IFERROR(VLOOKUP(tbl_clean_sales[[#This Row],[Product_ID]],'03_Product_Master'!$A$1:$D$14,4,FALSE),"Missing")</f>
        <v>280</v>
      </c>
      <c r="Q492" s="25" t="str">
        <f>IF('03_Clean_data'!E492="","Missing",IFERROR(IF(VLOOKUP(E492,'04_Branch_Master'!$A$1:$C$7,1,FALSE)='03_Clean_data'!E492,"Valid","Invalid"),"Invalid"))</f>
        <v>Valid</v>
      </c>
      <c r="R492" s="25" t="str">
        <f>IFERROR(VLOOKUP(tbl_clean_sales[[#This Row],[Branch_ID]],'04_Branch_Master'!$A$1:$C$7,2,FALSE),"Missing")</f>
        <v>Dharapuram</v>
      </c>
      <c r="S492" s="25" t="str">
        <f>IFERROR(VLOOKUP(tbl_clean_sales[[#This Row],[Branch_ID]],'04_Branch_Master'!$A$1:$C$7,3,FALSE),"Missing")</f>
        <v>South</v>
      </c>
      <c r="T492" s="25" t="str">
        <f>C492&amp;"|"&amp;TEXT(tbl_clean_sales[[#This Row],[Date]],"yyyymm")</f>
        <v>E010|202604</v>
      </c>
      <c r="U492" s="25">
        <f>IFERROR(INDEX('05_Target_Master'!$A$1:$F$32,MATCH(tbl_clean_sales[[#This Row],[target key]],'05_Target_Master'!$F$1:$F$32,0),3),"Missing")</f>
        <v>121700</v>
      </c>
    </row>
    <row r="493" spans="1:21" x14ac:dyDescent="0.3">
      <c r="A493" s="21">
        <v>46159</v>
      </c>
      <c r="B493" s="22" t="s">
        <v>528</v>
      </c>
      <c r="C493" s="22" t="s">
        <v>8</v>
      </c>
      <c r="D493" s="22" t="s">
        <v>25</v>
      </c>
      <c r="E493" s="22" t="s">
        <v>10</v>
      </c>
      <c r="F493" s="22">
        <v>8</v>
      </c>
      <c r="G493" s="23">
        <v>3139.71</v>
      </c>
      <c r="H493" s="25" t="str">
        <f>IF(COUNTIF(tbl_clean_sales[Invoice_ID],tbl_clean_sales[[#This Row],[Invoice_ID]])&gt;1,"Duplicate","Unique")</f>
        <v>Unique</v>
      </c>
      <c r="I493" s="25"/>
      <c r="J49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3" s="25" t="str">
        <f>IFERROR(VLOOKUP(tbl_clean_sales[[#This Row],[Employee_ID]],'02_Employee_Master'!$A$1:$C$12,2,FALSE),"Employee Name Missing")</f>
        <v>Vignesh R</v>
      </c>
      <c r="L493" s="25" t="str">
        <f>IFERROR(VLOOKUP(tbl_clean_sales[[#This Row],[Employee_ID]],'02_Employee_Master'!$A$1:$C$12,3,FALSE),"Department Name Missing")</f>
        <v>Sales</v>
      </c>
      <c r="M493" s="25" t="str">
        <f>IF('03_Clean_data'!D493="","Missing",IFERROR(IF(VLOOKUP(D493,'03_Product_Master'!$A$1:$D$14,1,FALSE)='03_Clean_data'!D493,"Valid","Invalid"),"Invalid"))</f>
        <v>Valid</v>
      </c>
      <c r="N493" s="25" t="str">
        <f>IFERROR(VLOOKUP(tbl_clean_sales[[#This Row],[Product_ID]],'03_Product_Master'!$A$1:$D$14,2,FALSE),"Missing")</f>
        <v>Premium Coffee</v>
      </c>
      <c r="O493" s="25" t="str">
        <f>IFERROR(VLOOKUP(tbl_clean_sales[[#This Row],[Product_ID]],'03_Product_Master'!$A$1:$D$14,3,FALSE),"Missing")</f>
        <v>Beverages</v>
      </c>
      <c r="P493" s="25">
        <f>IFERROR(VLOOKUP(tbl_clean_sales[[#This Row],[Product_ID]],'03_Product_Master'!$A$1:$D$14,4,FALSE),"Missing")</f>
        <v>420</v>
      </c>
      <c r="Q493" s="25" t="str">
        <f>IF('03_Clean_data'!E493="","Missing",IFERROR(IF(VLOOKUP(E493,'04_Branch_Master'!$A$1:$C$7,1,FALSE)='03_Clean_data'!E493,"Valid","Invalid"),"Invalid"))</f>
        <v>Valid</v>
      </c>
      <c r="R493" s="25" t="str">
        <f>IFERROR(VLOOKUP(tbl_clean_sales[[#This Row],[Branch_ID]],'04_Branch_Master'!$A$1:$C$7,2,FALSE),"Missing")</f>
        <v>Dharapuram</v>
      </c>
      <c r="S493" s="25" t="str">
        <f>IFERROR(VLOOKUP(tbl_clean_sales[[#This Row],[Branch_ID]],'04_Branch_Master'!$A$1:$C$7,3,FALSE),"Missing")</f>
        <v>South</v>
      </c>
      <c r="T493" s="25" t="str">
        <f>C493&amp;"|"&amp;TEXT(tbl_clean_sales[[#This Row],[Date]],"yyyymm")</f>
        <v>E009|202605</v>
      </c>
      <c r="U493" s="25">
        <f>IFERROR(INDEX('05_Target_Master'!$A$1:$F$32,MATCH(tbl_clean_sales[[#This Row],[target key]],'05_Target_Master'!$F$1:$F$32,0),3),"Missing")</f>
        <v>176300</v>
      </c>
    </row>
    <row r="494" spans="1:21" x14ac:dyDescent="0.3">
      <c r="A494" s="21">
        <v>46167</v>
      </c>
      <c r="B494" s="22" t="s">
        <v>529</v>
      </c>
      <c r="C494" s="22" t="s">
        <v>21</v>
      </c>
      <c r="D494" s="22" t="s">
        <v>19</v>
      </c>
      <c r="E494" s="22" t="s">
        <v>14</v>
      </c>
      <c r="F494" s="22">
        <v>5</v>
      </c>
      <c r="G494" s="23">
        <v>1029.28</v>
      </c>
      <c r="H494" s="25" t="str">
        <f>IF(COUNTIF(tbl_clean_sales[Invoice_ID],tbl_clean_sales[[#This Row],[Invoice_ID]])&gt;1,"Duplicate","Unique")</f>
        <v>Unique</v>
      </c>
      <c r="I494" s="25"/>
      <c r="J49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4" s="25" t="str">
        <f>IFERROR(VLOOKUP(tbl_clean_sales[[#This Row],[Employee_ID]],'02_Employee_Master'!$A$1:$C$12,2,FALSE),"Employee Name Missing")</f>
        <v>Priya S</v>
      </c>
      <c r="L494" s="25" t="str">
        <f>IFERROR(VLOOKUP(tbl_clean_sales[[#This Row],[Employee_ID]],'02_Employee_Master'!$A$1:$C$12,3,FALSE),"Department Name Missing")</f>
        <v>Sales</v>
      </c>
      <c r="M494" s="25" t="str">
        <f>IF('03_Clean_data'!D494="","Missing",IFERROR(IF(VLOOKUP(D494,'03_Product_Master'!$A$1:$D$14,1,FALSE)='03_Clean_data'!D494,"Valid","Invalid"),"Invalid"))</f>
        <v>Valid</v>
      </c>
      <c r="N494" s="25" t="str">
        <f>IFERROR(VLOOKUP(tbl_clean_sales[[#This Row],[Product_ID]],'03_Product_Master'!$A$1:$D$14,2,FALSE),"Missing")</f>
        <v>Floor Cleaner</v>
      </c>
      <c r="O494" s="25" t="str">
        <f>IFERROR(VLOOKUP(tbl_clean_sales[[#This Row],[Product_ID]],'03_Product_Master'!$A$1:$D$14,3,FALSE),"Missing")</f>
        <v>Home Care</v>
      </c>
      <c r="P494" s="25">
        <f>IFERROR(VLOOKUP(tbl_clean_sales[[#This Row],[Product_ID]],'03_Product_Master'!$A$1:$D$14,4,FALSE),"Missing")</f>
        <v>230</v>
      </c>
      <c r="Q494" s="25" t="str">
        <f>IF('03_Clean_data'!E494="","Missing",IFERROR(IF(VLOOKUP(E494,'04_Branch_Master'!$A$1:$C$7,1,FALSE)='03_Clean_data'!E494,"Valid","Invalid"),"Invalid"))</f>
        <v>Valid</v>
      </c>
      <c r="R494" s="25" t="str">
        <f>IFERROR(VLOOKUP(tbl_clean_sales[[#This Row],[Branch_ID]],'04_Branch_Master'!$A$1:$C$7,2,FALSE),"Missing")</f>
        <v>Avinashi Road</v>
      </c>
      <c r="S494" s="25" t="str">
        <f>IFERROR(VLOOKUP(tbl_clean_sales[[#This Row],[Branch_ID]],'04_Branch_Master'!$A$1:$C$7,3,FALSE),"Missing")</f>
        <v>North</v>
      </c>
      <c r="T494" s="25" t="str">
        <f>C494&amp;"|"&amp;TEXT(tbl_clean_sales[[#This Row],[Date]],"yyyymm")</f>
        <v>E002|202605</v>
      </c>
      <c r="U494" s="25">
        <f>IFERROR(INDEX('05_Target_Master'!$A$1:$F$32,MATCH(tbl_clean_sales[[#This Row],[target key]],'05_Target_Master'!$F$1:$F$32,0),3),"Missing")</f>
        <v>132100</v>
      </c>
    </row>
    <row r="495" spans="1:21" x14ac:dyDescent="0.3">
      <c r="A495" s="21">
        <v>46117</v>
      </c>
      <c r="B495" s="22" t="s">
        <v>530</v>
      </c>
      <c r="C495" s="22" t="s">
        <v>38</v>
      </c>
      <c r="D495" s="22" t="s">
        <v>82</v>
      </c>
      <c r="E495" s="22" t="s">
        <v>32</v>
      </c>
      <c r="F495" s="22">
        <v>2</v>
      </c>
      <c r="G495" s="23">
        <v>227.35</v>
      </c>
      <c r="H495" s="25" t="str">
        <f>IF(COUNTIF(tbl_clean_sales[Invoice_ID],tbl_clean_sales[[#This Row],[Invoice_ID]])&gt;1,"Duplicate","Unique")</f>
        <v>Unique</v>
      </c>
      <c r="I495" s="25"/>
      <c r="J49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5" s="25" t="str">
        <f>IFERROR(VLOOKUP(tbl_clean_sales[[#This Row],[Employee_ID]],'02_Employee_Master'!$A$1:$C$12,2,FALSE),"Employee Name Missing")</f>
        <v>Nandhini K</v>
      </c>
      <c r="L495" s="25" t="str">
        <f>IFERROR(VLOOKUP(tbl_clean_sales[[#This Row],[Employee_ID]],'02_Employee_Master'!$A$1:$C$12,3,FALSE),"Department Name Missing")</f>
        <v>Sales</v>
      </c>
      <c r="M495" s="25" t="str">
        <f>IF('03_Clean_data'!D495="","Missing",IFERROR(IF(VLOOKUP(D495,'03_Product_Master'!$A$1:$D$14,1,FALSE)='03_Clean_data'!D495,"Valid","Invalid"),"Invalid"))</f>
        <v>Valid</v>
      </c>
      <c r="N495" s="25" t="str">
        <f>IFERROR(VLOOKUP(tbl_clean_sales[[#This Row],[Product_ID]],'03_Product_Master'!$A$1:$D$14,2,FALSE),"Missing")</f>
        <v>Chocolate Bar</v>
      </c>
      <c r="O495" s="25" t="str">
        <f>IFERROR(VLOOKUP(tbl_clean_sales[[#This Row],[Product_ID]],'03_Product_Master'!$A$1:$D$14,3,FALSE),"Missing")</f>
        <v>Snacks</v>
      </c>
      <c r="P495" s="25">
        <f>IFERROR(VLOOKUP(tbl_clean_sales[[#This Row],[Product_ID]],'03_Product_Master'!$A$1:$D$14,4,FALSE),"Missing")</f>
        <v>120</v>
      </c>
      <c r="Q495" s="25" t="str">
        <f>IF('03_Clean_data'!E495="","Missing",IFERROR(IF(VLOOKUP(E495,'04_Branch_Master'!$A$1:$C$7,1,FALSE)='03_Clean_data'!E495,"Valid","Invalid"),"Invalid"))</f>
        <v>Valid</v>
      </c>
      <c r="R495" s="25" t="str">
        <f>IFERROR(VLOOKUP(tbl_clean_sales[[#This Row],[Branch_ID]],'04_Branch_Master'!$A$1:$C$7,2,FALSE),"Missing")</f>
        <v>Kangeyam</v>
      </c>
      <c r="S495" s="25" t="str">
        <f>IFERROR(VLOOKUP(tbl_clean_sales[[#This Row],[Branch_ID]],'04_Branch_Master'!$A$1:$C$7,3,FALSE),"Missing")</f>
        <v>East</v>
      </c>
      <c r="T495" s="25" t="str">
        <f>C495&amp;"|"&amp;TEXT(tbl_clean_sales[[#This Row],[Date]],"yyyymm")</f>
        <v>E008|202604</v>
      </c>
      <c r="U495" s="25">
        <f>IFERROR(INDEX('05_Target_Master'!$A$1:$F$32,MATCH(tbl_clean_sales[[#This Row],[target key]],'05_Target_Master'!$F$1:$F$32,0),3),"Missing")</f>
        <v>124100</v>
      </c>
    </row>
    <row r="496" spans="1:21" x14ac:dyDescent="0.3">
      <c r="A496" s="21">
        <v>46128</v>
      </c>
      <c r="B496" s="22" t="s">
        <v>531</v>
      </c>
      <c r="C496" s="22" t="s">
        <v>12</v>
      </c>
      <c r="D496" s="22" t="s">
        <v>30</v>
      </c>
      <c r="E496" s="22" t="s">
        <v>10</v>
      </c>
      <c r="F496" s="22">
        <v>12</v>
      </c>
      <c r="G496" s="23">
        <v>1839.21</v>
      </c>
      <c r="H496" s="25" t="str">
        <f>IF(COUNTIF(tbl_clean_sales[Invoice_ID],tbl_clean_sales[[#This Row],[Invoice_ID]])&gt;1,"Duplicate","Unique")</f>
        <v>Unique</v>
      </c>
      <c r="I496" s="25"/>
      <c r="J49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6" s="25" t="str">
        <f>IFERROR(VLOOKUP(tbl_clean_sales[[#This Row],[Employee_ID]],'02_Employee_Master'!$A$1:$C$12,2,FALSE),"Employee Name Missing")</f>
        <v>Divya R</v>
      </c>
      <c r="L496" s="25" t="str">
        <f>IFERROR(VLOOKUP(tbl_clean_sales[[#This Row],[Employee_ID]],'02_Employee_Master'!$A$1:$C$12,3,FALSE),"Department Name Missing")</f>
        <v>Sales</v>
      </c>
      <c r="M496" s="25" t="str">
        <f>IF('03_Clean_data'!D496="","Missing",IFERROR(IF(VLOOKUP(D496,'03_Product_Master'!$A$1:$D$14,1,FALSE)='03_Clean_data'!D496,"Valid","Invalid"),"Invalid"))</f>
        <v>Valid</v>
      </c>
      <c r="N496" s="25" t="str">
        <f>IFERROR(VLOOKUP(tbl_clean_sales[[#This Row],[Product_ID]],'03_Product_Master'!$A$1:$D$14,2,FALSE),"Missing")</f>
        <v>Cookies Pack</v>
      </c>
      <c r="O496" s="25" t="str">
        <f>IFERROR(VLOOKUP(tbl_clean_sales[[#This Row],[Product_ID]],'03_Product_Master'!$A$1:$D$14,3,FALSE),"Missing")</f>
        <v>Snacks</v>
      </c>
      <c r="P496" s="25">
        <f>IFERROR(VLOOKUP(tbl_clean_sales[[#This Row],[Product_ID]],'03_Product_Master'!$A$1:$D$14,4,FALSE),"Missing")</f>
        <v>160</v>
      </c>
      <c r="Q496" s="25" t="str">
        <f>IF('03_Clean_data'!E496="","Missing",IFERROR(IF(VLOOKUP(E496,'04_Branch_Master'!$A$1:$C$7,1,FALSE)='03_Clean_data'!E496,"Valid","Invalid"),"Invalid"))</f>
        <v>Valid</v>
      </c>
      <c r="R496" s="25" t="str">
        <f>IFERROR(VLOOKUP(tbl_clean_sales[[#This Row],[Branch_ID]],'04_Branch_Master'!$A$1:$C$7,2,FALSE),"Missing")</f>
        <v>Dharapuram</v>
      </c>
      <c r="S496" s="25" t="str">
        <f>IFERROR(VLOOKUP(tbl_clean_sales[[#This Row],[Branch_ID]],'04_Branch_Master'!$A$1:$C$7,3,FALSE),"Missing")</f>
        <v>South</v>
      </c>
      <c r="T496" s="25" t="str">
        <f>C496&amp;"|"&amp;TEXT(tbl_clean_sales[[#This Row],[Date]],"yyyymm")</f>
        <v>E004|202604</v>
      </c>
      <c r="U496" s="25">
        <f>IFERROR(INDEX('05_Target_Master'!$A$1:$F$32,MATCH(tbl_clean_sales[[#This Row],[target key]],'05_Target_Master'!$F$1:$F$32,0),3),"Missing")</f>
        <v>163600</v>
      </c>
    </row>
    <row r="497" spans="1:21" x14ac:dyDescent="0.3">
      <c r="A497" s="21">
        <v>46203</v>
      </c>
      <c r="B497" s="22" t="s">
        <v>532</v>
      </c>
      <c r="C497" s="22" t="s">
        <v>29</v>
      </c>
      <c r="D497" s="22" t="s">
        <v>43</v>
      </c>
      <c r="E497" s="22" t="s">
        <v>10</v>
      </c>
      <c r="F497" s="22">
        <v>10</v>
      </c>
      <c r="G497" s="23">
        <v>3343.19</v>
      </c>
      <c r="H497" s="25" t="str">
        <f>IF(COUNTIF(tbl_clean_sales[Invoice_ID],tbl_clean_sales[[#This Row],[Invoice_ID]])&gt;1,"Duplicate","Unique")</f>
        <v>Unique</v>
      </c>
      <c r="I497" s="25"/>
      <c r="J49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7" s="25" t="str">
        <f>IFERROR(VLOOKUP(tbl_clean_sales[[#This Row],[Employee_ID]],'02_Employee_Master'!$A$1:$C$12,2,FALSE),"Employee Name Missing")</f>
        <v>Swetha L</v>
      </c>
      <c r="L497" s="25" t="str">
        <f>IFERROR(VLOOKUP(tbl_clean_sales[[#This Row],[Employee_ID]],'02_Employee_Master'!$A$1:$C$12,3,FALSE),"Department Name Missing")</f>
        <v>Sales</v>
      </c>
      <c r="M497" s="25" t="str">
        <f>IF('03_Clean_data'!D497="","Missing",IFERROR(IF(VLOOKUP(D497,'03_Product_Master'!$A$1:$D$14,1,FALSE)='03_Clean_data'!D497,"Valid","Invalid"),"Invalid"))</f>
        <v>Valid</v>
      </c>
      <c r="N497" s="25" t="str">
        <f>IFERROR(VLOOKUP(tbl_clean_sales[[#This Row],[Product_ID]],'03_Product_Master'!$A$1:$D$14,2,FALSE),"Missing")</f>
        <v>Laundry Liquid</v>
      </c>
      <c r="O497" s="25" t="str">
        <f>IFERROR(VLOOKUP(tbl_clean_sales[[#This Row],[Product_ID]],'03_Product_Master'!$A$1:$D$14,3,FALSE),"Missing")</f>
        <v>Home Care</v>
      </c>
      <c r="P497" s="25">
        <f>IFERROR(VLOOKUP(tbl_clean_sales[[#This Row],[Product_ID]],'03_Product_Master'!$A$1:$D$14,4,FALSE),"Missing")</f>
        <v>340</v>
      </c>
      <c r="Q497" s="25" t="str">
        <f>IF('03_Clean_data'!E497="","Missing",IFERROR(IF(VLOOKUP(E497,'04_Branch_Master'!$A$1:$C$7,1,FALSE)='03_Clean_data'!E497,"Valid","Invalid"),"Invalid"))</f>
        <v>Valid</v>
      </c>
      <c r="R497" s="25" t="str">
        <f>IFERROR(VLOOKUP(tbl_clean_sales[[#This Row],[Branch_ID]],'04_Branch_Master'!$A$1:$C$7,2,FALSE),"Missing")</f>
        <v>Dharapuram</v>
      </c>
      <c r="S497" s="25" t="str">
        <f>IFERROR(VLOOKUP(tbl_clean_sales[[#This Row],[Branch_ID]],'04_Branch_Master'!$A$1:$C$7,3,FALSE),"Missing")</f>
        <v>South</v>
      </c>
      <c r="T497" s="25" t="str">
        <f>C497&amp;"|"&amp;TEXT(tbl_clean_sales[[#This Row],[Date]],"yyyymm")</f>
        <v>E010|202606</v>
      </c>
      <c r="U497" s="25">
        <f>IFERROR(INDEX('05_Target_Master'!$A$1:$F$32,MATCH(tbl_clean_sales[[#This Row],[target key]],'05_Target_Master'!$F$1:$F$32,0),3),"Missing")</f>
        <v>116800</v>
      </c>
    </row>
    <row r="498" spans="1:21" x14ac:dyDescent="0.3">
      <c r="A498" s="21">
        <v>46139</v>
      </c>
      <c r="B498" s="22" t="s">
        <v>533</v>
      </c>
      <c r="C498" s="22" t="s">
        <v>12</v>
      </c>
      <c r="D498" s="22" t="s">
        <v>25</v>
      </c>
      <c r="E498" s="22" t="s">
        <v>14</v>
      </c>
      <c r="F498" s="22">
        <v>9</v>
      </c>
      <c r="G498" s="23">
        <v>3652.5</v>
      </c>
      <c r="H498" s="25" t="str">
        <f>IF(COUNTIF(tbl_clean_sales[Invoice_ID],tbl_clean_sales[[#This Row],[Invoice_ID]])&gt;1,"Duplicate","Unique")</f>
        <v>Unique</v>
      </c>
      <c r="I498" s="25"/>
      <c r="J49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8" s="25" t="str">
        <f>IFERROR(VLOOKUP(tbl_clean_sales[[#This Row],[Employee_ID]],'02_Employee_Master'!$A$1:$C$12,2,FALSE),"Employee Name Missing")</f>
        <v>Divya R</v>
      </c>
      <c r="L498" s="25" t="str">
        <f>IFERROR(VLOOKUP(tbl_clean_sales[[#This Row],[Employee_ID]],'02_Employee_Master'!$A$1:$C$12,3,FALSE),"Department Name Missing")</f>
        <v>Sales</v>
      </c>
      <c r="M498" s="25" t="str">
        <f>IF('03_Clean_data'!D498="","Missing",IFERROR(IF(VLOOKUP(D498,'03_Product_Master'!$A$1:$D$14,1,FALSE)='03_Clean_data'!D498,"Valid","Invalid"),"Invalid"))</f>
        <v>Valid</v>
      </c>
      <c r="N498" s="25" t="str">
        <f>IFERROR(VLOOKUP(tbl_clean_sales[[#This Row],[Product_ID]],'03_Product_Master'!$A$1:$D$14,2,FALSE),"Missing")</f>
        <v>Premium Coffee</v>
      </c>
      <c r="O498" s="25" t="str">
        <f>IFERROR(VLOOKUP(tbl_clean_sales[[#This Row],[Product_ID]],'03_Product_Master'!$A$1:$D$14,3,FALSE),"Missing")</f>
        <v>Beverages</v>
      </c>
      <c r="P498" s="25">
        <f>IFERROR(VLOOKUP(tbl_clean_sales[[#This Row],[Product_ID]],'03_Product_Master'!$A$1:$D$14,4,FALSE),"Missing")</f>
        <v>420</v>
      </c>
      <c r="Q498" s="25" t="str">
        <f>IF('03_Clean_data'!E498="","Missing",IFERROR(IF(VLOOKUP(E498,'04_Branch_Master'!$A$1:$C$7,1,FALSE)='03_Clean_data'!E498,"Valid","Invalid"),"Invalid"))</f>
        <v>Valid</v>
      </c>
      <c r="R498" s="25" t="str">
        <f>IFERROR(VLOOKUP(tbl_clean_sales[[#This Row],[Branch_ID]],'04_Branch_Master'!$A$1:$C$7,2,FALSE),"Missing")</f>
        <v>Avinashi Road</v>
      </c>
      <c r="S498" s="25" t="str">
        <f>IFERROR(VLOOKUP(tbl_clean_sales[[#This Row],[Branch_ID]],'04_Branch_Master'!$A$1:$C$7,3,FALSE),"Missing")</f>
        <v>North</v>
      </c>
      <c r="T498" s="25" t="str">
        <f>C498&amp;"|"&amp;TEXT(tbl_clean_sales[[#This Row],[Date]],"yyyymm")</f>
        <v>E004|202604</v>
      </c>
      <c r="U498" s="25">
        <f>IFERROR(INDEX('05_Target_Master'!$A$1:$F$32,MATCH(tbl_clean_sales[[#This Row],[target key]],'05_Target_Master'!$F$1:$F$32,0),3),"Missing")</f>
        <v>163600</v>
      </c>
    </row>
    <row r="499" spans="1:21" x14ac:dyDescent="0.3">
      <c r="A499" s="21">
        <v>46181</v>
      </c>
      <c r="B499" s="22" t="s">
        <v>534</v>
      </c>
      <c r="C499" s="22" t="s">
        <v>18</v>
      </c>
      <c r="D499" s="22" t="s">
        <v>34</v>
      </c>
      <c r="E499" s="22" t="s">
        <v>26</v>
      </c>
      <c r="F499" s="22">
        <v>5</v>
      </c>
      <c r="G499" s="23">
        <v>512.20000000000005</v>
      </c>
      <c r="H499" s="25" t="str">
        <f>IF(COUNTIF(tbl_clean_sales[Invoice_ID],tbl_clean_sales[[#This Row],[Invoice_ID]])&gt;1,"Duplicate","Unique")</f>
        <v>Unique</v>
      </c>
      <c r="I499" s="25"/>
      <c r="J49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499" s="25" t="str">
        <f>IFERROR(VLOOKUP(tbl_clean_sales[[#This Row],[Employee_ID]],'02_Employee_Master'!$A$1:$C$12,2,FALSE),"Employee Name Missing")</f>
        <v>Rahul M</v>
      </c>
      <c r="L499" s="25" t="str">
        <f>IFERROR(VLOOKUP(tbl_clean_sales[[#This Row],[Employee_ID]],'02_Employee_Master'!$A$1:$C$12,3,FALSE),"Department Name Missing")</f>
        <v>Sales</v>
      </c>
      <c r="M499" s="25" t="str">
        <f>IF('03_Clean_data'!D499="","Missing",IFERROR(IF(VLOOKUP(D499,'03_Product_Master'!$A$1:$D$14,1,FALSE)='03_Clean_data'!D499,"Valid","Invalid"),"Invalid"))</f>
        <v>Valid</v>
      </c>
      <c r="N499" s="25" t="str">
        <f>IFERROR(VLOOKUP(tbl_clean_sales[[#This Row],[Product_ID]],'03_Product_Master'!$A$1:$D$14,2,FALSE),"Missing")</f>
        <v>Potato Chips</v>
      </c>
      <c r="O499" s="25" t="str">
        <f>IFERROR(VLOOKUP(tbl_clean_sales[[#This Row],[Product_ID]],'03_Product_Master'!$A$1:$D$14,3,FALSE),"Missing")</f>
        <v>Snacks</v>
      </c>
      <c r="P499" s="25">
        <f>IFERROR(VLOOKUP(tbl_clean_sales[[#This Row],[Product_ID]],'03_Product_Master'!$A$1:$D$14,4,FALSE),"Missing")</f>
        <v>110</v>
      </c>
      <c r="Q499" s="25" t="str">
        <f>IF('03_Clean_data'!E499="","Missing",IFERROR(IF(VLOOKUP(E499,'04_Branch_Master'!$A$1:$C$7,1,FALSE)='03_Clean_data'!E499,"Valid","Invalid"),"Invalid"))</f>
        <v>Valid</v>
      </c>
      <c r="R499" s="25" t="str">
        <f>IFERROR(VLOOKUP(tbl_clean_sales[[#This Row],[Branch_ID]],'04_Branch_Master'!$A$1:$C$7,2,FALSE),"Missing")</f>
        <v>Palladam</v>
      </c>
      <c r="S499" s="25" t="str">
        <f>IFERROR(VLOOKUP(tbl_clean_sales[[#This Row],[Branch_ID]],'04_Branch_Master'!$A$1:$C$7,3,FALSE),"Missing")</f>
        <v>South</v>
      </c>
      <c r="T499" s="25" t="str">
        <f>C499&amp;"|"&amp;TEXT(tbl_clean_sales[[#This Row],[Date]],"yyyymm")</f>
        <v>E003|202606</v>
      </c>
      <c r="U499" s="25">
        <f>IFERROR(INDEX('05_Target_Master'!$A$1:$F$32,MATCH(tbl_clean_sales[[#This Row],[target key]],'05_Target_Master'!$F$1:$F$32,0),3),"Missing")</f>
        <v>112000</v>
      </c>
    </row>
    <row r="500" spans="1:21" x14ac:dyDescent="0.3">
      <c r="A500" s="21">
        <v>46178</v>
      </c>
      <c r="B500" s="24" t="s">
        <v>535</v>
      </c>
      <c r="C500" s="22" t="s">
        <v>21</v>
      </c>
      <c r="D500" s="22" t="s">
        <v>53</v>
      </c>
      <c r="E500" s="22" t="s">
        <v>32</v>
      </c>
      <c r="F500" s="22">
        <v>1</v>
      </c>
      <c r="G500" s="23">
        <v>308.32</v>
      </c>
      <c r="H500" s="25" t="str">
        <f>IF(COUNTIF(tbl_clean_sales[Invoice_ID],tbl_clean_sales[[#This Row],[Invoice_ID]])&gt;1,"Duplicate","Unique")</f>
        <v>Duplicate</v>
      </c>
      <c r="I500" s="25"/>
      <c r="J50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0" s="25" t="str">
        <f>IFERROR(VLOOKUP(tbl_clean_sales[[#This Row],[Employee_ID]],'02_Employee_Master'!$A$1:$C$12,2,FALSE),"Employee Name Missing")</f>
        <v>Priya S</v>
      </c>
      <c r="L500" s="25" t="str">
        <f>IFERROR(VLOOKUP(tbl_clean_sales[[#This Row],[Employee_ID]],'02_Employee_Master'!$A$1:$C$12,3,FALSE),"Department Name Missing")</f>
        <v>Sales</v>
      </c>
      <c r="M500" s="25" t="str">
        <f>IF('03_Clean_data'!D500="","Missing",IFERROR(IF(VLOOKUP(D500,'03_Product_Master'!$A$1:$D$14,1,FALSE)='03_Clean_data'!D500,"Valid","Invalid"),"Invalid"))</f>
        <v>Valid</v>
      </c>
      <c r="N500" s="25" t="str">
        <f>IFERROR(VLOOKUP(tbl_clean_sales[[#This Row],[Product_ID]],'03_Product_Master'!$A$1:$D$14,2,FALSE),"Missing")</f>
        <v>Instant Coffee</v>
      </c>
      <c r="O500" s="25" t="str">
        <f>IFERROR(VLOOKUP(tbl_clean_sales[[#This Row],[Product_ID]],'03_Product_Master'!$A$1:$D$14,3,FALSE),"Missing")</f>
        <v>Beverages</v>
      </c>
      <c r="P500" s="25">
        <f>IFERROR(VLOOKUP(tbl_clean_sales[[#This Row],[Product_ID]],'03_Product_Master'!$A$1:$D$14,4,FALSE),"Missing")</f>
        <v>350</v>
      </c>
      <c r="Q500" s="25" t="str">
        <f>IF('03_Clean_data'!E500="","Missing",IFERROR(IF(VLOOKUP(E500,'04_Branch_Master'!$A$1:$C$7,1,FALSE)='03_Clean_data'!E500,"Valid","Invalid"),"Invalid"))</f>
        <v>Valid</v>
      </c>
      <c r="R500" s="25" t="str">
        <f>IFERROR(VLOOKUP(tbl_clean_sales[[#This Row],[Branch_ID]],'04_Branch_Master'!$A$1:$C$7,2,FALSE),"Missing")</f>
        <v>Kangeyam</v>
      </c>
      <c r="S500" s="25" t="str">
        <f>IFERROR(VLOOKUP(tbl_clean_sales[[#This Row],[Branch_ID]],'04_Branch_Master'!$A$1:$C$7,3,FALSE),"Missing")</f>
        <v>East</v>
      </c>
      <c r="T500" s="25" t="str">
        <f>C500&amp;"|"&amp;TEXT(tbl_clean_sales[[#This Row],[Date]],"yyyymm")</f>
        <v>E002|202606</v>
      </c>
      <c r="U500" s="25">
        <f>IFERROR(INDEX('05_Target_Master'!$A$1:$F$32,MATCH(tbl_clean_sales[[#This Row],[target key]],'05_Target_Master'!$F$1:$F$32,0),3),"Missing")</f>
        <v>117400</v>
      </c>
    </row>
    <row r="501" spans="1:21" x14ac:dyDescent="0.3">
      <c r="A501" s="21">
        <v>46196</v>
      </c>
      <c r="B501" s="24" t="s">
        <v>535</v>
      </c>
      <c r="C501" s="22" t="s">
        <v>18</v>
      </c>
      <c r="D501" s="22" t="s">
        <v>19</v>
      </c>
      <c r="E501" s="22" t="s">
        <v>14</v>
      </c>
      <c r="F501" s="22">
        <v>5</v>
      </c>
      <c r="G501" s="23">
        <v>631.1</v>
      </c>
      <c r="H501" s="25" t="str">
        <f>IF(COUNTIF(tbl_clean_sales[Invoice_ID],tbl_clean_sales[[#This Row],[Invoice_ID]])&gt;1,"Duplicate","Unique")</f>
        <v>Duplicate</v>
      </c>
      <c r="I501" s="25" t="s">
        <v>933</v>
      </c>
      <c r="J50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1" s="25" t="str">
        <f>IFERROR(VLOOKUP(tbl_clean_sales[[#This Row],[Employee_ID]],'02_Employee_Master'!$A$1:$C$12,2,FALSE),"Employee Name Missing")</f>
        <v>Rahul M</v>
      </c>
      <c r="L501" s="25" t="str">
        <f>IFERROR(VLOOKUP(tbl_clean_sales[[#This Row],[Employee_ID]],'02_Employee_Master'!$A$1:$C$12,3,FALSE),"Department Name Missing")</f>
        <v>Sales</v>
      </c>
      <c r="M501" s="25" t="str">
        <f>IF('03_Clean_data'!D501="","Missing",IFERROR(IF(VLOOKUP(D501,'03_Product_Master'!$A$1:$D$14,1,FALSE)='03_Clean_data'!D501,"Valid","Invalid"),"Invalid"))</f>
        <v>Valid</v>
      </c>
      <c r="N501" s="25" t="str">
        <f>IFERROR(VLOOKUP(tbl_clean_sales[[#This Row],[Product_ID]],'03_Product_Master'!$A$1:$D$14,2,FALSE),"Missing")</f>
        <v>Floor Cleaner</v>
      </c>
      <c r="O501" s="25" t="str">
        <f>IFERROR(VLOOKUP(tbl_clean_sales[[#This Row],[Product_ID]],'03_Product_Master'!$A$1:$D$14,3,FALSE),"Missing")</f>
        <v>Home Care</v>
      </c>
      <c r="P501" s="25">
        <f>IFERROR(VLOOKUP(tbl_clean_sales[[#This Row],[Product_ID]],'03_Product_Master'!$A$1:$D$14,4,FALSE),"Missing")</f>
        <v>230</v>
      </c>
      <c r="Q501" s="25" t="str">
        <f>IF('03_Clean_data'!E501="","Missing",IFERROR(IF(VLOOKUP(E501,'04_Branch_Master'!$A$1:$C$7,1,FALSE)='03_Clean_data'!E501,"Valid","Invalid"),"Invalid"))</f>
        <v>Valid</v>
      </c>
      <c r="R501" s="25" t="str">
        <f>IFERROR(VLOOKUP(tbl_clean_sales[[#This Row],[Branch_ID]],'04_Branch_Master'!$A$1:$C$7,2,FALSE),"Missing")</f>
        <v>Avinashi Road</v>
      </c>
      <c r="S501" s="25" t="str">
        <f>IFERROR(VLOOKUP(tbl_clean_sales[[#This Row],[Branch_ID]],'04_Branch_Master'!$A$1:$C$7,3,FALSE),"Missing")</f>
        <v>North</v>
      </c>
      <c r="T501" s="25" t="str">
        <f>C501&amp;"|"&amp;TEXT(tbl_clean_sales[[#This Row],[Date]],"yyyymm")</f>
        <v>E003|202606</v>
      </c>
      <c r="U501" s="25">
        <f>IFERROR(INDEX('05_Target_Master'!$A$1:$F$32,MATCH(tbl_clean_sales[[#This Row],[target key]],'05_Target_Master'!$F$1:$F$32,0),3),"Missing")</f>
        <v>112000</v>
      </c>
    </row>
    <row r="502" spans="1:21" x14ac:dyDescent="0.3">
      <c r="A502" s="21">
        <v>46144</v>
      </c>
      <c r="B502" s="22" t="s">
        <v>536</v>
      </c>
      <c r="C502" s="22" t="s">
        <v>46</v>
      </c>
      <c r="D502" s="22" t="s">
        <v>48</v>
      </c>
      <c r="E502" s="22" t="s">
        <v>32</v>
      </c>
      <c r="F502" s="22">
        <v>11</v>
      </c>
      <c r="G502" s="23">
        <v>2767.78</v>
      </c>
      <c r="H502" s="25" t="str">
        <f>IF(COUNTIF(tbl_clean_sales[Invoice_ID],tbl_clean_sales[[#This Row],[Invoice_ID]])&gt;1,"Duplicate","Unique")</f>
        <v>Unique</v>
      </c>
      <c r="I502" s="25"/>
      <c r="J50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2" s="25" t="str">
        <f>IFERROR(VLOOKUP(tbl_clean_sales[[#This Row],[Employee_ID]],'02_Employee_Master'!$A$1:$C$12,2,FALSE),"Employee Name Missing")</f>
        <v>Suresh B</v>
      </c>
      <c r="L502" s="25" t="str">
        <f>IFERROR(VLOOKUP(tbl_clean_sales[[#This Row],[Employee_ID]],'02_Employee_Master'!$A$1:$C$12,3,FALSE),"Department Name Missing")</f>
        <v>Sales</v>
      </c>
      <c r="M502" s="25" t="str">
        <f>IF('03_Clean_data'!D502="","Missing",IFERROR(IF(VLOOKUP(D502,'03_Product_Master'!$A$1:$D$14,1,FALSE)='03_Clean_data'!D502,"Valid","Invalid"),"Invalid"))</f>
        <v>Valid</v>
      </c>
      <c r="N502" s="25" t="str">
        <f>IFERROR(VLOOKUP(tbl_clean_sales[[#This Row],[Product_ID]],'03_Product_Master'!$A$1:$D$14,2,FALSE),"Missing")</f>
        <v>Face Wash</v>
      </c>
      <c r="O502" s="25" t="str">
        <f>IFERROR(VLOOKUP(tbl_clean_sales[[#This Row],[Product_ID]],'03_Product_Master'!$A$1:$D$14,3,FALSE),"Missing")</f>
        <v>Personal Care</v>
      </c>
      <c r="P502" s="25">
        <f>IFERROR(VLOOKUP(tbl_clean_sales[[#This Row],[Product_ID]],'03_Product_Master'!$A$1:$D$14,4,FALSE),"Missing")</f>
        <v>260</v>
      </c>
      <c r="Q502" s="25" t="str">
        <f>IF('03_Clean_data'!E502="","Missing",IFERROR(IF(VLOOKUP(E502,'04_Branch_Master'!$A$1:$C$7,1,FALSE)='03_Clean_data'!E502,"Valid","Invalid"),"Invalid"))</f>
        <v>Valid</v>
      </c>
      <c r="R502" s="25" t="str">
        <f>IFERROR(VLOOKUP(tbl_clean_sales[[#This Row],[Branch_ID]],'04_Branch_Master'!$A$1:$C$7,2,FALSE),"Missing")</f>
        <v>Kangeyam</v>
      </c>
      <c r="S502" s="25" t="str">
        <f>IFERROR(VLOOKUP(tbl_clean_sales[[#This Row],[Branch_ID]],'04_Branch_Master'!$A$1:$C$7,3,FALSE),"Missing")</f>
        <v>East</v>
      </c>
      <c r="T502" s="25" t="str">
        <f>C502&amp;"|"&amp;TEXT(tbl_clean_sales[[#This Row],[Date]],"yyyymm")</f>
        <v>E007|202605</v>
      </c>
      <c r="U502" s="25">
        <f>IFERROR(INDEX('05_Target_Master'!$A$1:$F$32,MATCH(tbl_clean_sales[[#This Row],[target key]],'05_Target_Master'!$F$1:$F$32,0),3),"Missing")</f>
        <v>140000</v>
      </c>
    </row>
    <row r="503" spans="1:21" x14ac:dyDescent="0.3">
      <c r="A503" s="21">
        <v>46166</v>
      </c>
      <c r="B503" s="22" t="s">
        <v>537</v>
      </c>
      <c r="C503" s="22" t="s">
        <v>46</v>
      </c>
      <c r="D503" s="22" t="s">
        <v>48</v>
      </c>
      <c r="E503" s="22" t="s">
        <v>32</v>
      </c>
      <c r="F503" s="22">
        <v>2</v>
      </c>
      <c r="G503" s="23">
        <v>494.86</v>
      </c>
      <c r="H503" s="25" t="str">
        <f>IF(COUNTIF(tbl_clean_sales[Invoice_ID],tbl_clean_sales[[#This Row],[Invoice_ID]])&gt;1,"Duplicate","Unique")</f>
        <v>Unique</v>
      </c>
      <c r="I503" s="25"/>
      <c r="J50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3" s="25" t="str">
        <f>IFERROR(VLOOKUP(tbl_clean_sales[[#This Row],[Employee_ID]],'02_Employee_Master'!$A$1:$C$12,2,FALSE),"Employee Name Missing")</f>
        <v>Suresh B</v>
      </c>
      <c r="L503" s="25" t="str">
        <f>IFERROR(VLOOKUP(tbl_clean_sales[[#This Row],[Employee_ID]],'02_Employee_Master'!$A$1:$C$12,3,FALSE),"Department Name Missing")</f>
        <v>Sales</v>
      </c>
      <c r="M503" s="25" t="str">
        <f>IF('03_Clean_data'!D503="","Missing",IFERROR(IF(VLOOKUP(D503,'03_Product_Master'!$A$1:$D$14,1,FALSE)='03_Clean_data'!D503,"Valid","Invalid"),"Invalid"))</f>
        <v>Valid</v>
      </c>
      <c r="N503" s="25" t="str">
        <f>IFERROR(VLOOKUP(tbl_clean_sales[[#This Row],[Product_ID]],'03_Product_Master'!$A$1:$D$14,2,FALSE),"Missing")</f>
        <v>Face Wash</v>
      </c>
      <c r="O503" s="25" t="str">
        <f>IFERROR(VLOOKUP(tbl_clean_sales[[#This Row],[Product_ID]],'03_Product_Master'!$A$1:$D$14,3,FALSE),"Missing")</f>
        <v>Personal Care</v>
      </c>
      <c r="P503" s="25">
        <f>IFERROR(VLOOKUP(tbl_clean_sales[[#This Row],[Product_ID]],'03_Product_Master'!$A$1:$D$14,4,FALSE),"Missing")</f>
        <v>260</v>
      </c>
      <c r="Q503" s="25" t="str">
        <f>IF('03_Clean_data'!E503="","Missing",IFERROR(IF(VLOOKUP(E503,'04_Branch_Master'!$A$1:$C$7,1,FALSE)='03_Clean_data'!E503,"Valid","Invalid"),"Invalid"))</f>
        <v>Valid</v>
      </c>
      <c r="R503" s="25" t="str">
        <f>IFERROR(VLOOKUP(tbl_clean_sales[[#This Row],[Branch_ID]],'04_Branch_Master'!$A$1:$C$7,2,FALSE),"Missing")</f>
        <v>Kangeyam</v>
      </c>
      <c r="S503" s="25" t="str">
        <f>IFERROR(VLOOKUP(tbl_clean_sales[[#This Row],[Branch_ID]],'04_Branch_Master'!$A$1:$C$7,3,FALSE),"Missing")</f>
        <v>East</v>
      </c>
      <c r="T503" s="25" t="str">
        <f>C503&amp;"|"&amp;TEXT(tbl_clean_sales[[#This Row],[Date]],"yyyymm")</f>
        <v>E007|202605</v>
      </c>
      <c r="U503" s="25">
        <f>IFERROR(INDEX('05_Target_Master'!$A$1:$F$32,MATCH(tbl_clean_sales[[#This Row],[target key]],'05_Target_Master'!$F$1:$F$32,0),3),"Missing")</f>
        <v>140000</v>
      </c>
    </row>
    <row r="504" spans="1:21" x14ac:dyDescent="0.3">
      <c r="A504" s="21">
        <v>46148</v>
      </c>
      <c r="B504" s="22" t="s">
        <v>538</v>
      </c>
      <c r="C504" s="22" t="s">
        <v>40</v>
      </c>
      <c r="D504" s="22" t="s">
        <v>48</v>
      </c>
      <c r="E504" s="22" t="s">
        <v>26</v>
      </c>
      <c r="F504" s="22">
        <v>10</v>
      </c>
      <c r="G504" s="23">
        <v>2599.23</v>
      </c>
      <c r="H504" s="25" t="str">
        <f>IF(COUNTIF(tbl_clean_sales[Invoice_ID],tbl_clean_sales[[#This Row],[Invoice_ID]])&gt;1,"Duplicate","Unique")</f>
        <v>Unique</v>
      </c>
      <c r="I504" s="25"/>
      <c r="J50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4" s="25" t="str">
        <f>IFERROR(VLOOKUP(tbl_clean_sales[[#This Row],[Employee_ID]],'02_Employee_Master'!$A$1:$C$12,2,FALSE),"Employee Name Missing")</f>
        <v>Meena V</v>
      </c>
      <c r="L504" s="25" t="str">
        <f>IFERROR(VLOOKUP(tbl_clean_sales[[#This Row],[Employee_ID]],'02_Employee_Master'!$A$1:$C$12,3,FALSE),"Department Name Missing")</f>
        <v>Sales</v>
      </c>
      <c r="M504" s="25" t="str">
        <f>IF('03_Clean_data'!D504="","Missing",IFERROR(IF(VLOOKUP(D504,'03_Product_Master'!$A$1:$D$14,1,FALSE)='03_Clean_data'!D504,"Valid","Invalid"),"Invalid"))</f>
        <v>Valid</v>
      </c>
      <c r="N504" s="25" t="str">
        <f>IFERROR(VLOOKUP(tbl_clean_sales[[#This Row],[Product_ID]],'03_Product_Master'!$A$1:$D$14,2,FALSE),"Missing")</f>
        <v>Face Wash</v>
      </c>
      <c r="O504" s="25" t="str">
        <f>IFERROR(VLOOKUP(tbl_clean_sales[[#This Row],[Product_ID]],'03_Product_Master'!$A$1:$D$14,3,FALSE),"Missing")</f>
        <v>Personal Care</v>
      </c>
      <c r="P504" s="25">
        <f>IFERROR(VLOOKUP(tbl_clean_sales[[#This Row],[Product_ID]],'03_Product_Master'!$A$1:$D$14,4,FALSE),"Missing")</f>
        <v>260</v>
      </c>
      <c r="Q504" s="25" t="str">
        <f>IF('03_Clean_data'!E504="","Missing",IFERROR(IF(VLOOKUP(E504,'04_Branch_Master'!$A$1:$C$7,1,FALSE)='03_Clean_data'!E504,"Valid","Invalid"),"Invalid"))</f>
        <v>Valid</v>
      </c>
      <c r="R504" s="25" t="str">
        <f>IFERROR(VLOOKUP(tbl_clean_sales[[#This Row],[Branch_ID]],'04_Branch_Master'!$A$1:$C$7,2,FALSE),"Missing")</f>
        <v>Palladam</v>
      </c>
      <c r="S504" s="25" t="str">
        <f>IFERROR(VLOOKUP(tbl_clean_sales[[#This Row],[Branch_ID]],'04_Branch_Master'!$A$1:$C$7,3,FALSE),"Missing")</f>
        <v>South</v>
      </c>
      <c r="T504" s="25" t="str">
        <f>C504&amp;"|"&amp;TEXT(tbl_clean_sales[[#This Row],[Date]],"yyyymm")</f>
        <v>E006|202605</v>
      </c>
      <c r="U504" s="25">
        <f>IFERROR(INDEX('05_Target_Master'!$A$1:$F$32,MATCH(tbl_clean_sales[[#This Row],[target key]],'05_Target_Master'!$F$1:$F$32,0),3),"Missing")</f>
        <v>141500</v>
      </c>
    </row>
    <row r="505" spans="1:21" x14ac:dyDescent="0.3">
      <c r="A505" s="21">
        <v>46124</v>
      </c>
      <c r="B505" s="22" t="s">
        <v>539</v>
      </c>
      <c r="C505" s="22" t="s">
        <v>38</v>
      </c>
      <c r="D505" s="22" t="s">
        <v>43</v>
      </c>
      <c r="E505" s="22" t="s">
        <v>32</v>
      </c>
      <c r="F505" s="22">
        <v>6</v>
      </c>
      <c r="G505" s="23">
        <v>1831.89</v>
      </c>
      <c r="H505" s="25" t="str">
        <f>IF(COUNTIF(tbl_clean_sales[Invoice_ID],tbl_clean_sales[[#This Row],[Invoice_ID]])&gt;1,"Duplicate","Unique")</f>
        <v>Unique</v>
      </c>
      <c r="I505" s="25"/>
      <c r="J50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5" s="25" t="str">
        <f>IFERROR(VLOOKUP(tbl_clean_sales[[#This Row],[Employee_ID]],'02_Employee_Master'!$A$1:$C$12,2,FALSE),"Employee Name Missing")</f>
        <v>Nandhini K</v>
      </c>
      <c r="L505" s="25" t="str">
        <f>IFERROR(VLOOKUP(tbl_clean_sales[[#This Row],[Employee_ID]],'02_Employee_Master'!$A$1:$C$12,3,FALSE),"Department Name Missing")</f>
        <v>Sales</v>
      </c>
      <c r="M505" s="25" t="str">
        <f>IF('03_Clean_data'!D505="","Missing",IFERROR(IF(VLOOKUP(D505,'03_Product_Master'!$A$1:$D$14,1,FALSE)='03_Clean_data'!D505,"Valid","Invalid"),"Invalid"))</f>
        <v>Valid</v>
      </c>
      <c r="N505" s="25" t="str">
        <f>IFERROR(VLOOKUP(tbl_clean_sales[[#This Row],[Product_ID]],'03_Product_Master'!$A$1:$D$14,2,FALSE),"Missing")</f>
        <v>Laundry Liquid</v>
      </c>
      <c r="O505" s="25" t="str">
        <f>IFERROR(VLOOKUP(tbl_clean_sales[[#This Row],[Product_ID]],'03_Product_Master'!$A$1:$D$14,3,FALSE),"Missing")</f>
        <v>Home Care</v>
      </c>
      <c r="P505" s="25">
        <f>IFERROR(VLOOKUP(tbl_clean_sales[[#This Row],[Product_ID]],'03_Product_Master'!$A$1:$D$14,4,FALSE),"Missing")</f>
        <v>340</v>
      </c>
      <c r="Q505" s="25" t="str">
        <f>IF('03_Clean_data'!E505="","Missing",IFERROR(IF(VLOOKUP(E505,'04_Branch_Master'!$A$1:$C$7,1,FALSE)='03_Clean_data'!E505,"Valid","Invalid"),"Invalid"))</f>
        <v>Valid</v>
      </c>
      <c r="R505" s="25" t="str">
        <f>IFERROR(VLOOKUP(tbl_clean_sales[[#This Row],[Branch_ID]],'04_Branch_Master'!$A$1:$C$7,2,FALSE),"Missing")</f>
        <v>Kangeyam</v>
      </c>
      <c r="S505" s="25" t="str">
        <f>IFERROR(VLOOKUP(tbl_clean_sales[[#This Row],[Branch_ID]],'04_Branch_Master'!$A$1:$C$7,3,FALSE),"Missing")</f>
        <v>East</v>
      </c>
      <c r="T505" s="25" t="str">
        <f>C505&amp;"|"&amp;TEXT(tbl_clean_sales[[#This Row],[Date]],"yyyymm")</f>
        <v>E008|202604</v>
      </c>
      <c r="U505" s="25">
        <f>IFERROR(INDEX('05_Target_Master'!$A$1:$F$32,MATCH(tbl_clean_sales[[#This Row],[target key]],'05_Target_Master'!$F$1:$F$32,0),3),"Missing")</f>
        <v>124100</v>
      </c>
    </row>
    <row r="506" spans="1:21" x14ac:dyDescent="0.3">
      <c r="A506" s="21">
        <v>46181</v>
      </c>
      <c r="B506" s="22" t="s">
        <v>540</v>
      </c>
      <c r="C506" s="22" t="s">
        <v>46</v>
      </c>
      <c r="D506" s="22" t="s">
        <v>30</v>
      </c>
      <c r="E506" s="22" t="s">
        <v>14</v>
      </c>
      <c r="F506" s="22">
        <v>8</v>
      </c>
      <c r="G506" s="23">
        <v>1238.75</v>
      </c>
      <c r="H506" s="25" t="str">
        <f>IF(COUNTIF(tbl_clean_sales[Invoice_ID],tbl_clean_sales[[#This Row],[Invoice_ID]])&gt;1,"Duplicate","Unique")</f>
        <v>Unique</v>
      </c>
      <c r="I506" s="25"/>
      <c r="J50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6" s="25" t="str">
        <f>IFERROR(VLOOKUP(tbl_clean_sales[[#This Row],[Employee_ID]],'02_Employee_Master'!$A$1:$C$12,2,FALSE),"Employee Name Missing")</f>
        <v>Suresh B</v>
      </c>
      <c r="L506" s="25" t="str">
        <f>IFERROR(VLOOKUP(tbl_clean_sales[[#This Row],[Employee_ID]],'02_Employee_Master'!$A$1:$C$12,3,FALSE),"Department Name Missing")</f>
        <v>Sales</v>
      </c>
      <c r="M506" s="25" t="str">
        <f>IF('03_Clean_data'!D506="","Missing",IFERROR(IF(VLOOKUP(D506,'03_Product_Master'!$A$1:$D$14,1,FALSE)='03_Clean_data'!D506,"Valid","Invalid"),"Invalid"))</f>
        <v>Valid</v>
      </c>
      <c r="N506" s="25" t="str">
        <f>IFERROR(VLOOKUP(tbl_clean_sales[[#This Row],[Product_ID]],'03_Product_Master'!$A$1:$D$14,2,FALSE),"Missing")</f>
        <v>Cookies Pack</v>
      </c>
      <c r="O506" s="25" t="str">
        <f>IFERROR(VLOOKUP(tbl_clean_sales[[#This Row],[Product_ID]],'03_Product_Master'!$A$1:$D$14,3,FALSE),"Missing")</f>
        <v>Snacks</v>
      </c>
      <c r="P506" s="25">
        <f>IFERROR(VLOOKUP(tbl_clean_sales[[#This Row],[Product_ID]],'03_Product_Master'!$A$1:$D$14,4,FALSE),"Missing")</f>
        <v>160</v>
      </c>
      <c r="Q506" s="25" t="str">
        <f>IF('03_Clean_data'!E506="","Missing",IFERROR(IF(VLOOKUP(E506,'04_Branch_Master'!$A$1:$C$7,1,FALSE)='03_Clean_data'!E506,"Valid","Invalid"),"Invalid"))</f>
        <v>Valid</v>
      </c>
      <c r="R506" s="25" t="str">
        <f>IFERROR(VLOOKUP(tbl_clean_sales[[#This Row],[Branch_ID]],'04_Branch_Master'!$A$1:$C$7,2,FALSE),"Missing")</f>
        <v>Avinashi Road</v>
      </c>
      <c r="S506" s="25" t="str">
        <f>IFERROR(VLOOKUP(tbl_clean_sales[[#This Row],[Branch_ID]],'04_Branch_Master'!$A$1:$C$7,3,FALSE),"Missing")</f>
        <v>North</v>
      </c>
      <c r="T506" s="25" t="str">
        <f>C506&amp;"|"&amp;TEXT(tbl_clean_sales[[#This Row],[Date]],"yyyymm")</f>
        <v>E007|202606</v>
      </c>
      <c r="U506" s="25">
        <f>IFERROR(INDEX('05_Target_Master'!$A$1:$F$32,MATCH(tbl_clean_sales[[#This Row],[target key]],'05_Target_Master'!$F$1:$F$32,0),3),"Missing")</f>
        <v>124400</v>
      </c>
    </row>
    <row r="507" spans="1:21" x14ac:dyDescent="0.3">
      <c r="A507" s="21">
        <v>46149</v>
      </c>
      <c r="B507" s="22" t="s">
        <v>541</v>
      </c>
      <c r="C507" s="22" t="s">
        <v>40</v>
      </c>
      <c r="D507" s="22" t="s">
        <v>13</v>
      </c>
      <c r="E507" s="22" t="s">
        <v>26</v>
      </c>
      <c r="F507" s="22">
        <v>10</v>
      </c>
      <c r="G507" s="23">
        <v>3501.07</v>
      </c>
      <c r="H507" s="25" t="str">
        <f>IF(COUNTIF(tbl_clean_sales[Invoice_ID],tbl_clean_sales[[#This Row],[Invoice_ID]])&gt;1,"Duplicate","Unique")</f>
        <v>Unique</v>
      </c>
      <c r="I507" s="25"/>
      <c r="J50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7" s="25" t="str">
        <f>IFERROR(VLOOKUP(tbl_clean_sales[[#This Row],[Employee_ID]],'02_Employee_Master'!$A$1:$C$12,2,FALSE),"Employee Name Missing")</f>
        <v>Meena V</v>
      </c>
      <c r="L507" s="25" t="str">
        <f>IFERROR(VLOOKUP(tbl_clean_sales[[#This Row],[Employee_ID]],'02_Employee_Master'!$A$1:$C$12,3,FALSE),"Department Name Missing")</f>
        <v>Sales</v>
      </c>
      <c r="M507" s="25" t="str">
        <f>IF('03_Clean_data'!D507="","Missing",IFERROR(IF(VLOOKUP(D507,'03_Product_Master'!$A$1:$D$14,1,FALSE)='03_Clean_data'!D507,"Valid","Invalid"),"Invalid"))</f>
        <v>Valid</v>
      </c>
      <c r="N507" s="25" t="str">
        <f>IFERROR(VLOOKUP(tbl_clean_sales[[#This Row],[Product_ID]],'03_Product_Master'!$A$1:$D$14,2,FALSE),"Missing")</f>
        <v>Body Lotion</v>
      </c>
      <c r="O507" s="25" t="str">
        <f>IFERROR(VLOOKUP(tbl_clean_sales[[#This Row],[Product_ID]],'03_Product_Master'!$A$1:$D$14,3,FALSE),"Missing")</f>
        <v>Personal Care</v>
      </c>
      <c r="P507" s="25">
        <f>IFERROR(VLOOKUP(tbl_clean_sales[[#This Row],[Product_ID]],'03_Product_Master'!$A$1:$D$14,4,FALSE),"Missing")</f>
        <v>390</v>
      </c>
      <c r="Q507" s="25" t="str">
        <f>IF('03_Clean_data'!E507="","Missing",IFERROR(IF(VLOOKUP(E507,'04_Branch_Master'!$A$1:$C$7,1,FALSE)='03_Clean_data'!E507,"Valid","Invalid"),"Invalid"))</f>
        <v>Valid</v>
      </c>
      <c r="R507" s="25" t="str">
        <f>IFERROR(VLOOKUP(tbl_clean_sales[[#This Row],[Branch_ID]],'04_Branch_Master'!$A$1:$C$7,2,FALSE),"Missing")</f>
        <v>Palladam</v>
      </c>
      <c r="S507" s="25" t="str">
        <f>IFERROR(VLOOKUP(tbl_clean_sales[[#This Row],[Branch_ID]],'04_Branch_Master'!$A$1:$C$7,3,FALSE),"Missing")</f>
        <v>South</v>
      </c>
      <c r="T507" s="25" t="str">
        <f>C507&amp;"|"&amp;TEXT(tbl_clean_sales[[#This Row],[Date]],"yyyymm")</f>
        <v>E006|202605</v>
      </c>
      <c r="U507" s="25">
        <f>IFERROR(INDEX('05_Target_Master'!$A$1:$F$32,MATCH(tbl_clean_sales[[#This Row],[target key]],'05_Target_Master'!$F$1:$F$32,0),3),"Missing")</f>
        <v>141500</v>
      </c>
    </row>
    <row r="508" spans="1:21" x14ac:dyDescent="0.3">
      <c r="A508" s="21">
        <v>46156</v>
      </c>
      <c r="B508" s="22" t="s">
        <v>542</v>
      </c>
      <c r="C508" s="22" t="s">
        <v>74</v>
      </c>
      <c r="D508" s="22" t="s">
        <v>25</v>
      </c>
      <c r="E508" s="22" t="s">
        <v>22</v>
      </c>
      <c r="F508" s="22">
        <v>8</v>
      </c>
      <c r="G508" s="23">
        <v>3353.44</v>
      </c>
      <c r="H508" s="25" t="str">
        <f>IF(COUNTIF(tbl_clean_sales[Invoice_ID],tbl_clean_sales[[#This Row],[Invoice_ID]])&gt;1,"Duplicate","Unique")</f>
        <v>Unique</v>
      </c>
      <c r="I508" s="25"/>
      <c r="J50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8" s="25" t="str">
        <f>IFERROR(VLOOKUP(tbl_clean_sales[[#This Row],[Employee_ID]],'02_Employee_Master'!$A$1:$C$12,2,FALSE),"Employee Name Missing")</f>
        <v>Arun Kumar</v>
      </c>
      <c r="L508" s="25" t="str">
        <f>IFERROR(VLOOKUP(tbl_clean_sales[[#This Row],[Employee_ID]],'02_Employee_Master'!$A$1:$C$12,3,FALSE),"Department Name Missing")</f>
        <v>Sales</v>
      </c>
      <c r="M508" s="25" t="str">
        <f>IF('03_Clean_data'!D508="","Missing",IFERROR(IF(VLOOKUP(D508,'03_Product_Master'!$A$1:$D$14,1,FALSE)='03_Clean_data'!D508,"Valid","Invalid"),"Invalid"))</f>
        <v>Valid</v>
      </c>
      <c r="N508" s="25" t="str">
        <f>IFERROR(VLOOKUP(tbl_clean_sales[[#This Row],[Product_ID]],'03_Product_Master'!$A$1:$D$14,2,FALSE),"Missing")</f>
        <v>Premium Coffee</v>
      </c>
      <c r="O508" s="25" t="str">
        <f>IFERROR(VLOOKUP(tbl_clean_sales[[#This Row],[Product_ID]],'03_Product_Master'!$A$1:$D$14,3,FALSE),"Missing")</f>
        <v>Beverages</v>
      </c>
      <c r="P508" s="25">
        <f>IFERROR(VLOOKUP(tbl_clean_sales[[#This Row],[Product_ID]],'03_Product_Master'!$A$1:$D$14,4,FALSE),"Missing")</f>
        <v>420</v>
      </c>
      <c r="Q508" s="25" t="str">
        <f>IF('03_Clean_data'!E508="","Missing",IFERROR(IF(VLOOKUP(E508,'04_Branch_Master'!$A$1:$C$7,1,FALSE)='03_Clean_data'!E508,"Valid","Invalid"),"Invalid"))</f>
        <v>Valid</v>
      </c>
      <c r="R508" s="25" t="str">
        <f>IFERROR(VLOOKUP(tbl_clean_sales[[#This Row],[Branch_ID]],'04_Branch_Master'!$A$1:$C$7,2,FALSE),"Missing")</f>
        <v>Tirupur Central</v>
      </c>
      <c r="S508" s="25" t="str">
        <f>IFERROR(VLOOKUP(tbl_clean_sales[[#This Row],[Branch_ID]],'04_Branch_Master'!$A$1:$C$7,3,FALSE),"Missing")</f>
        <v>North</v>
      </c>
      <c r="T508" s="25" t="str">
        <f>C508&amp;"|"&amp;TEXT(tbl_clean_sales[[#This Row],[Date]],"yyyymm")</f>
        <v>E001|202605</v>
      </c>
      <c r="U508" s="25">
        <f>IFERROR(INDEX('05_Target_Master'!$A$1:$F$32,MATCH(tbl_clean_sales[[#This Row],[target key]],'05_Target_Master'!$F$1:$F$32,0),3),"Missing")</f>
        <v>169500</v>
      </c>
    </row>
    <row r="509" spans="1:21" x14ac:dyDescent="0.3">
      <c r="A509" s="21">
        <v>46133</v>
      </c>
      <c r="B509" s="22" t="s">
        <v>543</v>
      </c>
      <c r="C509" s="22" t="s">
        <v>38</v>
      </c>
      <c r="D509" s="22" t="s">
        <v>48</v>
      </c>
      <c r="E509" s="22" t="s">
        <v>32</v>
      </c>
      <c r="F509" s="22">
        <v>7</v>
      </c>
      <c r="G509" s="23">
        <v>1775.81</v>
      </c>
      <c r="H509" s="25" t="str">
        <f>IF(COUNTIF(tbl_clean_sales[Invoice_ID],tbl_clean_sales[[#This Row],[Invoice_ID]])&gt;1,"Duplicate","Unique")</f>
        <v>Unique</v>
      </c>
      <c r="I509" s="25"/>
      <c r="J50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09" s="25" t="str">
        <f>IFERROR(VLOOKUP(tbl_clean_sales[[#This Row],[Employee_ID]],'02_Employee_Master'!$A$1:$C$12,2,FALSE),"Employee Name Missing")</f>
        <v>Nandhini K</v>
      </c>
      <c r="L509" s="25" t="str">
        <f>IFERROR(VLOOKUP(tbl_clean_sales[[#This Row],[Employee_ID]],'02_Employee_Master'!$A$1:$C$12,3,FALSE),"Department Name Missing")</f>
        <v>Sales</v>
      </c>
      <c r="M509" s="25" t="str">
        <f>IF('03_Clean_data'!D509="","Missing",IFERROR(IF(VLOOKUP(D509,'03_Product_Master'!$A$1:$D$14,1,FALSE)='03_Clean_data'!D509,"Valid","Invalid"),"Invalid"))</f>
        <v>Valid</v>
      </c>
      <c r="N509" s="25" t="str">
        <f>IFERROR(VLOOKUP(tbl_clean_sales[[#This Row],[Product_ID]],'03_Product_Master'!$A$1:$D$14,2,FALSE),"Missing")</f>
        <v>Face Wash</v>
      </c>
      <c r="O509" s="25" t="str">
        <f>IFERROR(VLOOKUP(tbl_clean_sales[[#This Row],[Product_ID]],'03_Product_Master'!$A$1:$D$14,3,FALSE),"Missing")</f>
        <v>Personal Care</v>
      </c>
      <c r="P509" s="25">
        <f>IFERROR(VLOOKUP(tbl_clean_sales[[#This Row],[Product_ID]],'03_Product_Master'!$A$1:$D$14,4,FALSE),"Missing")</f>
        <v>260</v>
      </c>
      <c r="Q509" s="25" t="str">
        <f>IF('03_Clean_data'!E509="","Missing",IFERROR(IF(VLOOKUP(E509,'04_Branch_Master'!$A$1:$C$7,1,FALSE)='03_Clean_data'!E509,"Valid","Invalid"),"Invalid"))</f>
        <v>Valid</v>
      </c>
      <c r="R509" s="25" t="str">
        <f>IFERROR(VLOOKUP(tbl_clean_sales[[#This Row],[Branch_ID]],'04_Branch_Master'!$A$1:$C$7,2,FALSE),"Missing")</f>
        <v>Kangeyam</v>
      </c>
      <c r="S509" s="25" t="str">
        <f>IFERROR(VLOOKUP(tbl_clean_sales[[#This Row],[Branch_ID]],'04_Branch_Master'!$A$1:$C$7,3,FALSE),"Missing")</f>
        <v>East</v>
      </c>
      <c r="T509" s="25" t="str">
        <f>C509&amp;"|"&amp;TEXT(tbl_clean_sales[[#This Row],[Date]],"yyyymm")</f>
        <v>E008|202604</v>
      </c>
      <c r="U509" s="25">
        <f>IFERROR(INDEX('05_Target_Master'!$A$1:$F$32,MATCH(tbl_clean_sales[[#This Row],[target key]],'05_Target_Master'!$F$1:$F$32,0),3),"Missing")</f>
        <v>124100</v>
      </c>
    </row>
    <row r="510" spans="1:21" x14ac:dyDescent="0.3">
      <c r="A510" s="21">
        <v>46201</v>
      </c>
      <c r="B510" s="22" t="s">
        <v>544</v>
      </c>
      <c r="C510" s="22" t="s">
        <v>18</v>
      </c>
      <c r="D510" s="22" t="s">
        <v>43</v>
      </c>
      <c r="E510" s="22" t="s">
        <v>14</v>
      </c>
      <c r="F510" s="22">
        <v>5</v>
      </c>
      <c r="G510" s="23">
        <v>1680.96</v>
      </c>
      <c r="H510" s="25" t="str">
        <f>IF(COUNTIF(tbl_clean_sales[Invoice_ID],tbl_clean_sales[[#This Row],[Invoice_ID]])&gt;1,"Duplicate","Unique")</f>
        <v>Unique</v>
      </c>
      <c r="I510" s="25"/>
      <c r="J5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0" s="25" t="str">
        <f>IFERROR(VLOOKUP(tbl_clean_sales[[#This Row],[Employee_ID]],'02_Employee_Master'!$A$1:$C$12,2,FALSE),"Employee Name Missing")</f>
        <v>Rahul M</v>
      </c>
      <c r="L510" s="25" t="str">
        <f>IFERROR(VLOOKUP(tbl_clean_sales[[#This Row],[Employee_ID]],'02_Employee_Master'!$A$1:$C$12,3,FALSE),"Department Name Missing")</f>
        <v>Sales</v>
      </c>
      <c r="M510" s="25" t="str">
        <f>IF('03_Clean_data'!D510="","Missing",IFERROR(IF(VLOOKUP(D510,'03_Product_Master'!$A$1:$D$14,1,FALSE)='03_Clean_data'!D510,"Valid","Invalid"),"Invalid"))</f>
        <v>Valid</v>
      </c>
      <c r="N510" s="25" t="str">
        <f>IFERROR(VLOOKUP(tbl_clean_sales[[#This Row],[Product_ID]],'03_Product_Master'!$A$1:$D$14,2,FALSE),"Missing")</f>
        <v>Laundry Liquid</v>
      </c>
      <c r="O510" s="25" t="str">
        <f>IFERROR(VLOOKUP(tbl_clean_sales[[#This Row],[Product_ID]],'03_Product_Master'!$A$1:$D$14,3,FALSE),"Missing")</f>
        <v>Home Care</v>
      </c>
      <c r="P510" s="25">
        <f>IFERROR(VLOOKUP(tbl_clean_sales[[#This Row],[Product_ID]],'03_Product_Master'!$A$1:$D$14,4,FALSE),"Missing")</f>
        <v>340</v>
      </c>
      <c r="Q510" s="25" t="str">
        <f>IF('03_Clean_data'!E510="","Missing",IFERROR(IF(VLOOKUP(E510,'04_Branch_Master'!$A$1:$C$7,1,FALSE)='03_Clean_data'!E510,"Valid","Invalid"),"Invalid"))</f>
        <v>Valid</v>
      </c>
      <c r="R510" s="25" t="str">
        <f>IFERROR(VLOOKUP(tbl_clean_sales[[#This Row],[Branch_ID]],'04_Branch_Master'!$A$1:$C$7,2,FALSE),"Missing")</f>
        <v>Avinashi Road</v>
      </c>
      <c r="S510" s="25" t="str">
        <f>IFERROR(VLOOKUP(tbl_clean_sales[[#This Row],[Branch_ID]],'04_Branch_Master'!$A$1:$C$7,3,FALSE),"Missing")</f>
        <v>North</v>
      </c>
      <c r="T510" s="25" t="str">
        <f>C510&amp;"|"&amp;TEXT(tbl_clean_sales[[#This Row],[Date]],"yyyymm")</f>
        <v>E003|202606</v>
      </c>
      <c r="U510" s="25">
        <f>IFERROR(INDEX('05_Target_Master'!$A$1:$F$32,MATCH(tbl_clean_sales[[#This Row],[target key]],'05_Target_Master'!$F$1:$F$32,0),3),"Missing")</f>
        <v>112000</v>
      </c>
    </row>
    <row r="511" spans="1:21" x14ac:dyDescent="0.3">
      <c r="A511" s="21">
        <v>46159</v>
      </c>
      <c r="B511" s="22" t="s">
        <v>545</v>
      </c>
      <c r="C511" s="22" t="s">
        <v>24</v>
      </c>
      <c r="D511" s="22" t="s">
        <v>9</v>
      </c>
      <c r="E511" s="22" t="s">
        <v>26</v>
      </c>
      <c r="F511" s="22">
        <v>11</v>
      </c>
      <c r="G511" s="23">
        <v>3018.82</v>
      </c>
      <c r="H511" s="25" t="str">
        <f>IF(COUNTIF(tbl_clean_sales[Invoice_ID],tbl_clean_sales[[#This Row],[Invoice_ID]])&gt;1,"Duplicate","Unique")</f>
        <v>Unique</v>
      </c>
      <c r="I511" s="25"/>
      <c r="J5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1" s="25" t="str">
        <f>IFERROR(VLOOKUP(tbl_clean_sales[[#This Row],[Employee_ID]],'02_Employee_Master'!$A$1:$C$12,2,FALSE),"Employee Name Missing")</f>
        <v>Karthik P</v>
      </c>
      <c r="L511" s="25" t="str">
        <f>IFERROR(VLOOKUP(tbl_clean_sales[[#This Row],[Employee_ID]],'02_Employee_Master'!$A$1:$C$12,3,FALSE),"Department Name Missing")</f>
        <v>Sales</v>
      </c>
      <c r="M511" s="25" t="str">
        <f>IF('03_Clean_data'!D511="","Missing",IFERROR(IF(VLOOKUP(D511,'03_Product_Master'!$A$1:$D$14,1,FALSE)='03_Clean_data'!D511,"Valid","Invalid"),"Invalid"))</f>
        <v>Valid</v>
      </c>
      <c r="N511" s="25" t="str">
        <f>IFERROR(VLOOKUP(tbl_clean_sales[[#This Row],[Product_ID]],'03_Product_Master'!$A$1:$D$14,2,FALSE),"Missing")</f>
        <v>Green Tea</v>
      </c>
      <c r="O511" s="25" t="str">
        <f>IFERROR(VLOOKUP(tbl_clean_sales[[#This Row],[Product_ID]],'03_Product_Master'!$A$1:$D$14,3,FALSE),"Missing")</f>
        <v>Beverages</v>
      </c>
      <c r="P511" s="25">
        <f>IFERROR(VLOOKUP(tbl_clean_sales[[#This Row],[Product_ID]],'03_Product_Master'!$A$1:$D$14,4,FALSE),"Missing")</f>
        <v>280</v>
      </c>
      <c r="Q511" s="25" t="str">
        <f>IF('03_Clean_data'!E511="","Missing",IFERROR(IF(VLOOKUP(E511,'04_Branch_Master'!$A$1:$C$7,1,FALSE)='03_Clean_data'!E511,"Valid","Invalid"),"Invalid"))</f>
        <v>Valid</v>
      </c>
      <c r="R511" s="25" t="str">
        <f>IFERROR(VLOOKUP(tbl_clean_sales[[#This Row],[Branch_ID]],'04_Branch_Master'!$A$1:$C$7,2,FALSE),"Missing")</f>
        <v>Palladam</v>
      </c>
      <c r="S511" s="25" t="str">
        <f>IFERROR(VLOOKUP(tbl_clean_sales[[#This Row],[Branch_ID]],'04_Branch_Master'!$A$1:$C$7,3,FALSE),"Missing")</f>
        <v>South</v>
      </c>
      <c r="T511" s="25" t="str">
        <f>C511&amp;"|"&amp;TEXT(tbl_clean_sales[[#This Row],[Date]],"yyyymm")</f>
        <v>E005|202605</v>
      </c>
      <c r="U511" s="25">
        <f>IFERROR(INDEX('05_Target_Master'!$A$1:$F$32,MATCH(tbl_clean_sales[[#This Row],[target key]],'05_Target_Master'!$F$1:$F$32,0),3),"Missing")</f>
        <v>143700</v>
      </c>
    </row>
    <row r="512" spans="1:21" x14ac:dyDescent="0.3">
      <c r="A512" s="21">
        <v>46163</v>
      </c>
      <c r="B512" s="22" t="s">
        <v>546</v>
      </c>
      <c r="C512" s="22" t="s">
        <v>24</v>
      </c>
      <c r="D512" s="22" t="s">
        <v>19</v>
      </c>
      <c r="E512" s="22" t="s">
        <v>26</v>
      </c>
      <c r="F512" s="22">
        <v>4</v>
      </c>
      <c r="G512" s="23">
        <v>872.61</v>
      </c>
      <c r="H512" s="25" t="str">
        <f>IF(COUNTIF(tbl_clean_sales[Invoice_ID],tbl_clean_sales[[#This Row],[Invoice_ID]])&gt;1,"Duplicate","Unique")</f>
        <v>Unique</v>
      </c>
      <c r="I512" s="25"/>
      <c r="J5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2" s="25" t="str">
        <f>IFERROR(VLOOKUP(tbl_clean_sales[[#This Row],[Employee_ID]],'02_Employee_Master'!$A$1:$C$12,2,FALSE),"Employee Name Missing")</f>
        <v>Karthik P</v>
      </c>
      <c r="L512" s="25" t="str">
        <f>IFERROR(VLOOKUP(tbl_clean_sales[[#This Row],[Employee_ID]],'02_Employee_Master'!$A$1:$C$12,3,FALSE),"Department Name Missing")</f>
        <v>Sales</v>
      </c>
      <c r="M512" s="25" t="str">
        <f>IF('03_Clean_data'!D512="","Missing",IFERROR(IF(VLOOKUP(D512,'03_Product_Master'!$A$1:$D$14,1,FALSE)='03_Clean_data'!D512,"Valid","Invalid"),"Invalid"))</f>
        <v>Valid</v>
      </c>
      <c r="N512" s="25" t="str">
        <f>IFERROR(VLOOKUP(tbl_clean_sales[[#This Row],[Product_ID]],'03_Product_Master'!$A$1:$D$14,2,FALSE),"Missing")</f>
        <v>Floor Cleaner</v>
      </c>
      <c r="O512" s="25" t="str">
        <f>IFERROR(VLOOKUP(tbl_clean_sales[[#This Row],[Product_ID]],'03_Product_Master'!$A$1:$D$14,3,FALSE),"Missing")</f>
        <v>Home Care</v>
      </c>
      <c r="P512" s="25">
        <f>IFERROR(VLOOKUP(tbl_clean_sales[[#This Row],[Product_ID]],'03_Product_Master'!$A$1:$D$14,4,FALSE),"Missing")</f>
        <v>230</v>
      </c>
      <c r="Q512" s="25" t="str">
        <f>IF('03_Clean_data'!E512="","Missing",IFERROR(IF(VLOOKUP(E512,'04_Branch_Master'!$A$1:$C$7,1,FALSE)='03_Clean_data'!E512,"Valid","Invalid"),"Invalid"))</f>
        <v>Valid</v>
      </c>
      <c r="R512" s="25" t="str">
        <f>IFERROR(VLOOKUP(tbl_clean_sales[[#This Row],[Branch_ID]],'04_Branch_Master'!$A$1:$C$7,2,FALSE),"Missing")</f>
        <v>Palladam</v>
      </c>
      <c r="S512" s="25" t="str">
        <f>IFERROR(VLOOKUP(tbl_clean_sales[[#This Row],[Branch_ID]],'04_Branch_Master'!$A$1:$C$7,3,FALSE),"Missing")</f>
        <v>South</v>
      </c>
      <c r="T512" s="25" t="str">
        <f>C512&amp;"|"&amp;TEXT(tbl_clean_sales[[#This Row],[Date]],"yyyymm")</f>
        <v>E005|202605</v>
      </c>
      <c r="U512" s="25">
        <f>IFERROR(INDEX('05_Target_Master'!$A$1:$F$32,MATCH(tbl_clean_sales[[#This Row],[target key]],'05_Target_Master'!$F$1:$F$32,0),3),"Missing")</f>
        <v>143700</v>
      </c>
    </row>
    <row r="513" spans="1:21" x14ac:dyDescent="0.3">
      <c r="A513" s="21">
        <v>46124</v>
      </c>
      <c r="B513" s="22" t="s">
        <v>547</v>
      </c>
      <c r="C513" s="22" t="s">
        <v>21</v>
      </c>
      <c r="D513" s="22" t="s">
        <v>25</v>
      </c>
      <c r="E513" s="22" t="s">
        <v>22</v>
      </c>
      <c r="F513" s="22">
        <v>2</v>
      </c>
      <c r="G513" s="23">
        <v>826.62</v>
      </c>
      <c r="H513" s="25" t="str">
        <f>IF(COUNTIF(tbl_clean_sales[Invoice_ID],tbl_clean_sales[[#This Row],[Invoice_ID]])&gt;1,"Duplicate","Unique")</f>
        <v>Unique</v>
      </c>
      <c r="I513" s="25"/>
      <c r="J5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3" s="25" t="str">
        <f>IFERROR(VLOOKUP(tbl_clean_sales[[#This Row],[Employee_ID]],'02_Employee_Master'!$A$1:$C$12,2,FALSE),"Employee Name Missing")</f>
        <v>Priya S</v>
      </c>
      <c r="L513" s="25" t="str">
        <f>IFERROR(VLOOKUP(tbl_clean_sales[[#This Row],[Employee_ID]],'02_Employee_Master'!$A$1:$C$12,3,FALSE),"Department Name Missing")</f>
        <v>Sales</v>
      </c>
      <c r="M513" s="25" t="str">
        <f>IF('03_Clean_data'!D513="","Missing",IFERROR(IF(VLOOKUP(D513,'03_Product_Master'!$A$1:$D$14,1,FALSE)='03_Clean_data'!D513,"Valid","Invalid"),"Invalid"))</f>
        <v>Valid</v>
      </c>
      <c r="N513" s="25" t="str">
        <f>IFERROR(VLOOKUP(tbl_clean_sales[[#This Row],[Product_ID]],'03_Product_Master'!$A$1:$D$14,2,FALSE),"Missing")</f>
        <v>Premium Coffee</v>
      </c>
      <c r="O513" s="25" t="str">
        <f>IFERROR(VLOOKUP(tbl_clean_sales[[#This Row],[Product_ID]],'03_Product_Master'!$A$1:$D$14,3,FALSE),"Missing")</f>
        <v>Beverages</v>
      </c>
      <c r="P513" s="25">
        <f>IFERROR(VLOOKUP(tbl_clean_sales[[#This Row],[Product_ID]],'03_Product_Master'!$A$1:$D$14,4,FALSE),"Missing")</f>
        <v>420</v>
      </c>
      <c r="Q513" s="25" t="str">
        <f>IF('03_Clean_data'!E513="","Missing",IFERROR(IF(VLOOKUP(E513,'04_Branch_Master'!$A$1:$C$7,1,FALSE)='03_Clean_data'!E513,"Valid","Invalid"),"Invalid"))</f>
        <v>Valid</v>
      </c>
      <c r="R513" s="25" t="str">
        <f>IFERROR(VLOOKUP(tbl_clean_sales[[#This Row],[Branch_ID]],'04_Branch_Master'!$A$1:$C$7,2,FALSE),"Missing")</f>
        <v>Tirupur Central</v>
      </c>
      <c r="S513" s="25" t="str">
        <f>IFERROR(VLOOKUP(tbl_clean_sales[[#This Row],[Branch_ID]],'04_Branch_Master'!$A$1:$C$7,3,FALSE),"Missing")</f>
        <v>North</v>
      </c>
      <c r="T513" s="25" t="str">
        <f>C513&amp;"|"&amp;TEXT(tbl_clean_sales[[#This Row],[Date]],"yyyymm")</f>
        <v>E002|202604</v>
      </c>
      <c r="U513" s="25">
        <f>IFERROR(INDEX('05_Target_Master'!$A$1:$F$32,MATCH(tbl_clean_sales[[#This Row],[target key]],'05_Target_Master'!$F$1:$F$32,0),3),"Missing")</f>
        <v>122300</v>
      </c>
    </row>
    <row r="514" spans="1:21" x14ac:dyDescent="0.3">
      <c r="A514" s="21">
        <v>46141</v>
      </c>
      <c r="B514" s="22" t="s">
        <v>548</v>
      </c>
      <c r="C514" s="22" t="s">
        <v>8</v>
      </c>
      <c r="D514" s="22" t="s">
        <v>43</v>
      </c>
      <c r="E514" s="22" t="s">
        <v>10</v>
      </c>
      <c r="F514" s="22">
        <v>1</v>
      </c>
      <c r="G514" s="23">
        <v>311.62</v>
      </c>
      <c r="H514" s="25" t="str">
        <f>IF(COUNTIF(tbl_clean_sales[Invoice_ID],tbl_clean_sales[[#This Row],[Invoice_ID]])&gt;1,"Duplicate","Unique")</f>
        <v>Unique</v>
      </c>
      <c r="I514" s="25"/>
      <c r="J5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4" s="25" t="str">
        <f>IFERROR(VLOOKUP(tbl_clean_sales[[#This Row],[Employee_ID]],'02_Employee_Master'!$A$1:$C$12,2,FALSE),"Employee Name Missing")</f>
        <v>Vignesh R</v>
      </c>
      <c r="L514" s="25" t="str">
        <f>IFERROR(VLOOKUP(tbl_clean_sales[[#This Row],[Employee_ID]],'02_Employee_Master'!$A$1:$C$12,3,FALSE),"Department Name Missing")</f>
        <v>Sales</v>
      </c>
      <c r="M514" s="25" t="str">
        <f>IF('03_Clean_data'!D514="","Missing",IFERROR(IF(VLOOKUP(D514,'03_Product_Master'!$A$1:$D$14,1,FALSE)='03_Clean_data'!D514,"Valid","Invalid"),"Invalid"))</f>
        <v>Valid</v>
      </c>
      <c r="N514" s="25" t="str">
        <f>IFERROR(VLOOKUP(tbl_clean_sales[[#This Row],[Product_ID]],'03_Product_Master'!$A$1:$D$14,2,FALSE),"Missing")</f>
        <v>Laundry Liquid</v>
      </c>
      <c r="O514" s="25" t="str">
        <f>IFERROR(VLOOKUP(tbl_clean_sales[[#This Row],[Product_ID]],'03_Product_Master'!$A$1:$D$14,3,FALSE),"Missing")</f>
        <v>Home Care</v>
      </c>
      <c r="P514" s="25">
        <f>IFERROR(VLOOKUP(tbl_clean_sales[[#This Row],[Product_ID]],'03_Product_Master'!$A$1:$D$14,4,FALSE),"Missing")</f>
        <v>340</v>
      </c>
      <c r="Q514" s="25" t="str">
        <f>IF('03_Clean_data'!E514="","Missing",IFERROR(IF(VLOOKUP(E514,'04_Branch_Master'!$A$1:$C$7,1,FALSE)='03_Clean_data'!E514,"Valid","Invalid"),"Invalid"))</f>
        <v>Valid</v>
      </c>
      <c r="R514" s="25" t="str">
        <f>IFERROR(VLOOKUP(tbl_clean_sales[[#This Row],[Branch_ID]],'04_Branch_Master'!$A$1:$C$7,2,FALSE),"Missing")</f>
        <v>Dharapuram</v>
      </c>
      <c r="S514" s="25" t="str">
        <f>IFERROR(VLOOKUP(tbl_clean_sales[[#This Row],[Branch_ID]],'04_Branch_Master'!$A$1:$C$7,3,FALSE),"Missing")</f>
        <v>South</v>
      </c>
      <c r="T514" s="25" t="str">
        <f>C514&amp;"|"&amp;TEXT(tbl_clean_sales[[#This Row],[Date]],"yyyymm")</f>
        <v>E009|202604</v>
      </c>
      <c r="U514" s="25">
        <f>IFERROR(INDEX('05_Target_Master'!$A$1:$F$32,MATCH(tbl_clean_sales[[#This Row],[target key]],'05_Target_Master'!$F$1:$F$32,0),3),"Missing")</f>
        <v>163300</v>
      </c>
    </row>
    <row r="515" spans="1:21" x14ac:dyDescent="0.3">
      <c r="A515" s="21">
        <v>46128</v>
      </c>
      <c r="B515" s="22" t="s">
        <v>549</v>
      </c>
      <c r="C515" s="22" t="s">
        <v>46</v>
      </c>
      <c r="D515" s="22" t="s">
        <v>19</v>
      </c>
      <c r="E515" s="22" t="s">
        <v>32</v>
      </c>
      <c r="F515" s="22">
        <v>2</v>
      </c>
      <c r="G515" s="23">
        <v>447.36</v>
      </c>
      <c r="H515" s="25" t="str">
        <f>IF(COUNTIF(tbl_clean_sales[Invoice_ID],tbl_clean_sales[[#This Row],[Invoice_ID]])&gt;1,"Duplicate","Unique")</f>
        <v>Unique</v>
      </c>
      <c r="I515" s="25"/>
      <c r="J5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5" s="25" t="str">
        <f>IFERROR(VLOOKUP(tbl_clean_sales[[#This Row],[Employee_ID]],'02_Employee_Master'!$A$1:$C$12,2,FALSE),"Employee Name Missing")</f>
        <v>Suresh B</v>
      </c>
      <c r="L515" s="25" t="str">
        <f>IFERROR(VLOOKUP(tbl_clean_sales[[#This Row],[Employee_ID]],'02_Employee_Master'!$A$1:$C$12,3,FALSE),"Department Name Missing")</f>
        <v>Sales</v>
      </c>
      <c r="M515" s="25" t="str">
        <f>IF('03_Clean_data'!D515="","Missing",IFERROR(IF(VLOOKUP(D515,'03_Product_Master'!$A$1:$D$14,1,FALSE)='03_Clean_data'!D515,"Valid","Invalid"),"Invalid"))</f>
        <v>Valid</v>
      </c>
      <c r="N515" s="25" t="str">
        <f>IFERROR(VLOOKUP(tbl_clean_sales[[#This Row],[Product_ID]],'03_Product_Master'!$A$1:$D$14,2,FALSE),"Missing")</f>
        <v>Floor Cleaner</v>
      </c>
      <c r="O515" s="25" t="str">
        <f>IFERROR(VLOOKUP(tbl_clean_sales[[#This Row],[Product_ID]],'03_Product_Master'!$A$1:$D$14,3,FALSE),"Missing")</f>
        <v>Home Care</v>
      </c>
      <c r="P515" s="25">
        <f>IFERROR(VLOOKUP(tbl_clean_sales[[#This Row],[Product_ID]],'03_Product_Master'!$A$1:$D$14,4,FALSE),"Missing")</f>
        <v>230</v>
      </c>
      <c r="Q515" s="25" t="str">
        <f>IF('03_Clean_data'!E515="","Missing",IFERROR(IF(VLOOKUP(E515,'04_Branch_Master'!$A$1:$C$7,1,FALSE)='03_Clean_data'!E515,"Valid","Invalid"),"Invalid"))</f>
        <v>Valid</v>
      </c>
      <c r="R515" s="25" t="str">
        <f>IFERROR(VLOOKUP(tbl_clean_sales[[#This Row],[Branch_ID]],'04_Branch_Master'!$A$1:$C$7,2,FALSE),"Missing")</f>
        <v>Kangeyam</v>
      </c>
      <c r="S515" s="25" t="str">
        <f>IFERROR(VLOOKUP(tbl_clean_sales[[#This Row],[Branch_ID]],'04_Branch_Master'!$A$1:$C$7,3,FALSE),"Missing")</f>
        <v>East</v>
      </c>
      <c r="T515" s="25" t="str">
        <f>C515&amp;"|"&amp;TEXT(tbl_clean_sales[[#This Row],[Date]],"yyyymm")</f>
        <v>E007|202604</v>
      </c>
      <c r="U515" s="25">
        <f>IFERROR(INDEX('05_Target_Master'!$A$1:$F$32,MATCH(tbl_clean_sales[[#This Row],[target key]],'05_Target_Master'!$F$1:$F$32,0),3),"Missing")</f>
        <v>129600</v>
      </c>
    </row>
    <row r="516" spans="1:21" x14ac:dyDescent="0.3">
      <c r="A516" s="21">
        <v>46124</v>
      </c>
      <c r="B516" s="22" t="s">
        <v>550</v>
      </c>
      <c r="C516" s="22" t="s">
        <v>21</v>
      </c>
      <c r="D516" s="22" t="s">
        <v>9</v>
      </c>
      <c r="E516" s="22" t="s">
        <v>22</v>
      </c>
      <c r="F516" s="22">
        <v>5</v>
      </c>
      <c r="G516" s="23">
        <v>1376.96</v>
      </c>
      <c r="H516" s="25" t="str">
        <f>IF(COUNTIF(tbl_clean_sales[Invoice_ID],tbl_clean_sales[[#This Row],[Invoice_ID]])&gt;1,"Duplicate","Unique")</f>
        <v>Unique</v>
      </c>
      <c r="I516" s="25"/>
      <c r="J5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6" s="25" t="str">
        <f>IFERROR(VLOOKUP(tbl_clean_sales[[#This Row],[Employee_ID]],'02_Employee_Master'!$A$1:$C$12,2,FALSE),"Employee Name Missing")</f>
        <v>Priya S</v>
      </c>
      <c r="L516" s="25" t="str">
        <f>IFERROR(VLOOKUP(tbl_clean_sales[[#This Row],[Employee_ID]],'02_Employee_Master'!$A$1:$C$12,3,FALSE),"Department Name Missing")</f>
        <v>Sales</v>
      </c>
      <c r="M516" s="25" t="str">
        <f>IF('03_Clean_data'!D516="","Missing",IFERROR(IF(VLOOKUP(D516,'03_Product_Master'!$A$1:$D$14,1,FALSE)='03_Clean_data'!D516,"Valid","Invalid"),"Invalid"))</f>
        <v>Valid</v>
      </c>
      <c r="N516" s="25" t="str">
        <f>IFERROR(VLOOKUP(tbl_clean_sales[[#This Row],[Product_ID]],'03_Product_Master'!$A$1:$D$14,2,FALSE),"Missing")</f>
        <v>Green Tea</v>
      </c>
      <c r="O516" s="25" t="str">
        <f>IFERROR(VLOOKUP(tbl_clean_sales[[#This Row],[Product_ID]],'03_Product_Master'!$A$1:$D$14,3,FALSE),"Missing")</f>
        <v>Beverages</v>
      </c>
      <c r="P516" s="25">
        <f>IFERROR(VLOOKUP(tbl_clean_sales[[#This Row],[Product_ID]],'03_Product_Master'!$A$1:$D$14,4,FALSE),"Missing")</f>
        <v>280</v>
      </c>
      <c r="Q516" s="25" t="str">
        <f>IF('03_Clean_data'!E516="","Missing",IFERROR(IF(VLOOKUP(E516,'04_Branch_Master'!$A$1:$C$7,1,FALSE)='03_Clean_data'!E516,"Valid","Invalid"),"Invalid"))</f>
        <v>Valid</v>
      </c>
      <c r="R516" s="25" t="str">
        <f>IFERROR(VLOOKUP(tbl_clean_sales[[#This Row],[Branch_ID]],'04_Branch_Master'!$A$1:$C$7,2,FALSE),"Missing")</f>
        <v>Tirupur Central</v>
      </c>
      <c r="S516" s="25" t="str">
        <f>IFERROR(VLOOKUP(tbl_clean_sales[[#This Row],[Branch_ID]],'04_Branch_Master'!$A$1:$C$7,3,FALSE),"Missing")</f>
        <v>North</v>
      </c>
      <c r="T516" s="25" t="str">
        <f>C516&amp;"|"&amp;TEXT(tbl_clean_sales[[#This Row],[Date]],"yyyymm")</f>
        <v>E002|202604</v>
      </c>
      <c r="U516" s="25">
        <f>IFERROR(INDEX('05_Target_Master'!$A$1:$F$32,MATCH(tbl_clean_sales[[#This Row],[target key]],'05_Target_Master'!$F$1:$F$32,0),3),"Missing")</f>
        <v>122300</v>
      </c>
    </row>
    <row r="517" spans="1:21" x14ac:dyDescent="0.3">
      <c r="A517" s="21">
        <v>46130</v>
      </c>
      <c r="B517" s="22" t="s">
        <v>551</v>
      </c>
      <c r="C517" s="22" t="s">
        <v>18</v>
      </c>
      <c r="D517" s="22" t="s">
        <v>9</v>
      </c>
      <c r="E517" s="22" t="s">
        <v>14</v>
      </c>
      <c r="F517" s="22">
        <v>1</v>
      </c>
      <c r="G517" s="23">
        <v>259.49</v>
      </c>
      <c r="H517" s="25" t="str">
        <f>IF(COUNTIF(tbl_clean_sales[Invoice_ID],tbl_clean_sales[[#This Row],[Invoice_ID]])&gt;1,"Duplicate","Unique")</f>
        <v>Unique</v>
      </c>
      <c r="I517" s="25"/>
      <c r="J5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7" s="25" t="str">
        <f>IFERROR(VLOOKUP(tbl_clean_sales[[#This Row],[Employee_ID]],'02_Employee_Master'!$A$1:$C$12,2,FALSE),"Employee Name Missing")</f>
        <v>Rahul M</v>
      </c>
      <c r="L517" s="25" t="str">
        <f>IFERROR(VLOOKUP(tbl_clean_sales[[#This Row],[Employee_ID]],'02_Employee_Master'!$A$1:$C$12,3,FALSE),"Department Name Missing")</f>
        <v>Sales</v>
      </c>
      <c r="M517" s="25" t="str">
        <f>IF('03_Clean_data'!D517="","Missing",IFERROR(IF(VLOOKUP(D517,'03_Product_Master'!$A$1:$D$14,1,FALSE)='03_Clean_data'!D517,"Valid","Invalid"),"Invalid"))</f>
        <v>Valid</v>
      </c>
      <c r="N517" s="25" t="str">
        <f>IFERROR(VLOOKUP(tbl_clean_sales[[#This Row],[Product_ID]],'03_Product_Master'!$A$1:$D$14,2,FALSE),"Missing")</f>
        <v>Green Tea</v>
      </c>
      <c r="O517" s="25" t="str">
        <f>IFERROR(VLOOKUP(tbl_clean_sales[[#This Row],[Product_ID]],'03_Product_Master'!$A$1:$D$14,3,FALSE),"Missing")</f>
        <v>Beverages</v>
      </c>
      <c r="P517" s="25">
        <f>IFERROR(VLOOKUP(tbl_clean_sales[[#This Row],[Product_ID]],'03_Product_Master'!$A$1:$D$14,4,FALSE),"Missing")</f>
        <v>280</v>
      </c>
      <c r="Q517" s="25" t="str">
        <f>IF('03_Clean_data'!E517="","Missing",IFERROR(IF(VLOOKUP(E517,'04_Branch_Master'!$A$1:$C$7,1,FALSE)='03_Clean_data'!E517,"Valid","Invalid"),"Invalid"))</f>
        <v>Valid</v>
      </c>
      <c r="R517" s="25" t="str">
        <f>IFERROR(VLOOKUP(tbl_clean_sales[[#This Row],[Branch_ID]],'04_Branch_Master'!$A$1:$C$7,2,FALSE),"Missing")</f>
        <v>Avinashi Road</v>
      </c>
      <c r="S517" s="25" t="str">
        <f>IFERROR(VLOOKUP(tbl_clean_sales[[#This Row],[Branch_ID]],'04_Branch_Master'!$A$1:$C$7,3,FALSE),"Missing")</f>
        <v>North</v>
      </c>
      <c r="T517" s="25" t="str">
        <f>C517&amp;"|"&amp;TEXT(tbl_clean_sales[[#This Row],[Date]],"yyyymm")</f>
        <v>E003|202604</v>
      </c>
      <c r="U517" s="25">
        <f>IFERROR(INDEX('05_Target_Master'!$A$1:$F$32,MATCH(tbl_clean_sales[[#This Row],[target key]],'05_Target_Master'!$F$1:$F$32,0),3),"Missing")</f>
        <v>116600</v>
      </c>
    </row>
    <row r="518" spans="1:21" x14ac:dyDescent="0.3">
      <c r="A518" s="21">
        <v>46134</v>
      </c>
      <c r="B518" s="22" t="s">
        <v>552</v>
      </c>
      <c r="C518" s="22" t="s">
        <v>38</v>
      </c>
      <c r="D518" s="22" t="s">
        <v>34</v>
      </c>
      <c r="E518" s="22" t="s">
        <v>32</v>
      </c>
      <c r="F518" s="22">
        <v>11</v>
      </c>
      <c r="G518" s="23">
        <v>1101.3499999999999</v>
      </c>
      <c r="H518" s="25" t="str">
        <f>IF(COUNTIF(tbl_clean_sales[Invoice_ID],tbl_clean_sales[[#This Row],[Invoice_ID]])&gt;1,"Duplicate","Unique")</f>
        <v>Unique</v>
      </c>
      <c r="I518" s="25"/>
      <c r="J5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8" s="25" t="str">
        <f>IFERROR(VLOOKUP(tbl_clean_sales[[#This Row],[Employee_ID]],'02_Employee_Master'!$A$1:$C$12,2,FALSE),"Employee Name Missing")</f>
        <v>Nandhini K</v>
      </c>
      <c r="L518" s="25" t="str">
        <f>IFERROR(VLOOKUP(tbl_clean_sales[[#This Row],[Employee_ID]],'02_Employee_Master'!$A$1:$C$12,3,FALSE),"Department Name Missing")</f>
        <v>Sales</v>
      </c>
      <c r="M518" s="25" t="str">
        <f>IF('03_Clean_data'!D518="","Missing",IFERROR(IF(VLOOKUP(D518,'03_Product_Master'!$A$1:$D$14,1,FALSE)='03_Clean_data'!D518,"Valid","Invalid"),"Invalid"))</f>
        <v>Valid</v>
      </c>
      <c r="N518" s="25" t="str">
        <f>IFERROR(VLOOKUP(tbl_clean_sales[[#This Row],[Product_ID]],'03_Product_Master'!$A$1:$D$14,2,FALSE),"Missing")</f>
        <v>Potato Chips</v>
      </c>
      <c r="O518" s="25" t="str">
        <f>IFERROR(VLOOKUP(tbl_clean_sales[[#This Row],[Product_ID]],'03_Product_Master'!$A$1:$D$14,3,FALSE),"Missing")</f>
        <v>Snacks</v>
      </c>
      <c r="P518" s="25">
        <f>IFERROR(VLOOKUP(tbl_clean_sales[[#This Row],[Product_ID]],'03_Product_Master'!$A$1:$D$14,4,FALSE),"Missing")</f>
        <v>110</v>
      </c>
      <c r="Q518" s="25" t="str">
        <f>IF('03_Clean_data'!E518="","Missing",IFERROR(IF(VLOOKUP(E518,'04_Branch_Master'!$A$1:$C$7,1,FALSE)='03_Clean_data'!E518,"Valid","Invalid"),"Invalid"))</f>
        <v>Valid</v>
      </c>
      <c r="R518" s="25" t="str">
        <f>IFERROR(VLOOKUP(tbl_clean_sales[[#This Row],[Branch_ID]],'04_Branch_Master'!$A$1:$C$7,2,FALSE),"Missing")</f>
        <v>Kangeyam</v>
      </c>
      <c r="S518" s="25" t="str">
        <f>IFERROR(VLOOKUP(tbl_clean_sales[[#This Row],[Branch_ID]],'04_Branch_Master'!$A$1:$C$7,3,FALSE),"Missing")</f>
        <v>East</v>
      </c>
      <c r="T518" s="25" t="str">
        <f>C518&amp;"|"&amp;TEXT(tbl_clean_sales[[#This Row],[Date]],"yyyymm")</f>
        <v>E008|202604</v>
      </c>
      <c r="U518" s="25">
        <f>IFERROR(INDEX('05_Target_Master'!$A$1:$F$32,MATCH(tbl_clean_sales[[#This Row],[target key]],'05_Target_Master'!$F$1:$F$32,0),3),"Missing")</f>
        <v>124100</v>
      </c>
    </row>
    <row r="519" spans="1:21" x14ac:dyDescent="0.3">
      <c r="A519" s="21">
        <v>46165</v>
      </c>
      <c r="B519" s="22" t="s">
        <v>553</v>
      </c>
      <c r="C519" s="22" t="s">
        <v>29</v>
      </c>
      <c r="D519" s="22" t="s">
        <v>43</v>
      </c>
      <c r="E519" s="22" t="s">
        <v>10</v>
      </c>
      <c r="F519" s="22">
        <v>4</v>
      </c>
      <c r="G519" s="23">
        <v>1345.85</v>
      </c>
      <c r="H519" s="25" t="str">
        <f>IF(COUNTIF(tbl_clean_sales[Invoice_ID],tbl_clean_sales[[#This Row],[Invoice_ID]])&gt;1,"Duplicate","Unique")</f>
        <v>Unique</v>
      </c>
      <c r="I519" s="25"/>
      <c r="J5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19" s="25" t="str">
        <f>IFERROR(VLOOKUP(tbl_clean_sales[[#This Row],[Employee_ID]],'02_Employee_Master'!$A$1:$C$12,2,FALSE),"Employee Name Missing")</f>
        <v>Swetha L</v>
      </c>
      <c r="L519" s="25" t="str">
        <f>IFERROR(VLOOKUP(tbl_clean_sales[[#This Row],[Employee_ID]],'02_Employee_Master'!$A$1:$C$12,3,FALSE),"Department Name Missing")</f>
        <v>Sales</v>
      </c>
      <c r="M519" s="25" t="str">
        <f>IF('03_Clean_data'!D519="","Missing",IFERROR(IF(VLOOKUP(D519,'03_Product_Master'!$A$1:$D$14,1,FALSE)='03_Clean_data'!D519,"Valid","Invalid"),"Invalid"))</f>
        <v>Valid</v>
      </c>
      <c r="N519" s="25" t="str">
        <f>IFERROR(VLOOKUP(tbl_clean_sales[[#This Row],[Product_ID]],'03_Product_Master'!$A$1:$D$14,2,FALSE),"Missing")</f>
        <v>Laundry Liquid</v>
      </c>
      <c r="O519" s="25" t="str">
        <f>IFERROR(VLOOKUP(tbl_clean_sales[[#This Row],[Product_ID]],'03_Product_Master'!$A$1:$D$14,3,FALSE),"Missing")</f>
        <v>Home Care</v>
      </c>
      <c r="P519" s="25">
        <f>IFERROR(VLOOKUP(tbl_clean_sales[[#This Row],[Product_ID]],'03_Product_Master'!$A$1:$D$14,4,FALSE),"Missing")</f>
        <v>340</v>
      </c>
      <c r="Q519" s="25" t="str">
        <f>IF('03_Clean_data'!E519="","Missing",IFERROR(IF(VLOOKUP(E519,'04_Branch_Master'!$A$1:$C$7,1,FALSE)='03_Clean_data'!E519,"Valid","Invalid"),"Invalid"))</f>
        <v>Valid</v>
      </c>
      <c r="R519" s="25" t="str">
        <f>IFERROR(VLOOKUP(tbl_clean_sales[[#This Row],[Branch_ID]],'04_Branch_Master'!$A$1:$C$7,2,FALSE),"Missing")</f>
        <v>Dharapuram</v>
      </c>
      <c r="S519" s="25" t="str">
        <f>IFERROR(VLOOKUP(tbl_clean_sales[[#This Row],[Branch_ID]],'04_Branch_Master'!$A$1:$C$7,3,FALSE),"Missing")</f>
        <v>South</v>
      </c>
      <c r="T519" s="25" t="str">
        <f>C519&amp;"|"&amp;TEXT(tbl_clean_sales[[#This Row],[Date]],"yyyymm")</f>
        <v>E010|202605</v>
      </c>
      <c r="U519" s="25">
        <f>IFERROR(INDEX('05_Target_Master'!$A$1:$F$32,MATCH(tbl_clean_sales[[#This Row],[target key]],'05_Target_Master'!$F$1:$F$32,0),3),"Missing")</f>
        <v>131500</v>
      </c>
    </row>
    <row r="520" spans="1:21" x14ac:dyDescent="0.3">
      <c r="A520" s="21">
        <v>46125</v>
      </c>
      <c r="B520" s="22" t="s">
        <v>554</v>
      </c>
      <c r="C520" s="22" t="s">
        <v>18</v>
      </c>
      <c r="D520" s="22" t="s">
        <v>9</v>
      </c>
      <c r="E520" s="22" t="s">
        <v>14</v>
      </c>
      <c r="F520" s="22">
        <v>7</v>
      </c>
      <c r="G520" s="23">
        <v>1877.32</v>
      </c>
      <c r="H520" s="25" t="str">
        <f>IF(COUNTIF(tbl_clean_sales[Invoice_ID],tbl_clean_sales[[#This Row],[Invoice_ID]])&gt;1,"Duplicate","Unique")</f>
        <v>Unique</v>
      </c>
      <c r="I520" s="25"/>
      <c r="J5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0" s="25" t="str">
        <f>IFERROR(VLOOKUP(tbl_clean_sales[[#This Row],[Employee_ID]],'02_Employee_Master'!$A$1:$C$12,2,FALSE),"Employee Name Missing")</f>
        <v>Rahul M</v>
      </c>
      <c r="L520" s="25" t="str">
        <f>IFERROR(VLOOKUP(tbl_clean_sales[[#This Row],[Employee_ID]],'02_Employee_Master'!$A$1:$C$12,3,FALSE),"Department Name Missing")</f>
        <v>Sales</v>
      </c>
      <c r="M520" s="25" t="str">
        <f>IF('03_Clean_data'!D520="","Missing",IFERROR(IF(VLOOKUP(D520,'03_Product_Master'!$A$1:$D$14,1,FALSE)='03_Clean_data'!D520,"Valid","Invalid"),"Invalid"))</f>
        <v>Valid</v>
      </c>
      <c r="N520" s="25" t="str">
        <f>IFERROR(VLOOKUP(tbl_clean_sales[[#This Row],[Product_ID]],'03_Product_Master'!$A$1:$D$14,2,FALSE),"Missing")</f>
        <v>Green Tea</v>
      </c>
      <c r="O520" s="25" t="str">
        <f>IFERROR(VLOOKUP(tbl_clean_sales[[#This Row],[Product_ID]],'03_Product_Master'!$A$1:$D$14,3,FALSE),"Missing")</f>
        <v>Beverages</v>
      </c>
      <c r="P520" s="25">
        <f>IFERROR(VLOOKUP(tbl_clean_sales[[#This Row],[Product_ID]],'03_Product_Master'!$A$1:$D$14,4,FALSE),"Missing")</f>
        <v>280</v>
      </c>
      <c r="Q520" s="25" t="str">
        <f>IF('03_Clean_data'!E520="","Missing",IFERROR(IF(VLOOKUP(E520,'04_Branch_Master'!$A$1:$C$7,1,FALSE)='03_Clean_data'!E520,"Valid","Invalid"),"Invalid"))</f>
        <v>Valid</v>
      </c>
      <c r="R520" s="25" t="str">
        <f>IFERROR(VLOOKUP(tbl_clean_sales[[#This Row],[Branch_ID]],'04_Branch_Master'!$A$1:$C$7,2,FALSE),"Missing")</f>
        <v>Avinashi Road</v>
      </c>
      <c r="S520" s="25" t="str">
        <f>IFERROR(VLOOKUP(tbl_clean_sales[[#This Row],[Branch_ID]],'04_Branch_Master'!$A$1:$C$7,3,FALSE),"Missing")</f>
        <v>North</v>
      </c>
      <c r="T520" s="25" t="str">
        <f>C520&amp;"|"&amp;TEXT(tbl_clean_sales[[#This Row],[Date]],"yyyymm")</f>
        <v>E003|202604</v>
      </c>
      <c r="U520" s="25">
        <f>IFERROR(INDEX('05_Target_Master'!$A$1:$F$32,MATCH(tbl_clean_sales[[#This Row],[target key]],'05_Target_Master'!$F$1:$F$32,0),3),"Missing")</f>
        <v>116600</v>
      </c>
    </row>
    <row r="521" spans="1:21" x14ac:dyDescent="0.3">
      <c r="A521" s="21">
        <v>46167</v>
      </c>
      <c r="B521" s="22" t="s">
        <v>555</v>
      </c>
      <c r="C521" s="22" t="s">
        <v>40</v>
      </c>
      <c r="D521" s="22" t="s">
        <v>53</v>
      </c>
      <c r="E521" s="22" t="s">
        <v>26</v>
      </c>
      <c r="F521" s="22">
        <v>11</v>
      </c>
      <c r="G521" s="23">
        <v>3811.08</v>
      </c>
      <c r="H521" s="25" t="str">
        <f>IF(COUNTIF(tbl_clean_sales[Invoice_ID],tbl_clean_sales[[#This Row],[Invoice_ID]])&gt;1,"Duplicate","Unique")</f>
        <v>Unique</v>
      </c>
      <c r="I521" s="25"/>
      <c r="J5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1" s="25" t="str">
        <f>IFERROR(VLOOKUP(tbl_clean_sales[[#This Row],[Employee_ID]],'02_Employee_Master'!$A$1:$C$12,2,FALSE),"Employee Name Missing")</f>
        <v>Meena V</v>
      </c>
      <c r="L521" s="25" t="str">
        <f>IFERROR(VLOOKUP(tbl_clean_sales[[#This Row],[Employee_ID]],'02_Employee_Master'!$A$1:$C$12,3,FALSE),"Department Name Missing")</f>
        <v>Sales</v>
      </c>
      <c r="M521" s="25" t="str">
        <f>IF('03_Clean_data'!D521="","Missing",IFERROR(IF(VLOOKUP(D521,'03_Product_Master'!$A$1:$D$14,1,FALSE)='03_Clean_data'!D521,"Valid","Invalid"),"Invalid"))</f>
        <v>Valid</v>
      </c>
      <c r="N521" s="25" t="str">
        <f>IFERROR(VLOOKUP(tbl_clean_sales[[#This Row],[Product_ID]],'03_Product_Master'!$A$1:$D$14,2,FALSE),"Missing")</f>
        <v>Instant Coffee</v>
      </c>
      <c r="O521" s="25" t="str">
        <f>IFERROR(VLOOKUP(tbl_clean_sales[[#This Row],[Product_ID]],'03_Product_Master'!$A$1:$D$14,3,FALSE),"Missing")</f>
        <v>Beverages</v>
      </c>
      <c r="P521" s="25">
        <f>IFERROR(VLOOKUP(tbl_clean_sales[[#This Row],[Product_ID]],'03_Product_Master'!$A$1:$D$14,4,FALSE),"Missing")</f>
        <v>350</v>
      </c>
      <c r="Q521" s="25" t="str">
        <f>IF('03_Clean_data'!E521="","Missing",IFERROR(IF(VLOOKUP(E521,'04_Branch_Master'!$A$1:$C$7,1,FALSE)='03_Clean_data'!E521,"Valid","Invalid"),"Invalid"))</f>
        <v>Valid</v>
      </c>
      <c r="R521" s="25" t="str">
        <f>IFERROR(VLOOKUP(tbl_clean_sales[[#This Row],[Branch_ID]],'04_Branch_Master'!$A$1:$C$7,2,FALSE),"Missing")</f>
        <v>Palladam</v>
      </c>
      <c r="S521" s="25" t="str">
        <f>IFERROR(VLOOKUP(tbl_clean_sales[[#This Row],[Branch_ID]],'04_Branch_Master'!$A$1:$C$7,3,FALSE),"Missing")</f>
        <v>South</v>
      </c>
      <c r="T521" s="25" t="str">
        <f>C521&amp;"|"&amp;TEXT(tbl_clean_sales[[#This Row],[Date]],"yyyymm")</f>
        <v>E006|202605</v>
      </c>
      <c r="U521" s="25">
        <f>IFERROR(INDEX('05_Target_Master'!$A$1:$F$32,MATCH(tbl_clean_sales[[#This Row],[target key]],'05_Target_Master'!$F$1:$F$32,0),3),"Missing")</f>
        <v>141500</v>
      </c>
    </row>
    <row r="522" spans="1:21" x14ac:dyDescent="0.3">
      <c r="A522" s="21">
        <v>46183</v>
      </c>
      <c r="B522" s="22" t="s">
        <v>556</v>
      </c>
      <c r="C522" s="22" t="s">
        <v>29</v>
      </c>
      <c r="D522" s="22" t="s">
        <v>36</v>
      </c>
      <c r="E522" s="22" t="s">
        <v>10</v>
      </c>
      <c r="F522" s="22">
        <v>5</v>
      </c>
      <c r="G522" s="23">
        <v>861.2</v>
      </c>
      <c r="H522" s="25" t="str">
        <f>IF(COUNTIF(tbl_clean_sales[Invoice_ID],tbl_clean_sales[[#This Row],[Invoice_ID]])&gt;1,"Duplicate","Unique")</f>
        <v>Unique</v>
      </c>
      <c r="I522" s="25"/>
      <c r="J5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2" s="25" t="str">
        <f>IFERROR(VLOOKUP(tbl_clean_sales[[#This Row],[Employee_ID]],'02_Employee_Master'!$A$1:$C$12,2,FALSE),"Employee Name Missing")</f>
        <v>Swetha L</v>
      </c>
      <c r="L522" s="25" t="str">
        <f>IFERROR(VLOOKUP(tbl_clean_sales[[#This Row],[Employee_ID]],'02_Employee_Master'!$A$1:$C$12,3,FALSE),"Department Name Missing")</f>
        <v>Sales</v>
      </c>
      <c r="M522" s="25" t="str">
        <f>IF('03_Clean_data'!D522="","Missing",IFERROR(IF(VLOOKUP(D522,'03_Product_Master'!$A$1:$D$14,1,FALSE)='03_Clean_data'!D522,"Valid","Invalid"),"Invalid"))</f>
        <v>Valid</v>
      </c>
      <c r="N522" s="25" t="str">
        <f>IFERROR(VLOOKUP(tbl_clean_sales[[#This Row],[Product_ID]],'03_Product_Master'!$A$1:$D$14,2,FALSE),"Missing")</f>
        <v>Dish Wash</v>
      </c>
      <c r="O522" s="25" t="str">
        <f>IFERROR(VLOOKUP(tbl_clean_sales[[#This Row],[Product_ID]],'03_Product_Master'!$A$1:$D$14,3,FALSE),"Missing")</f>
        <v>Home Care</v>
      </c>
      <c r="P522" s="25">
        <f>IFERROR(VLOOKUP(tbl_clean_sales[[#This Row],[Product_ID]],'03_Product_Master'!$A$1:$D$14,4,FALSE),"Missing")</f>
        <v>190</v>
      </c>
      <c r="Q522" s="25" t="str">
        <f>IF('03_Clean_data'!E522="","Missing",IFERROR(IF(VLOOKUP(E522,'04_Branch_Master'!$A$1:$C$7,1,FALSE)='03_Clean_data'!E522,"Valid","Invalid"),"Invalid"))</f>
        <v>Valid</v>
      </c>
      <c r="R522" s="25" t="str">
        <f>IFERROR(VLOOKUP(tbl_clean_sales[[#This Row],[Branch_ID]],'04_Branch_Master'!$A$1:$C$7,2,FALSE),"Missing")</f>
        <v>Dharapuram</v>
      </c>
      <c r="S522" s="25" t="str">
        <f>IFERROR(VLOOKUP(tbl_clean_sales[[#This Row],[Branch_ID]],'04_Branch_Master'!$A$1:$C$7,3,FALSE),"Missing")</f>
        <v>South</v>
      </c>
      <c r="T522" s="25" t="str">
        <f>C522&amp;"|"&amp;TEXT(tbl_clean_sales[[#This Row],[Date]],"yyyymm")</f>
        <v>E010|202606</v>
      </c>
      <c r="U522" s="25">
        <f>IFERROR(INDEX('05_Target_Master'!$A$1:$F$32,MATCH(tbl_clean_sales[[#This Row],[target key]],'05_Target_Master'!$F$1:$F$32,0),3),"Missing")</f>
        <v>116800</v>
      </c>
    </row>
    <row r="523" spans="1:21" x14ac:dyDescent="0.3">
      <c r="A523" s="21">
        <v>46201</v>
      </c>
      <c r="B523" s="22" t="s">
        <v>557</v>
      </c>
      <c r="C523" s="22" t="s">
        <v>74</v>
      </c>
      <c r="D523" s="22" t="s">
        <v>43</v>
      </c>
      <c r="E523" s="22" t="s">
        <v>14</v>
      </c>
      <c r="F523" s="22">
        <v>9</v>
      </c>
      <c r="G523" s="23">
        <v>2837.14</v>
      </c>
      <c r="H523" s="25" t="str">
        <f>IF(COUNTIF(tbl_clean_sales[Invoice_ID],tbl_clean_sales[[#This Row],[Invoice_ID]])&gt;1,"Duplicate","Unique")</f>
        <v>Unique</v>
      </c>
      <c r="I523" s="25"/>
      <c r="J5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3" s="25" t="str">
        <f>IFERROR(VLOOKUP(tbl_clean_sales[[#This Row],[Employee_ID]],'02_Employee_Master'!$A$1:$C$12,2,FALSE),"Employee Name Missing")</f>
        <v>Arun Kumar</v>
      </c>
      <c r="L523" s="25" t="str">
        <f>IFERROR(VLOOKUP(tbl_clean_sales[[#This Row],[Employee_ID]],'02_Employee_Master'!$A$1:$C$12,3,FALSE),"Department Name Missing")</f>
        <v>Sales</v>
      </c>
      <c r="M523" s="25" t="str">
        <f>IF('03_Clean_data'!D523="","Missing",IFERROR(IF(VLOOKUP(D523,'03_Product_Master'!$A$1:$D$14,1,FALSE)='03_Clean_data'!D523,"Valid","Invalid"),"Invalid"))</f>
        <v>Valid</v>
      </c>
      <c r="N523" s="25" t="str">
        <f>IFERROR(VLOOKUP(tbl_clean_sales[[#This Row],[Product_ID]],'03_Product_Master'!$A$1:$D$14,2,FALSE),"Missing")</f>
        <v>Laundry Liquid</v>
      </c>
      <c r="O523" s="25" t="str">
        <f>IFERROR(VLOOKUP(tbl_clean_sales[[#This Row],[Product_ID]],'03_Product_Master'!$A$1:$D$14,3,FALSE),"Missing")</f>
        <v>Home Care</v>
      </c>
      <c r="P523" s="25">
        <f>IFERROR(VLOOKUP(tbl_clean_sales[[#This Row],[Product_ID]],'03_Product_Master'!$A$1:$D$14,4,FALSE),"Missing")</f>
        <v>340</v>
      </c>
      <c r="Q523" s="25" t="str">
        <f>IF('03_Clean_data'!E523="","Missing",IFERROR(IF(VLOOKUP(E523,'04_Branch_Master'!$A$1:$C$7,1,FALSE)='03_Clean_data'!E523,"Valid","Invalid"),"Invalid"))</f>
        <v>Valid</v>
      </c>
      <c r="R523" s="25" t="str">
        <f>IFERROR(VLOOKUP(tbl_clean_sales[[#This Row],[Branch_ID]],'04_Branch_Master'!$A$1:$C$7,2,FALSE),"Missing")</f>
        <v>Avinashi Road</v>
      </c>
      <c r="S523" s="25" t="str">
        <f>IFERROR(VLOOKUP(tbl_clean_sales[[#This Row],[Branch_ID]],'04_Branch_Master'!$A$1:$C$7,3,FALSE),"Missing")</f>
        <v>North</v>
      </c>
      <c r="T523" s="25" t="str">
        <f>C523&amp;"|"&amp;TEXT(tbl_clean_sales[[#This Row],[Date]],"yyyymm")</f>
        <v>E001|202606</v>
      </c>
      <c r="U523" s="25">
        <f>IFERROR(INDEX('05_Target_Master'!$A$1:$F$32,MATCH(tbl_clean_sales[[#This Row],[target key]],'05_Target_Master'!$F$1:$F$32,0),3),"Missing")</f>
        <v>150600</v>
      </c>
    </row>
    <row r="524" spans="1:21" x14ac:dyDescent="0.3">
      <c r="A524" s="21">
        <v>46137</v>
      </c>
      <c r="B524" s="22" t="s">
        <v>558</v>
      </c>
      <c r="C524" s="22" t="s">
        <v>46</v>
      </c>
      <c r="D524" s="22" t="s">
        <v>82</v>
      </c>
      <c r="E524" s="22" t="s">
        <v>32</v>
      </c>
      <c r="F524" s="22">
        <v>4</v>
      </c>
      <c r="G524" s="23">
        <v>451.49</v>
      </c>
      <c r="H524" s="25" t="str">
        <f>IF(COUNTIF(tbl_clean_sales[Invoice_ID],tbl_clean_sales[[#This Row],[Invoice_ID]])&gt;1,"Duplicate","Unique")</f>
        <v>Unique</v>
      </c>
      <c r="I524" s="25"/>
      <c r="J5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4" s="25" t="str">
        <f>IFERROR(VLOOKUP(tbl_clean_sales[[#This Row],[Employee_ID]],'02_Employee_Master'!$A$1:$C$12,2,FALSE),"Employee Name Missing")</f>
        <v>Suresh B</v>
      </c>
      <c r="L524" s="25" t="str">
        <f>IFERROR(VLOOKUP(tbl_clean_sales[[#This Row],[Employee_ID]],'02_Employee_Master'!$A$1:$C$12,3,FALSE),"Department Name Missing")</f>
        <v>Sales</v>
      </c>
      <c r="M524" s="25" t="str">
        <f>IF('03_Clean_data'!D524="","Missing",IFERROR(IF(VLOOKUP(D524,'03_Product_Master'!$A$1:$D$14,1,FALSE)='03_Clean_data'!D524,"Valid","Invalid"),"Invalid"))</f>
        <v>Valid</v>
      </c>
      <c r="N524" s="25" t="str">
        <f>IFERROR(VLOOKUP(tbl_clean_sales[[#This Row],[Product_ID]],'03_Product_Master'!$A$1:$D$14,2,FALSE),"Missing")</f>
        <v>Chocolate Bar</v>
      </c>
      <c r="O524" s="25" t="str">
        <f>IFERROR(VLOOKUP(tbl_clean_sales[[#This Row],[Product_ID]],'03_Product_Master'!$A$1:$D$14,3,FALSE),"Missing")</f>
        <v>Snacks</v>
      </c>
      <c r="P524" s="25">
        <f>IFERROR(VLOOKUP(tbl_clean_sales[[#This Row],[Product_ID]],'03_Product_Master'!$A$1:$D$14,4,FALSE),"Missing")</f>
        <v>120</v>
      </c>
      <c r="Q524" s="25" t="str">
        <f>IF('03_Clean_data'!E524="","Missing",IFERROR(IF(VLOOKUP(E524,'04_Branch_Master'!$A$1:$C$7,1,FALSE)='03_Clean_data'!E524,"Valid","Invalid"),"Invalid"))</f>
        <v>Valid</v>
      </c>
      <c r="R524" s="25" t="str">
        <f>IFERROR(VLOOKUP(tbl_clean_sales[[#This Row],[Branch_ID]],'04_Branch_Master'!$A$1:$C$7,2,FALSE),"Missing")</f>
        <v>Kangeyam</v>
      </c>
      <c r="S524" s="25" t="str">
        <f>IFERROR(VLOOKUP(tbl_clean_sales[[#This Row],[Branch_ID]],'04_Branch_Master'!$A$1:$C$7,3,FALSE),"Missing")</f>
        <v>East</v>
      </c>
      <c r="T524" s="25" t="str">
        <f>C524&amp;"|"&amp;TEXT(tbl_clean_sales[[#This Row],[Date]],"yyyymm")</f>
        <v>E007|202604</v>
      </c>
      <c r="U524" s="25">
        <f>IFERROR(INDEX('05_Target_Master'!$A$1:$F$32,MATCH(tbl_clean_sales[[#This Row],[target key]],'05_Target_Master'!$F$1:$F$32,0),3),"Missing")</f>
        <v>129600</v>
      </c>
    </row>
    <row r="525" spans="1:21" x14ac:dyDescent="0.3">
      <c r="A525" s="21">
        <v>46127</v>
      </c>
      <c r="B525" s="22" t="s">
        <v>559</v>
      </c>
      <c r="C525" s="22" t="s">
        <v>12</v>
      </c>
      <c r="D525" s="22" t="s">
        <v>48</v>
      </c>
      <c r="E525" s="22" t="s">
        <v>14</v>
      </c>
      <c r="F525" s="22">
        <v>2</v>
      </c>
      <c r="G525" s="23">
        <v>487.03</v>
      </c>
      <c r="H525" s="25" t="str">
        <f>IF(COUNTIF(tbl_clean_sales[Invoice_ID],tbl_clean_sales[[#This Row],[Invoice_ID]])&gt;1,"Duplicate","Unique")</f>
        <v>Unique</v>
      </c>
      <c r="I525" s="25"/>
      <c r="J5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5" s="25" t="str">
        <f>IFERROR(VLOOKUP(tbl_clean_sales[[#This Row],[Employee_ID]],'02_Employee_Master'!$A$1:$C$12,2,FALSE),"Employee Name Missing")</f>
        <v>Divya R</v>
      </c>
      <c r="L525" s="25" t="str">
        <f>IFERROR(VLOOKUP(tbl_clean_sales[[#This Row],[Employee_ID]],'02_Employee_Master'!$A$1:$C$12,3,FALSE),"Department Name Missing")</f>
        <v>Sales</v>
      </c>
      <c r="M525" s="25" t="str">
        <f>IF('03_Clean_data'!D525="","Missing",IFERROR(IF(VLOOKUP(D525,'03_Product_Master'!$A$1:$D$14,1,FALSE)='03_Clean_data'!D525,"Valid","Invalid"),"Invalid"))</f>
        <v>Valid</v>
      </c>
      <c r="N525" s="25" t="str">
        <f>IFERROR(VLOOKUP(tbl_clean_sales[[#This Row],[Product_ID]],'03_Product_Master'!$A$1:$D$14,2,FALSE),"Missing")</f>
        <v>Face Wash</v>
      </c>
      <c r="O525" s="25" t="str">
        <f>IFERROR(VLOOKUP(tbl_clean_sales[[#This Row],[Product_ID]],'03_Product_Master'!$A$1:$D$14,3,FALSE),"Missing")</f>
        <v>Personal Care</v>
      </c>
      <c r="P525" s="25">
        <f>IFERROR(VLOOKUP(tbl_clean_sales[[#This Row],[Product_ID]],'03_Product_Master'!$A$1:$D$14,4,FALSE),"Missing")</f>
        <v>260</v>
      </c>
      <c r="Q525" s="25" t="str">
        <f>IF('03_Clean_data'!E525="","Missing",IFERROR(IF(VLOOKUP(E525,'04_Branch_Master'!$A$1:$C$7,1,FALSE)='03_Clean_data'!E525,"Valid","Invalid"),"Invalid"))</f>
        <v>Valid</v>
      </c>
      <c r="R525" s="25" t="str">
        <f>IFERROR(VLOOKUP(tbl_clean_sales[[#This Row],[Branch_ID]],'04_Branch_Master'!$A$1:$C$7,2,FALSE),"Missing")</f>
        <v>Avinashi Road</v>
      </c>
      <c r="S525" s="25" t="str">
        <f>IFERROR(VLOOKUP(tbl_clean_sales[[#This Row],[Branch_ID]],'04_Branch_Master'!$A$1:$C$7,3,FALSE),"Missing")</f>
        <v>North</v>
      </c>
      <c r="T525" s="25" t="str">
        <f>C525&amp;"|"&amp;TEXT(tbl_clean_sales[[#This Row],[Date]],"yyyymm")</f>
        <v>E004|202604</v>
      </c>
      <c r="U525" s="25">
        <f>IFERROR(INDEX('05_Target_Master'!$A$1:$F$32,MATCH(tbl_clean_sales[[#This Row],[target key]],'05_Target_Master'!$F$1:$F$32,0),3),"Missing")</f>
        <v>163600</v>
      </c>
    </row>
    <row r="526" spans="1:21" x14ac:dyDescent="0.3">
      <c r="A526" s="21">
        <v>46114</v>
      </c>
      <c r="B526" s="22" t="s">
        <v>560</v>
      </c>
      <c r="C526" s="22" t="s">
        <v>40</v>
      </c>
      <c r="D526" s="22" t="s">
        <v>34</v>
      </c>
      <c r="E526" s="22" t="s">
        <v>26</v>
      </c>
      <c r="F526" s="22">
        <v>10</v>
      </c>
      <c r="G526" s="23">
        <v>1044.45</v>
      </c>
      <c r="H526" s="25" t="str">
        <f>IF(COUNTIF(tbl_clean_sales[Invoice_ID],tbl_clean_sales[[#This Row],[Invoice_ID]])&gt;1,"Duplicate","Unique")</f>
        <v>Unique</v>
      </c>
      <c r="I526" s="25"/>
      <c r="J5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6" s="25" t="str">
        <f>IFERROR(VLOOKUP(tbl_clean_sales[[#This Row],[Employee_ID]],'02_Employee_Master'!$A$1:$C$12,2,FALSE),"Employee Name Missing")</f>
        <v>Meena V</v>
      </c>
      <c r="L526" s="25" t="str">
        <f>IFERROR(VLOOKUP(tbl_clean_sales[[#This Row],[Employee_ID]],'02_Employee_Master'!$A$1:$C$12,3,FALSE),"Department Name Missing")</f>
        <v>Sales</v>
      </c>
      <c r="M526" s="25" t="str">
        <f>IF('03_Clean_data'!D526="","Missing",IFERROR(IF(VLOOKUP(D526,'03_Product_Master'!$A$1:$D$14,1,FALSE)='03_Clean_data'!D526,"Valid","Invalid"),"Invalid"))</f>
        <v>Valid</v>
      </c>
      <c r="N526" s="25" t="str">
        <f>IFERROR(VLOOKUP(tbl_clean_sales[[#This Row],[Product_ID]],'03_Product_Master'!$A$1:$D$14,2,FALSE),"Missing")</f>
        <v>Potato Chips</v>
      </c>
      <c r="O526" s="25" t="str">
        <f>IFERROR(VLOOKUP(tbl_clean_sales[[#This Row],[Product_ID]],'03_Product_Master'!$A$1:$D$14,3,FALSE),"Missing")</f>
        <v>Snacks</v>
      </c>
      <c r="P526" s="25">
        <f>IFERROR(VLOOKUP(tbl_clean_sales[[#This Row],[Product_ID]],'03_Product_Master'!$A$1:$D$14,4,FALSE),"Missing")</f>
        <v>110</v>
      </c>
      <c r="Q526" s="25" t="str">
        <f>IF('03_Clean_data'!E526="","Missing",IFERROR(IF(VLOOKUP(E526,'04_Branch_Master'!$A$1:$C$7,1,FALSE)='03_Clean_data'!E526,"Valid","Invalid"),"Invalid"))</f>
        <v>Valid</v>
      </c>
      <c r="R526" s="25" t="str">
        <f>IFERROR(VLOOKUP(tbl_clean_sales[[#This Row],[Branch_ID]],'04_Branch_Master'!$A$1:$C$7,2,FALSE),"Missing")</f>
        <v>Palladam</v>
      </c>
      <c r="S526" s="25" t="str">
        <f>IFERROR(VLOOKUP(tbl_clean_sales[[#This Row],[Branch_ID]],'04_Branch_Master'!$A$1:$C$7,3,FALSE),"Missing")</f>
        <v>South</v>
      </c>
      <c r="T526" s="25" t="str">
        <f>C526&amp;"|"&amp;TEXT(tbl_clean_sales[[#This Row],[Date]],"yyyymm")</f>
        <v>E006|202604</v>
      </c>
      <c r="U526" s="25">
        <f>IFERROR(INDEX('05_Target_Master'!$A$1:$F$32,MATCH(tbl_clean_sales[[#This Row],[target key]],'05_Target_Master'!$F$1:$F$32,0),3),"Missing")</f>
        <v>131000</v>
      </c>
    </row>
    <row r="527" spans="1:21" x14ac:dyDescent="0.3">
      <c r="A527" s="21">
        <v>46182</v>
      </c>
      <c r="B527" s="22" t="s">
        <v>561</v>
      </c>
      <c r="C527" s="22" t="s">
        <v>18</v>
      </c>
      <c r="D527" s="22" t="s">
        <v>48</v>
      </c>
      <c r="E527" s="22" t="s">
        <v>22</v>
      </c>
      <c r="F527" s="22">
        <v>1</v>
      </c>
      <c r="G527" s="23">
        <v>241.67</v>
      </c>
      <c r="H527" s="25" t="str">
        <f>IF(COUNTIF(tbl_clean_sales[Invoice_ID],tbl_clean_sales[[#This Row],[Invoice_ID]])&gt;1,"Duplicate","Unique")</f>
        <v>Unique</v>
      </c>
      <c r="I527" s="25"/>
      <c r="J5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7" s="25" t="str">
        <f>IFERROR(VLOOKUP(tbl_clean_sales[[#This Row],[Employee_ID]],'02_Employee_Master'!$A$1:$C$12,2,FALSE),"Employee Name Missing")</f>
        <v>Rahul M</v>
      </c>
      <c r="L527" s="25" t="str">
        <f>IFERROR(VLOOKUP(tbl_clean_sales[[#This Row],[Employee_ID]],'02_Employee_Master'!$A$1:$C$12,3,FALSE),"Department Name Missing")</f>
        <v>Sales</v>
      </c>
      <c r="M527" s="25" t="str">
        <f>IF('03_Clean_data'!D527="","Missing",IFERROR(IF(VLOOKUP(D527,'03_Product_Master'!$A$1:$D$14,1,FALSE)='03_Clean_data'!D527,"Valid","Invalid"),"Invalid"))</f>
        <v>Valid</v>
      </c>
      <c r="N527" s="25" t="str">
        <f>IFERROR(VLOOKUP(tbl_clean_sales[[#This Row],[Product_ID]],'03_Product_Master'!$A$1:$D$14,2,FALSE),"Missing")</f>
        <v>Face Wash</v>
      </c>
      <c r="O527" s="25" t="str">
        <f>IFERROR(VLOOKUP(tbl_clean_sales[[#This Row],[Product_ID]],'03_Product_Master'!$A$1:$D$14,3,FALSE),"Missing")</f>
        <v>Personal Care</v>
      </c>
      <c r="P527" s="25">
        <f>IFERROR(VLOOKUP(tbl_clean_sales[[#This Row],[Product_ID]],'03_Product_Master'!$A$1:$D$14,4,FALSE),"Missing")</f>
        <v>260</v>
      </c>
      <c r="Q527" s="25" t="str">
        <f>IF('03_Clean_data'!E527="","Missing",IFERROR(IF(VLOOKUP(E527,'04_Branch_Master'!$A$1:$C$7,1,FALSE)='03_Clean_data'!E527,"Valid","Invalid"),"Invalid"))</f>
        <v>Valid</v>
      </c>
      <c r="R527" s="25" t="str">
        <f>IFERROR(VLOOKUP(tbl_clean_sales[[#This Row],[Branch_ID]],'04_Branch_Master'!$A$1:$C$7,2,FALSE),"Missing")</f>
        <v>Tirupur Central</v>
      </c>
      <c r="S527" s="25" t="str">
        <f>IFERROR(VLOOKUP(tbl_clean_sales[[#This Row],[Branch_ID]],'04_Branch_Master'!$A$1:$C$7,3,FALSE),"Missing")</f>
        <v>North</v>
      </c>
      <c r="T527" s="25" t="str">
        <f>C527&amp;"|"&amp;TEXT(tbl_clean_sales[[#This Row],[Date]],"yyyymm")</f>
        <v>E003|202606</v>
      </c>
      <c r="U527" s="25">
        <f>IFERROR(INDEX('05_Target_Master'!$A$1:$F$32,MATCH(tbl_clean_sales[[#This Row],[target key]],'05_Target_Master'!$F$1:$F$32,0),3),"Missing")</f>
        <v>112000</v>
      </c>
    </row>
    <row r="528" spans="1:21" x14ac:dyDescent="0.3">
      <c r="A528" s="21">
        <v>46114</v>
      </c>
      <c r="B528" s="22" t="s">
        <v>562</v>
      </c>
      <c r="C528" s="22" t="s">
        <v>24</v>
      </c>
      <c r="D528" s="22" t="s">
        <v>30</v>
      </c>
      <c r="E528" s="22" t="s">
        <v>26</v>
      </c>
      <c r="F528" s="22">
        <v>1</v>
      </c>
      <c r="G528" s="23">
        <v>141.79</v>
      </c>
      <c r="H528" s="25" t="str">
        <f>IF(COUNTIF(tbl_clean_sales[Invoice_ID],tbl_clean_sales[[#This Row],[Invoice_ID]])&gt;1,"Duplicate","Unique")</f>
        <v>Unique</v>
      </c>
      <c r="I528" s="25"/>
      <c r="J5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8" s="25" t="str">
        <f>IFERROR(VLOOKUP(tbl_clean_sales[[#This Row],[Employee_ID]],'02_Employee_Master'!$A$1:$C$12,2,FALSE),"Employee Name Missing")</f>
        <v>Karthik P</v>
      </c>
      <c r="L528" s="25" t="str">
        <f>IFERROR(VLOOKUP(tbl_clean_sales[[#This Row],[Employee_ID]],'02_Employee_Master'!$A$1:$C$12,3,FALSE),"Department Name Missing")</f>
        <v>Sales</v>
      </c>
      <c r="M528" s="25" t="str">
        <f>IF('03_Clean_data'!D528="","Missing",IFERROR(IF(VLOOKUP(D528,'03_Product_Master'!$A$1:$D$14,1,FALSE)='03_Clean_data'!D528,"Valid","Invalid"),"Invalid"))</f>
        <v>Valid</v>
      </c>
      <c r="N528" s="25" t="str">
        <f>IFERROR(VLOOKUP(tbl_clean_sales[[#This Row],[Product_ID]],'03_Product_Master'!$A$1:$D$14,2,FALSE),"Missing")</f>
        <v>Cookies Pack</v>
      </c>
      <c r="O528" s="25" t="str">
        <f>IFERROR(VLOOKUP(tbl_clean_sales[[#This Row],[Product_ID]],'03_Product_Master'!$A$1:$D$14,3,FALSE),"Missing")</f>
        <v>Snacks</v>
      </c>
      <c r="P528" s="25">
        <f>IFERROR(VLOOKUP(tbl_clean_sales[[#This Row],[Product_ID]],'03_Product_Master'!$A$1:$D$14,4,FALSE),"Missing")</f>
        <v>160</v>
      </c>
      <c r="Q528" s="25" t="str">
        <f>IF('03_Clean_data'!E528="","Missing",IFERROR(IF(VLOOKUP(E528,'04_Branch_Master'!$A$1:$C$7,1,FALSE)='03_Clean_data'!E528,"Valid","Invalid"),"Invalid"))</f>
        <v>Valid</v>
      </c>
      <c r="R528" s="25" t="str">
        <f>IFERROR(VLOOKUP(tbl_clean_sales[[#This Row],[Branch_ID]],'04_Branch_Master'!$A$1:$C$7,2,FALSE),"Missing")</f>
        <v>Palladam</v>
      </c>
      <c r="S528" s="25" t="str">
        <f>IFERROR(VLOOKUP(tbl_clean_sales[[#This Row],[Branch_ID]],'04_Branch_Master'!$A$1:$C$7,3,FALSE),"Missing")</f>
        <v>South</v>
      </c>
      <c r="T528" s="25" t="str">
        <f>C528&amp;"|"&amp;TEXT(tbl_clean_sales[[#This Row],[Date]],"yyyymm")</f>
        <v>E005|202604</v>
      </c>
      <c r="U528" s="25">
        <f>IFERROR(INDEX('05_Target_Master'!$A$1:$F$32,MATCH(tbl_clean_sales[[#This Row],[target key]],'05_Target_Master'!$F$1:$F$32,0),3),"Missing")</f>
        <v>133000</v>
      </c>
    </row>
    <row r="529" spans="1:21" x14ac:dyDescent="0.3">
      <c r="A529" s="21">
        <v>46163</v>
      </c>
      <c r="B529" s="22" t="s">
        <v>563</v>
      </c>
      <c r="C529" s="22" t="s">
        <v>8</v>
      </c>
      <c r="D529" s="22" t="s">
        <v>82</v>
      </c>
      <c r="E529" s="22" t="s">
        <v>10</v>
      </c>
      <c r="F529" s="22">
        <v>9</v>
      </c>
      <c r="G529" s="23">
        <v>980.58</v>
      </c>
      <c r="H529" s="25" t="str">
        <f>IF(COUNTIF(tbl_clean_sales[Invoice_ID],tbl_clean_sales[[#This Row],[Invoice_ID]])&gt;1,"Duplicate","Unique")</f>
        <v>Unique</v>
      </c>
      <c r="I529" s="25"/>
      <c r="J5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29" s="25" t="str">
        <f>IFERROR(VLOOKUP(tbl_clean_sales[[#This Row],[Employee_ID]],'02_Employee_Master'!$A$1:$C$12,2,FALSE),"Employee Name Missing")</f>
        <v>Vignesh R</v>
      </c>
      <c r="L529" s="25" t="str">
        <f>IFERROR(VLOOKUP(tbl_clean_sales[[#This Row],[Employee_ID]],'02_Employee_Master'!$A$1:$C$12,3,FALSE),"Department Name Missing")</f>
        <v>Sales</v>
      </c>
      <c r="M529" s="25" t="str">
        <f>IF('03_Clean_data'!D529="","Missing",IFERROR(IF(VLOOKUP(D529,'03_Product_Master'!$A$1:$D$14,1,FALSE)='03_Clean_data'!D529,"Valid","Invalid"),"Invalid"))</f>
        <v>Valid</v>
      </c>
      <c r="N529" s="25" t="str">
        <f>IFERROR(VLOOKUP(tbl_clean_sales[[#This Row],[Product_ID]],'03_Product_Master'!$A$1:$D$14,2,FALSE),"Missing")</f>
        <v>Chocolate Bar</v>
      </c>
      <c r="O529" s="25" t="str">
        <f>IFERROR(VLOOKUP(tbl_clean_sales[[#This Row],[Product_ID]],'03_Product_Master'!$A$1:$D$14,3,FALSE),"Missing")</f>
        <v>Snacks</v>
      </c>
      <c r="P529" s="25">
        <f>IFERROR(VLOOKUP(tbl_clean_sales[[#This Row],[Product_ID]],'03_Product_Master'!$A$1:$D$14,4,FALSE),"Missing")</f>
        <v>120</v>
      </c>
      <c r="Q529" s="25" t="str">
        <f>IF('03_Clean_data'!E529="","Missing",IFERROR(IF(VLOOKUP(E529,'04_Branch_Master'!$A$1:$C$7,1,FALSE)='03_Clean_data'!E529,"Valid","Invalid"),"Invalid"))</f>
        <v>Valid</v>
      </c>
      <c r="R529" s="25" t="str">
        <f>IFERROR(VLOOKUP(tbl_clean_sales[[#This Row],[Branch_ID]],'04_Branch_Master'!$A$1:$C$7,2,FALSE),"Missing")</f>
        <v>Dharapuram</v>
      </c>
      <c r="S529" s="25" t="str">
        <f>IFERROR(VLOOKUP(tbl_clean_sales[[#This Row],[Branch_ID]],'04_Branch_Master'!$A$1:$C$7,3,FALSE),"Missing")</f>
        <v>South</v>
      </c>
      <c r="T529" s="25" t="str">
        <f>C529&amp;"|"&amp;TEXT(tbl_clean_sales[[#This Row],[Date]],"yyyymm")</f>
        <v>E009|202605</v>
      </c>
      <c r="U529" s="25">
        <f>IFERROR(INDEX('05_Target_Master'!$A$1:$F$32,MATCH(tbl_clean_sales[[#This Row],[target key]],'05_Target_Master'!$F$1:$F$32,0),3),"Missing")</f>
        <v>176300</v>
      </c>
    </row>
    <row r="530" spans="1:21" x14ac:dyDescent="0.3">
      <c r="A530" s="21">
        <v>46167</v>
      </c>
      <c r="B530" s="22" t="s">
        <v>564</v>
      </c>
      <c r="C530" s="22" t="s">
        <v>46</v>
      </c>
      <c r="D530" s="22" t="s">
        <v>9</v>
      </c>
      <c r="E530" s="22" t="s">
        <v>32</v>
      </c>
      <c r="F530" s="22">
        <v>9</v>
      </c>
      <c r="G530" s="23">
        <v>2333.71</v>
      </c>
      <c r="H530" s="25" t="str">
        <f>IF(COUNTIF(tbl_clean_sales[Invoice_ID],tbl_clean_sales[[#This Row],[Invoice_ID]])&gt;1,"Duplicate","Unique")</f>
        <v>Unique</v>
      </c>
      <c r="I530" s="25"/>
      <c r="J5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0" s="25" t="str">
        <f>IFERROR(VLOOKUP(tbl_clean_sales[[#This Row],[Employee_ID]],'02_Employee_Master'!$A$1:$C$12,2,FALSE),"Employee Name Missing")</f>
        <v>Suresh B</v>
      </c>
      <c r="L530" s="25" t="str">
        <f>IFERROR(VLOOKUP(tbl_clean_sales[[#This Row],[Employee_ID]],'02_Employee_Master'!$A$1:$C$12,3,FALSE),"Department Name Missing")</f>
        <v>Sales</v>
      </c>
      <c r="M530" s="25" t="str">
        <f>IF('03_Clean_data'!D530="","Missing",IFERROR(IF(VLOOKUP(D530,'03_Product_Master'!$A$1:$D$14,1,FALSE)='03_Clean_data'!D530,"Valid","Invalid"),"Invalid"))</f>
        <v>Valid</v>
      </c>
      <c r="N530" s="25" t="str">
        <f>IFERROR(VLOOKUP(tbl_clean_sales[[#This Row],[Product_ID]],'03_Product_Master'!$A$1:$D$14,2,FALSE),"Missing")</f>
        <v>Green Tea</v>
      </c>
      <c r="O530" s="25" t="str">
        <f>IFERROR(VLOOKUP(tbl_clean_sales[[#This Row],[Product_ID]],'03_Product_Master'!$A$1:$D$14,3,FALSE),"Missing")</f>
        <v>Beverages</v>
      </c>
      <c r="P530" s="25">
        <f>IFERROR(VLOOKUP(tbl_clean_sales[[#This Row],[Product_ID]],'03_Product_Master'!$A$1:$D$14,4,FALSE),"Missing")</f>
        <v>280</v>
      </c>
      <c r="Q530" s="25" t="str">
        <f>IF('03_Clean_data'!E530="","Missing",IFERROR(IF(VLOOKUP(E530,'04_Branch_Master'!$A$1:$C$7,1,FALSE)='03_Clean_data'!E530,"Valid","Invalid"),"Invalid"))</f>
        <v>Valid</v>
      </c>
      <c r="R530" s="25" t="str">
        <f>IFERROR(VLOOKUP(tbl_clean_sales[[#This Row],[Branch_ID]],'04_Branch_Master'!$A$1:$C$7,2,FALSE),"Missing")</f>
        <v>Kangeyam</v>
      </c>
      <c r="S530" s="25" t="str">
        <f>IFERROR(VLOOKUP(tbl_clean_sales[[#This Row],[Branch_ID]],'04_Branch_Master'!$A$1:$C$7,3,FALSE),"Missing")</f>
        <v>East</v>
      </c>
      <c r="T530" s="25" t="str">
        <f>C530&amp;"|"&amp;TEXT(tbl_clean_sales[[#This Row],[Date]],"yyyymm")</f>
        <v>E007|202605</v>
      </c>
      <c r="U530" s="25">
        <f>IFERROR(INDEX('05_Target_Master'!$A$1:$F$32,MATCH(tbl_clean_sales[[#This Row],[target key]],'05_Target_Master'!$F$1:$F$32,0),3),"Missing")</f>
        <v>140000</v>
      </c>
    </row>
    <row r="531" spans="1:21" x14ac:dyDescent="0.3">
      <c r="A531" s="21">
        <v>46148</v>
      </c>
      <c r="B531" s="22" t="s">
        <v>565</v>
      </c>
      <c r="C531" s="22" t="s">
        <v>21</v>
      </c>
      <c r="D531" s="22" t="s">
        <v>82</v>
      </c>
      <c r="E531" s="22" t="s">
        <v>22</v>
      </c>
      <c r="F531" s="22">
        <v>4</v>
      </c>
      <c r="G531" s="23">
        <v>423.88</v>
      </c>
      <c r="H531" s="25" t="str">
        <f>IF(COUNTIF(tbl_clean_sales[Invoice_ID],tbl_clean_sales[[#This Row],[Invoice_ID]])&gt;1,"Duplicate","Unique")</f>
        <v>Unique</v>
      </c>
      <c r="I531" s="25"/>
      <c r="J5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1" s="25" t="str">
        <f>IFERROR(VLOOKUP(tbl_clean_sales[[#This Row],[Employee_ID]],'02_Employee_Master'!$A$1:$C$12,2,FALSE),"Employee Name Missing")</f>
        <v>Priya S</v>
      </c>
      <c r="L531" s="25" t="str">
        <f>IFERROR(VLOOKUP(tbl_clean_sales[[#This Row],[Employee_ID]],'02_Employee_Master'!$A$1:$C$12,3,FALSE),"Department Name Missing")</f>
        <v>Sales</v>
      </c>
      <c r="M531" s="25" t="str">
        <f>IF('03_Clean_data'!D531="","Missing",IFERROR(IF(VLOOKUP(D531,'03_Product_Master'!$A$1:$D$14,1,FALSE)='03_Clean_data'!D531,"Valid","Invalid"),"Invalid"))</f>
        <v>Valid</v>
      </c>
      <c r="N531" s="25" t="str">
        <f>IFERROR(VLOOKUP(tbl_clean_sales[[#This Row],[Product_ID]],'03_Product_Master'!$A$1:$D$14,2,FALSE),"Missing")</f>
        <v>Chocolate Bar</v>
      </c>
      <c r="O531" s="25" t="str">
        <f>IFERROR(VLOOKUP(tbl_clean_sales[[#This Row],[Product_ID]],'03_Product_Master'!$A$1:$D$14,3,FALSE),"Missing")</f>
        <v>Snacks</v>
      </c>
      <c r="P531" s="25">
        <f>IFERROR(VLOOKUP(tbl_clean_sales[[#This Row],[Product_ID]],'03_Product_Master'!$A$1:$D$14,4,FALSE),"Missing")</f>
        <v>120</v>
      </c>
      <c r="Q531" s="25" t="str">
        <f>IF('03_Clean_data'!E531="","Missing",IFERROR(IF(VLOOKUP(E531,'04_Branch_Master'!$A$1:$C$7,1,FALSE)='03_Clean_data'!E531,"Valid","Invalid"),"Invalid"))</f>
        <v>Valid</v>
      </c>
      <c r="R531" s="25" t="str">
        <f>IFERROR(VLOOKUP(tbl_clean_sales[[#This Row],[Branch_ID]],'04_Branch_Master'!$A$1:$C$7,2,FALSE),"Missing")</f>
        <v>Tirupur Central</v>
      </c>
      <c r="S531" s="25" t="str">
        <f>IFERROR(VLOOKUP(tbl_clean_sales[[#This Row],[Branch_ID]],'04_Branch_Master'!$A$1:$C$7,3,FALSE),"Missing")</f>
        <v>North</v>
      </c>
      <c r="T531" s="25" t="str">
        <f>C531&amp;"|"&amp;TEXT(tbl_clean_sales[[#This Row],[Date]],"yyyymm")</f>
        <v>E002|202605</v>
      </c>
      <c r="U531" s="25">
        <f>IFERROR(INDEX('05_Target_Master'!$A$1:$F$32,MATCH(tbl_clean_sales[[#This Row],[target key]],'05_Target_Master'!$F$1:$F$32,0),3),"Missing")</f>
        <v>132100</v>
      </c>
    </row>
    <row r="532" spans="1:21" x14ac:dyDescent="0.3">
      <c r="A532" s="21">
        <v>46132</v>
      </c>
      <c r="B532" s="22" t="s">
        <v>566</v>
      </c>
      <c r="C532" s="22" t="s">
        <v>8</v>
      </c>
      <c r="D532" s="22" t="s">
        <v>34</v>
      </c>
      <c r="E532" s="22" t="s">
        <v>10</v>
      </c>
      <c r="F532" s="22">
        <v>-3</v>
      </c>
      <c r="G532" s="23">
        <v>1099.18</v>
      </c>
      <c r="H532" s="25" t="str">
        <f>IF(COUNTIF(tbl_clean_sales[Invoice_ID],tbl_clean_sales[[#This Row],[Invoice_ID]])&gt;1,"Duplicate","Unique")</f>
        <v>Unique</v>
      </c>
      <c r="I532" s="25"/>
      <c r="J5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2" s="25" t="str">
        <f>IFERROR(VLOOKUP(tbl_clean_sales[[#This Row],[Employee_ID]],'02_Employee_Master'!$A$1:$C$12,2,FALSE),"Employee Name Missing")</f>
        <v>Vignesh R</v>
      </c>
      <c r="L532" s="25" t="str">
        <f>IFERROR(VLOOKUP(tbl_clean_sales[[#This Row],[Employee_ID]],'02_Employee_Master'!$A$1:$C$12,3,FALSE),"Department Name Missing")</f>
        <v>Sales</v>
      </c>
      <c r="M532" s="25" t="str">
        <f>IF('03_Clean_data'!D532="","Missing",IFERROR(IF(VLOOKUP(D532,'03_Product_Master'!$A$1:$D$14,1,FALSE)='03_Clean_data'!D532,"Valid","Invalid"),"Invalid"))</f>
        <v>Valid</v>
      </c>
      <c r="N532" s="25" t="str">
        <f>IFERROR(VLOOKUP(tbl_clean_sales[[#This Row],[Product_ID]],'03_Product_Master'!$A$1:$D$14,2,FALSE),"Missing")</f>
        <v>Potato Chips</v>
      </c>
      <c r="O532" s="25" t="str">
        <f>IFERROR(VLOOKUP(tbl_clean_sales[[#This Row],[Product_ID]],'03_Product_Master'!$A$1:$D$14,3,FALSE),"Missing")</f>
        <v>Snacks</v>
      </c>
      <c r="P532" s="25">
        <f>IFERROR(VLOOKUP(tbl_clean_sales[[#This Row],[Product_ID]],'03_Product_Master'!$A$1:$D$14,4,FALSE),"Missing")</f>
        <v>110</v>
      </c>
      <c r="Q532" s="25" t="str">
        <f>IF('03_Clean_data'!E532="","Missing",IFERROR(IF(VLOOKUP(E532,'04_Branch_Master'!$A$1:$C$7,1,FALSE)='03_Clean_data'!E532,"Valid","Invalid"),"Invalid"))</f>
        <v>Valid</v>
      </c>
      <c r="R532" s="25" t="str">
        <f>IFERROR(VLOOKUP(tbl_clean_sales[[#This Row],[Branch_ID]],'04_Branch_Master'!$A$1:$C$7,2,FALSE),"Missing")</f>
        <v>Dharapuram</v>
      </c>
      <c r="S532" s="25" t="str">
        <f>IFERROR(VLOOKUP(tbl_clean_sales[[#This Row],[Branch_ID]],'04_Branch_Master'!$A$1:$C$7,3,FALSE),"Missing")</f>
        <v>South</v>
      </c>
      <c r="T532" s="25" t="str">
        <f>C532&amp;"|"&amp;TEXT(tbl_clean_sales[[#This Row],[Date]],"yyyymm")</f>
        <v>E009|202604</v>
      </c>
      <c r="U532" s="25">
        <f>IFERROR(INDEX('05_Target_Master'!$A$1:$F$32,MATCH(tbl_clean_sales[[#This Row],[target key]],'05_Target_Master'!$F$1:$F$32,0),3),"Missing")</f>
        <v>163300</v>
      </c>
    </row>
    <row r="533" spans="1:21" x14ac:dyDescent="0.3">
      <c r="A533" s="21">
        <v>46196</v>
      </c>
      <c r="B533" s="22" t="s">
        <v>567</v>
      </c>
      <c r="C533" s="22" t="s">
        <v>21</v>
      </c>
      <c r="D533" s="22" t="s">
        <v>82</v>
      </c>
      <c r="E533" s="22" t="s">
        <v>22</v>
      </c>
      <c r="F533" s="22">
        <v>12</v>
      </c>
      <c r="G533" s="23">
        <v>1275.25</v>
      </c>
      <c r="H533" s="25" t="str">
        <f>IF(COUNTIF(tbl_clean_sales[Invoice_ID],tbl_clean_sales[[#This Row],[Invoice_ID]])&gt;1,"Duplicate","Unique")</f>
        <v>Unique</v>
      </c>
      <c r="I533" s="25"/>
      <c r="J5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3" s="25" t="str">
        <f>IFERROR(VLOOKUP(tbl_clean_sales[[#This Row],[Employee_ID]],'02_Employee_Master'!$A$1:$C$12,2,FALSE),"Employee Name Missing")</f>
        <v>Priya S</v>
      </c>
      <c r="L533" s="25" t="str">
        <f>IFERROR(VLOOKUP(tbl_clean_sales[[#This Row],[Employee_ID]],'02_Employee_Master'!$A$1:$C$12,3,FALSE),"Department Name Missing")</f>
        <v>Sales</v>
      </c>
      <c r="M533" s="25" t="str">
        <f>IF('03_Clean_data'!D533="","Missing",IFERROR(IF(VLOOKUP(D533,'03_Product_Master'!$A$1:$D$14,1,FALSE)='03_Clean_data'!D533,"Valid","Invalid"),"Invalid"))</f>
        <v>Valid</v>
      </c>
      <c r="N533" s="25" t="str">
        <f>IFERROR(VLOOKUP(tbl_clean_sales[[#This Row],[Product_ID]],'03_Product_Master'!$A$1:$D$14,2,FALSE),"Missing")</f>
        <v>Chocolate Bar</v>
      </c>
      <c r="O533" s="25" t="str">
        <f>IFERROR(VLOOKUP(tbl_clean_sales[[#This Row],[Product_ID]],'03_Product_Master'!$A$1:$D$14,3,FALSE),"Missing")</f>
        <v>Snacks</v>
      </c>
      <c r="P533" s="25">
        <f>IFERROR(VLOOKUP(tbl_clean_sales[[#This Row],[Product_ID]],'03_Product_Master'!$A$1:$D$14,4,FALSE),"Missing")</f>
        <v>120</v>
      </c>
      <c r="Q533" s="25" t="str">
        <f>IF('03_Clean_data'!E533="","Missing",IFERROR(IF(VLOOKUP(E533,'04_Branch_Master'!$A$1:$C$7,1,FALSE)='03_Clean_data'!E533,"Valid","Invalid"),"Invalid"))</f>
        <v>Valid</v>
      </c>
      <c r="R533" s="25" t="str">
        <f>IFERROR(VLOOKUP(tbl_clean_sales[[#This Row],[Branch_ID]],'04_Branch_Master'!$A$1:$C$7,2,FALSE),"Missing")</f>
        <v>Tirupur Central</v>
      </c>
      <c r="S533" s="25" t="str">
        <f>IFERROR(VLOOKUP(tbl_clean_sales[[#This Row],[Branch_ID]],'04_Branch_Master'!$A$1:$C$7,3,FALSE),"Missing")</f>
        <v>North</v>
      </c>
      <c r="T533" s="25" t="str">
        <f>C533&amp;"|"&amp;TEXT(tbl_clean_sales[[#This Row],[Date]],"yyyymm")</f>
        <v>E002|202606</v>
      </c>
      <c r="U533" s="25">
        <f>IFERROR(INDEX('05_Target_Master'!$A$1:$F$32,MATCH(tbl_clean_sales[[#This Row],[target key]],'05_Target_Master'!$F$1:$F$32,0),3),"Missing")</f>
        <v>117400</v>
      </c>
    </row>
    <row r="534" spans="1:21" x14ac:dyDescent="0.3">
      <c r="A534" s="21">
        <v>46143</v>
      </c>
      <c r="B534" s="22" t="s">
        <v>568</v>
      </c>
      <c r="C534" s="22" t="s">
        <v>74</v>
      </c>
      <c r="D534" s="22" t="s">
        <v>30</v>
      </c>
      <c r="E534" s="22" t="s">
        <v>22</v>
      </c>
      <c r="F534" s="22">
        <v>7</v>
      </c>
      <c r="G534" s="23">
        <v>1104.4100000000001</v>
      </c>
      <c r="H534" s="25" t="str">
        <f>IF(COUNTIF(tbl_clean_sales[Invoice_ID],tbl_clean_sales[[#This Row],[Invoice_ID]])&gt;1,"Duplicate","Unique")</f>
        <v>Unique</v>
      </c>
      <c r="I534" s="25"/>
      <c r="J5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4" s="25" t="str">
        <f>IFERROR(VLOOKUP(tbl_clean_sales[[#This Row],[Employee_ID]],'02_Employee_Master'!$A$1:$C$12,2,FALSE),"Employee Name Missing")</f>
        <v>Arun Kumar</v>
      </c>
      <c r="L534" s="25" t="str">
        <f>IFERROR(VLOOKUP(tbl_clean_sales[[#This Row],[Employee_ID]],'02_Employee_Master'!$A$1:$C$12,3,FALSE),"Department Name Missing")</f>
        <v>Sales</v>
      </c>
      <c r="M534" s="25" t="str">
        <f>IF('03_Clean_data'!D534="","Missing",IFERROR(IF(VLOOKUP(D534,'03_Product_Master'!$A$1:$D$14,1,FALSE)='03_Clean_data'!D534,"Valid","Invalid"),"Invalid"))</f>
        <v>Valid</v>
      </c>
      <c r="N534" s="25" t="str">
        <f>IFERROR(VLOOKUP(tbl_clean_sales[[#This Row],[Product_ID]],'03_Product_Master'!$A$1:$D$14,2,FALSE),"Missing")</f>
        <v>Cookies Pack</v>
      </c>
      <c r="O534" s="25" t="str">
        <f>IFERROR(VLOOKUP(tbl_clean_sales[[#This Row],[Product_ID]],'03_Product_Master'!$A$1:$D$14,3,FALSE),"Missing")</f>
        <v>Snacks</v>
      </c>
      <c r="P534" s="25">
        <f>IFERROR(VLOOKUP(tbl_clean_sales[[#This Row],[Product_ID]],'03_Product_Master'!$A$1:$D$14,4,FALSE),"Missing")</f>
        <v>160</v>
      </c>
      <c r="Q534" s="25" t="str">
        <f>IF('03_Clean_data'!E534="","Missing",IFERROR(IF(VLOOKUP(E534,'04_Branch_Master'!$A$1:$C$7,1,FALSE)='03_Clean_data'!E534,"Valid","Invalid"),"Invalid"))</f>
        <v>Valid</v>
      </c>
      <c r="R534" s="25" t="str">
        <f>IFERROR(VLOOKUP(tbl_clean_sales[[#This Row],[Branch_ID]],'04_Branch_Master'!$A$1:$C$7,2,FALSE),"Missing")</f>
        <v>Tirupur Central</v>
      </c>
      <c r="S534" s="25" t="str">
        <f>IFERROR(VLOOKUP(tbl_clean_sales[[#This Row],[Branch_ID]],'04_Branch_Master'!$A$1:$C$7,3,FALSE),"Missing")</f>
        <v>North</v>
      </c>
      <c r="T534" s="25" t="str">
        <f>C534&amp;"|"&amp;TEXT(tbl_clean_sales[[#This Row],[Date]],"yyyymm")</f>
        <v>E001|202605</v>
      </c>
      <c r="U534" s="25">
        <f>IFERROR(INDEX('05_Target_Master'!$A$1:$F$32,MATCH(tbl_clean_sales[[#This Row],[target key]],'05_Target_Master'!$F$1:$F$32,0),3),"Missing")</f>
        <v>169500</v>
      </c>
    </row>
    <row r="535" spans="1:21" x14ac:dyDescent="0.3">
      <c r="A535" s="21">
        <v>46191</v>
      </c>
      <c r="B535" s="22" t="s">
        <v>569</v>
      </c>
      <c r="C535" s="22" t="s">
        <v>29</v>
      </c>
      <c r="D535" s="22" t="s">
        <v>25</v>
      </c>
      <c r="E535" s="22" t="s">
        <v>10</v>
      </c>
      <c r="F535" s="22">
        <v>12</v>
      </c>
      <c r="G535" s="23">
        <v>4642.01</v>
      </c>
      <c r="H535" s="25" t="str">
        <f>IF(COUNTIF(tbl_clean_sales[Invoice_ID],tbl_clean_sales[[#This Row],[Invoice_ID]])&gt;1,"Duplicate","Unique")</f>
        <v>Unique</v>
      </c>
      <c r="I535" s="25"/>
      <c r="J5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5" s="25" t="str">
        <f>IFERROR(VLOOKUP(tbl_clean_sales[[#This Row],[Employee_ID]],'02_Employee_Master'!$A$1:$C$12,2,FALSE),"Employee Name Missing")</f>
        <v>Swetha L</v>
      </c>
      <c r="L535" s="25" t="str">
        <f>IFERROR(VLOOKUP(tbl_clean_sales[[#This Row],[Employee_ID]],'02_Employee_Master'!$A$1:$C$12,3,FALSE),"Department Name Missing")</f>
        <v>Sales</v>
      </c>
      <c r="M535" s="25" t="str">
        <f>IF('03_Clean_data'!D535="","Missing",IFERROR(IF(VLOOKUP(D535,'03_Product_Master'!$A$1:$D$14,1,FALSE)='03_Clean_data'!D535,"Valid","Invalid"),"Invalid"))</f>
        <v>Valid</v>
      </c>
      <c r="N535" s="25" t="str">
        <f>IFERROR(VLOOKUP(tbl_clean_sales[[#This Row],[Product_ID]],'03_Product_Master'!$A$1:$D$14,2,FALSE),"Missing")</f>
        <v>Premium Coffee</v>
      </c>
      <c r="O535" s="25" t="str">
        <f>IFERROR(VLOOKUP(tbl_clean_sales[[#This Row],[Product_ID]],'03_Product_Master'!$A$1:$D$14,3,FALSE),"Missing")</f>
        <v>Beverages</v>
      </c>
      <c r="P535" s="25">
        <f>IFERROR(VLOOKUP(tbl_clean_sales[[#This Row],[Product_ID]],'03_Product_Master'!$A$1:$D$14,4,FALSE),"Missing")</f>
        <v>420</v>
      </c>
      <c r="Q535" s="25" t="str">
        <f>IF('03_Clean_data'!E535="","Missing",IFERROR(IF(VLOOKUP(E535,'04_Branch_Master'!$A$1:$C$7,1,FALSE)='03_Clean_data'!E535,"Valid","Invalid"),"Invalid"))</f>
        <v>Valid</v>
      </c>
      <c r="R535" s="25" t="str">
        <f>IFERROR(VLOOKUP(tbl_clean_sales[[#This Row],[Branch_ID]],'04_Branch_Master'!$A$1:$C$7,2,FALSE),"Missing")</f>
        <v>Dharapuram</v>
      </c>
      <c r="S535" s="25" t="str">
        <f>IFERROR(VLOOKUP(tbl_clean_sales[[#This Row],[Branch_ID]],'04_Branch_Master'!$A$1:$C$7,3,FALSE),"Missing")</f>
        <v>South</v>
      </c>
      <c r="T535" s="25" t="str">
        <f>C535&amp;"|"&amp;TEXT(tbl_clean_sales[[#This Row],[Date]],"yyyymm")</f>
        <v>E010|202606</v>
      </c>
      <c r="U535" s="25">
        <f>IFERROR(INDEX('05_Target_Master'!$A$1:$F$32,MATCH(tbl_clean_sales[[#This Row],[target key]],'05_Target_Master'!$F$1:$F$32,0),3),"Missing")</f>
        <v>116800</v>
      </c>
    </row>
    <row r="536" spans="1:21" x14ac:dyDescent="0.3">
      <c r="A536" s="21">
        <v>46135</v>
      </c>
      <c r="B536" s="22" t="s">
        <v>570</v>
      </c>
      <c r="C536" s="22" t="s">
        <v>21</v>
      </c>
      <c r="D536" s="22" t="s">
        <v>25</v>
      </c>
      <c r="E536" s="22" t="s">
        <v>22</v>
      </c>
      <c r="F536" s="22">
        <v>12</v>
      </c>
      <c r="G536" s="23">
        <v>5033.1400000000003</v>
      </c>
      <c r="H536" s="25" t="str">
        <f>IF(COUNTIF(tbl_clean_sales[Invoice_ID],tbl_clean_sales[[#This Row],[Invoice_ID]])&gt;1,"Duplicate","Unique")</f>
        <v>Unique</v>
      </c>
      <c r="I536" s="25"/>
      <c r="J5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6" s="25" t="str">
        <f>IFERROR(VLOOKUP(tbl_clean_sales[[#This Row],[Employee_ID]],'02_Employee_Master'!$A$1:$C$12,2,FALSE),"Employee Name Missing")</f>
        <v>Priya S</v>
      </c>
      <c r="L536" s="25" t="str">
        <f>IFERROR(VLOOKUP(tbl_clean_sales[[#This Row],[Employee_ID]],'02_Employee_Master'!$A$1:$C$12,3,FALSE),"Department Name Missing")</f>
        <v>Sales</v>
      </c>
      <c r="M536" s="25" t="str">
        <f>IF('03_Clean_data'!D536="","Missing",IFERROR(IF(VLOOKUP(D536,'03_Product_Master'!$A$1:$D$14,1,FALSE)='03_Clean_data'!D536,"Valid","Invalid"),"Invalid"))</f>
        <v>Valid</v>
      </c>
      <c r="N536" s="25" t="str">
        <f>IFERROR(VLOOKUP(tbl_clean_sales[[#This Row],[Product_ID]],'03_Product_Master'!$A$1:$D$14,2,FALSE),"Missing")</f>
        <v>Premium Coffee</v>
      </c>
      <c r="O536" s="25" t="str">
        <f>IFERROR(VLOOKUP(tbl_clean_sales[[#This Row],[Product_ID]],'03_Product_Master'!$A$1:$D$14,3,FALSE),"Missing")</f>
        <v>Beverages</v>
      </c>
      <c r="P536" s="25">
        <f>IFERROR(VLOOKUP(tbl_clean_sales[[#This Row],[Product_ID]],'03_Product_Master'!$A$1:$D$14,4,FALSE),"Missing")</f>
        <v>420</v>
      </c>
      <c r="Q536" s="25" t="str">
        <f>IF('03_Clean_data'!E536="","Missing",IFERROR(IF(VLOOKUP(E536,'04_Branch_Master'!$A$1:$C$7,1,FALSE)='03_Clean_data'!E536,"Valid","Invalid"),"Invalid"))</f>
        <v>Valid</v>
      </c>
      <c r="R536" s="25" t="str">
        <f>IFERROR(VLOOKUP(tbl_clean_sales[[#This Row],[Branch_ID]],'04_Branch_Master'!$A$1:$C$7,2,FALSE),"Missing")</f>
        <v>Tirupur Central</v>
      </c>
      <c r="S536" s="25" t="str">
        <f>IFERROR(VLOOKUP(tbl_clean_sales[[#This Row],[Branch_ID]],'04_Branch_Master'!$A$1:$C$7,3,FALSE),"Missing")</f>
        <v>North</v>
      </c>
      <c r="T536" s="25" t="str">
        <f>C536&amp;"|"&amp;TEXT(tbl_clean_sales[[#This Row],[Date]],"yyyymm")</f>
        <v>E002|202604</v>
      </c>
      <c r="U536" s="25">
        <f>IFERROR(INDEX('05_Target_Master'!$A$1:$F$32,MATCH(tbl_clean_sales[[#This Row],[target key]],'05_Target_Master'!$F$1:$F$32,0),3),"Missing")</f>
        <v>122300</v>
      </c>
    </row>
    <row r="537" spans="1:21" x14ac:dyDescent="0.3">
      <c r="A537" s="21">
        <v>46176</v>
      </c>
      <c r="B537" s="22" t="s">
        <v>571</v>
      </c>
      <c r="C537" s="22" t="s">
        <v>40</v>
      </c>
      <c r="D537" s="22" t="s">
        <v>13</v>
      </c>
      <c r="E537" s="22" t="s">
        <v>26</v>
      </c>
      <c r="F537" s="22">
        <v>12</v>
      </c>
      <c r="G537" s="23">
        <v>4534.41</v>
      </c>
      <c r="H537" s="25" t="str">
        <f>IF(COUNTIF(tbl_clean_sales[Invoice_ID],tbl_clean_sales[[#This Row],[Invoice_ID]])&gt;1,"Duplicate","Unique")</f>
        <v>Unique</v>
      </c>
      <c r="I537" s="25"/>
      <c r="J5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7" s="25" t="str">
        <f>IFERROR(VLOOKUP(tbl_clean_sales[[#This Row],[Employee_ID]],'02_Employee_Master'!$A$1:$C$12,2,FALSE),"Employee Name Missing")</f>
        <v>Meena V</v>
      </c>
      <c r="L537" s="25" t="str">
        <f>IFERROR(VLOOKUP(tbl_clean_sales[[#This Row],[Employee_ID]],'02_Employee_Master'!$A$1:$C$12,3,FALSE),"Department Name Missing")</f>
        <v>Sales</v>
      </c>
      <c r="M537" s="25" t="str">
        <f>IF('03_Clean_data'!D537="","Missing",IFERROR(IF(VLOOKUP(D537,'03_Product_Master'!$A$1:$D$14,1,FALSE)='03_Clean_data'!D537,"Valid","Invalid"),"Invalid"))</f>
        <v>Valid</v>
      </c>
      <c r="N537" s="25" t="str">
        <f>IFERROR(VLOOKUP(tbl_clean_sales[[#This Row],[Product_ID]],'03_Product_Master'!$A$1:$D$14,2,FALSE),"Missing")</f>
        <v>Body Lotion</v>
      </c>
      <c r="O537" s="25" t="str">
        <f>IFERROR(VLOOKUP(tbl_clean_sales[[#This Row],[Product_ID]],'03_Product_Master'!$A$1:$D$14,3,FALSE),"Missing")</f>
        <v>Personal Care</v>
      </c>
      <c r="P537" s="25">
        <f>IFERROR(VLOOKUP(tbl_clean_sales[[#This Row],[Product_ID]],'03_Product_Master'!$A$1:$D$14,4,FALSE),"Missing")</f>
        <v>390</v>
      </c>
      <c r="Q537" s="25" t="str">
        <f>IF('03_Clean_data'!E537="","Missing",IFERROR(IF(VLOOKUP(E537,'04_Branch_Master'!$A$1:$C$7,1,FALSE)='03_Clean_data'!E537,"Valid","Invalid"),"Invalid"))</f>
        <v>Valid</v>
      </c>
      <c r="R537" s="25" t="str">
        <f>IFERROR(VLOOKUP(tbl_clean_sales[[#This Row],[Branch_ID]],'04_Branch_Master'!$A$1:$C$7,2,FALSE),"Missing")</f>
        <v>Palladam</v>
      </c>
      <c r="S537" s="25" t="str">
        <f>IFERROR(VLOOKUP(tbl_clean_sales[[#This Row],[Branch_ID]],'04_Branch_Master'!$A$1:$C$7,3,FALSE),"Missing")</f>
        <v>South</v>
      </c>
      <c r="T537" s="25" t="str">
        <f>C537&amp;"|"&amp;TEXT(tbl_clean_sales[[#This Row],[Date]],"yyyymm")</f>
        <v>E006|202606</v>
      </c>
      <c r="U537" s="25">
        <f>IFERROR(INDEX('05_Target_Master'!$A$1:$F$32,MATCH(tbl_clean_sales[[#This Row],[target key]],'05_Target_Master'!$F$1:$F$32,0),3),"Missing")</f>
        <v>125800</v>
      </c>
    </row>
    <row r="538" spans="1:21" x14ac:dyDescent="0.3">
      <c r="A538" s="21">
        <v>46160</v>
      </c>
      <c r="B538" s="22" t="s">
        <v>572</v>
      </c>
      <c r="C538" s="22" t="s">
        <v>18</v>
      </c>
      <c r="D538" s="22" t="s">
        <v>19</v>
      </c>
      <c r="E538" s="22" t="s">
        <v>26</v>
      </c>
      <c r="F538" s="22">
        <v>12</v>
      </c>
      <c r="G538" s="23">
        <v>2466.42</v>
      </c>
      <c r="H538" s="25" t="str">
        <f>IF(COUNTIF(tbl_clean_sales[Invoice_ID],tbl_clean_sales[[#This Row],[Invoice_ID]])&gt;1,"Duplicate","Unique")</f>
        <v>Unique</v>
      </c>
      <c r="I538" s="25"/>
      <c r="J5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8" s="25" t="str">
        <f>IFERROR(VLOOKUP(tbl_clean_sales[[#This Row],[Employee_ID]],'02_Employee_Master'!$A$1:$C$12,2,FALSE),"Employee Name Missing")</f>
        <v>Rahul M</v>
      </c>
      <c r="L538" s="25" t="str">
        <f>IFERROR(VLOOKUP(tbl_clean_sales[[#This Row],[Employee_ID]],'02_Employee_Master'!$A$1:$C$12,3,FALSE),"Department Name Missing")</f>
        <v>Sales</v>
      </c>
      <c r="M538" s="25" t="str">
        <f>IF('03_Clean_data'!D538="","Missing",IFERROR(IF(VLOOKUP(D538,'03_Product_Master'!$A$1:$D$14,1,FALSE)='03_Clean_data'!D538,"Valid","Invalid"),"Invalid"))</f>
        <v>Valid</v>
      </c>
      <c r="N538" s="25" t="str">
        <f>IFERROR(VLOOKUP(tbl_clean_sales[[#This Row],[Product_ID]],'03_Product_Master'!$A$1:$D$14,2,FALSE),"Missing")</f>
        <v>Floor Cleaner</v>
      </c>
      <c r="O538" s="25" t="str">
        <f>IFERROR(VLOOKUP(tbl_clean_sales[[#This Row],[Product_ID]],'03_Product_Master'!$A$1:$D$14,3,FALSE),"Missing")</f>
        <v>Home Care</v>
      </c>
      <c r="P538" s="25">
        <f>IFERROR(VLOOKUP(tbl_clean_sales[[#This Row],[Product_ID]],'03_Product_Master'!$A$1:$D$14,4,FALSE),"Missing")</f>
        <v>230</v>
      </c>
      <c r="Q538" s="25" t="str">
        <f>IF('03_Clean_data'!E538="","Missing",IFERROR(IF(VLOOKUP(E538,'04_Branch_Master'!$A$1:$C$7,1,FALSE)='03_Clean_data'!E538,"Valid","Invalid"),"Invalid"))</f>
        <v>Valid</v>
      </c>
      <c r="R538" s="25" t="str">
        <f>IFERROR(VLOOKUP(tbl_clean_sales[[#This Row],[Branch_ID]],'04_Branch_Master'!$A$1:$C$7,2,FALSE),"Missing")</f>
        <v>Palladam</v>
      </c>
      <c r="S538" s="25" t="str">
        <f>IFERROR(VLOOKUP(tbl_clean_sales[[#This Row],[Branch_ID]],'04_Branch_Master'!$A$1:$C$7,3,FALSE),"Missing")</f>
        <v>South</v>
      </c>
      <c r="T538" s="25" t="str">
        <f>C538&amp;"|"&amp;TEXT(tbl_clean_sales[[#This Row],[Date]],"yyyymm")</f>
        <v>E003|202605</v>
      </c>
      <c r="U538" s="25">
        <f>IFERROR(INDEX('05_Target_Master'!$A$1:$F$32,MATCH(tbl_clean_sales[[#This Row],[target key]],'05_Target_Master'!$F$1:$F$32,0),3),"Missing")</f>
        <v>126000</v>
      </c>
    </row>
    <row r="539" spans="1:21" x14ac:dyDescent="0.3">
      <c r="A539" s="21">
        <v>46116</v>
      </c>
      <c r="B539" s="22" t="s">
        <v>573</v>
      </c>
      <c r="C539" s="22" t="s">
        <v>40</v>
      </c>
      <c r="D539" s="22" t="s">
        <v>16</v>
      </c>
      <c r="E539" s="22" t="s">
        <v>26</v>
      </c>
      <c r="F539" s="22">
        <v>2</v>
      </c>
      <c r="G539" s="23">
        <v>600.44000000000005</v>
      </c>
      <c r="H539" s="25" t="str">
        <f>IF(COUNTIF(tbl_clean_sales[Invoice_ID],tbl_clean_sales[[#This Row],[Invoice_ID]])&gt;1,"Duplicate","Unique")</f>
        <v>Unique</v>
      </c>
      <c r="I539" s="25"/>
      <c r="J5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39" s="25" t="str">
        <f>IFERROR(VLOOKUP(tbl_clean_sales[[#This Row],[Employee_ID]],'02_Employee_Master'!$A$1:$C$12,2,FALSE),"Employee Name Missing")</f>
        <v>Meena V</v>
      </c>
      <c r="L539" s="25" t="str">
        <f>IFERROR(VLOOKUP(tbl_clean_sales[[#This Row],[Employee_ID]],'02_Employee_Master'!$A$1:$C$12,3,FALSE),"Department Name Missing")</f>
        <v>Sales</v>
      </c>
      <c r="M539" s="25" t="str">
        <f>IF('03_Clean_data'!D539="","Missing",IFERROR(IF(VLOOKUP(D539,'03_Product_Master'!$A$1:$D$14,1,FALSE)='03_Clean_data'!D539,"Valid","Invalid"),"Invalid"))</f>
        <v>Valid</v>
      </c>
      <c r="N539" s="25" t="str">
        <f>IFERROR(VLOOKUP(tbl_clean_sales[[#This Row],[Product_ID]],'03_Product_Master'!$A$1:$D$14,2,FALSE),"Missing")</f>
        <v>Shampoo</v>
      </c>
      <c r="O539" s="25" t="str">
        <f>IFERROR(VLOOKUP(tbl_clean_sales[[#This Row],[Product_ID]],'03_Product_Master'!$A$1:$D$14,3,FALSE),"Missing")</f>
        <v>Personal Care</v>
      </c>
      <c r="P539" s="25">
        <f>IFERROR(VLOOKUP(tbl_clean_sales[[#This Row],[Product_ID]],'03_Product_Master'!$A$1:$D$14,4,FALSE),"Missing")</f>
        <v>310</v>
      </c>
      <c r="Q539" s="25" t="str">
        <f>IF('03_Clean_data'!E539="","Missing",IFERROR(IF(VLOOKUP(E539,'04_Branch_Master'!$A$1:$C$7,1,FALSE)='03_Clean_data'!E539,"Valid","Invalid"),"Invalid"))</f>
        <v>Valid</v>
      </c>
      <c r="R539" s="25" t="str">
        <f>IFERROR(VLOOKUP(tbl_clean_sales[[#This Row],[Branch_ID]],'04_Branch_Master'!$A$1:$C$7,2,FALSE),"Missing")</f>
        <v>Palladam</v>
      </c>
      <c r="S539" s="25" t="str">
        <f>IFERROR(VLOOKUP(tbl_clean_sales[[#This Row],[Branch_ID]],'04_Branch_Master'!$A$1:$C$7,3,FALSE),"Missing")</f>
        <v>South</v>
      </c>
      <c r="T539" s="25" t="str">
        <f>C539&amp;"|"&amp;TEXT(tbl_clean_sales[[#This Row],[Date]],"yyyymm")</f>
        <v>E006|202604</v>
      </c>
      <c r="U539" s="25">
        <f>IFERROR(INDEX('05_Target_Master'!$A$1:$F$32,MATCH(tbl_clean_sales[[#This Row],[target key]],'05_Target_Master'!$F$1:$F$32,0),3),"Missing")</f>
        <v>131000</v>
      </c>
    </row>
    <row r="540" spans="1:21" x14ac:dyDescent="0.3">
      <c r="A540" s="21">
        <v>46186</v>
      </c>
      <c r="B540" s="22" t="s">
        <v>574</v>
      </c>
      <c r="C540" s="22" t="s">
        <v>21</v>
      </c>
      <c r="D540" s="22" t="s">
        <v>48</v>
      </c>
      <c r="E540" s="22" t="s">
        <v>22</v>
      </c>
      <c r="F540" s="22">
        <v>6</v>
      </c>
      <c r="G540" s="23">
        <v>1549.62</v>
      </c>
      <c r="H540" s="25" t="str">
        <f>IF(COUNTIF(tbl_clean_sales[Invoice_ID],tbl_clean_sales[[#This Row],[Invoice_ID]])&gt;1,"Duplicate","Unique")</f>
        <v>Unique</v>
      </c>
      <c r="I540" s="25"/>
      <c r="J5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0" s="25" t="str">
        <f>IFERROR(VLOOKUP(tbl_clean_sales[[#This Row],[Employee_ID]],'02_Employee_Master'!$A$1:$C$12,2,FALSE),"Employee Name Missing")</f>
        <v>Priya S</v>
      </c>
      <c r="L540" s="25" t="str">
        <f>IFERROR(VLOOKUP(tbl_clean_sales[[#This Row],[Employee_ID]],'02_Employee_Master'!$A$1:$C$12,3,FALSE),"Department Name Missing")</f>
        <v>Sales</v>
      </c>
      <c r="M540" s="25" t="str">
        <f>IF('03_Clean_data'!D540="","Missing",IFERROR(IF(VLOOKUP(D540,'03_Product_Master'!$A$1:$D$14,1,FALSE)='03_Clean_data'!D540,"Valid","Invalid"),"Invalid"))</f>
        <v>Valid</v>
      </c>
      <c r="N540" s="25" t="str">
        <f>IFERROR(VLOOKUP(tbl_clean_sales[[#This Row],[Product_ID]],'03_Product_Master'!$A$1:$D$14,2,FALSE),"Missing")</f>
        <v>Face Wash</v>
      </c>
      <c r="O540" s="25" t="str">
        <f>IFERROR(VLOOKUP(tbl_clean_sales[[#This Row],[Product_ID]],'03_Product_Master'!$A$1:$D$14,3,FALSE),"Missing")</f>
        <v>Personal Care</v>
      </c>
      <c r="P540" s="25">
        <f>IFERROR(VLOOKUP(tbl_clean_sales[[#This Row],[Product_ID]],'03_Product_Master'!$A$1:$D$14,4,FALSE),"Missing")</f>
        <v>260</v>
      </c>
      <c r="Q540" s="25" t="str">
        <f>IF('03_Clean_data'!E540="","Missing",IFERROR(IF(VLOOKUP(E540,'04_Branch_Master'!$A$1:$C$7,1,FALSE)='03_Clean_data'!E540,"Valid","Invalid"),"Invalid"))</f>
        <v>Valid</v>
      </c>
      <c r="R540" s="25" t="str">
        <f>IFERROR(VLOOKUP(tbl_clean_sales[[#This Row],[Branch_ID]],'04_Branch_Master'!$A$1:$C$7,2,FALSE),"Missing")</f>
        <v>Tirupur Central</v>
      </c>
      <c r="S540" s="25" t="str">
        <f>IFERROR(VLOOKUP(tbl_clean_sales[[#This Row],[Branch_ID]],'04_Branch_Master'!$A$1:$C$7,3,FALSE),"Missing")</f>
        <v>North</v>
      </c>
      <c r="T540" s="25" t="str">
        <f>C540&amp;"|"&amp;TEXT(tbl_clean_sales[[#This Row],[Date]],"yyyymm")</f>
        <v>E002|202606</v>
      </c>
      <c r="U540" s="25">
        <f>IFERROR(INDEX('05_Target_Master'!$A$1:$F$32,MATCH(tbl_clean_sales[[#This Row],[target key]],'05_Target_Master'!$F$1:$F$32,0),3),"Missing")</f>
        <v>117400</v>
      </c>
    </row>
    <row r="541" spans="1:21" x14ac:dyDescent="0.3">
      <c r="A541" s="21">
        <v>46185</v>
      </c>
      <c r="B541" s="22" t="s">
        <v>575</v>
      </c>
      <c r="C541" s="22" t="s">
        <v>18</v>
      </c>
      <c r="D541" s="22" t="s">
        <v>34</v>
      </c>
      <c r="E541" s="22" t="s">
        <v>14</v>
      </c>
      <c r="F541" s="22">
        <v>2</v>
      </c>
      <c r="G541" s="23">
        <v>196.39</v>
      </c>
      <c r="H541" s="25" t="str">
        <f>IF(COUNTIF(tbl_clean_sales[Invoice_ID],tbl_clean_sales[[#This Row],[Invoice_ID]])&gt;1,"Duplicate","Unique")</f>
        <v>Unique</v>
      </c>
      <c r="I541" s="25"/>
      <c r="J5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1" s="25" t="str">
        <f>IFERROR(VLOOKUP(tbl_clean_sales[[#This Row],[Employee_ID]],'02_Employee_Master'!$A$1:$C$12,2,FALSE),"Employee Name Missing")</f>
        <v>Rahul M</v>
      </c>
      <c r="L541" s="25" t="str">
        <f>IFERROR(VLOOKUP(tbl_clean_sales[[#This Row],[Employee_ID]],'02_Employee_Master'!$A$1:$C$12,3,FALSE),"Department Name Missing")</f>
        <v>Sales</v>
      </c>
      <c r="M541" s="25" t="str">
        <f>IF('03_Clean_data'!D541="","Missing",IFERROR(IF(VLOOKUP(D541,'03_Product_Master'!$A$1:$D$14,1,FALSE)='03_Clean_data'!D541,"Valid","Invalid"),"Invalid"))</f>
        <v>Valid</v>
      </c>
      <c r="N541" s="25" t="str">
        <f>IFERROR(VLOOKUP(tbl_clean_sales[[#This Row],[Product_ID]],'03_Product_Master'!$A$1:$D$14,2,FALSE),"Missing")</f>
        <v>Potato Chips</v>
      </c>
      <c r="O541" s="25" t="str">
        <f>IFERROR(VLOOKUP(tbl_clean_sales[[#This Row],[Product_ID]],'03_Product_Master'!$A$1:$D$14,3,FALSE),"Missing")</f>
        <v>Snacks</v>
      </c>
      <c r="P541" s="25">
        <f>IFERROR(VLOOKUP(tbl_clean_sales[[#This Row],[Product_ID]],'03_Product_Master'!$A$1:$D$14,4,FALSE),"Missing")</f>
        <v>110</v>
      </c>
      <c r="Q541" s="25" t="str">
        <f>IF('03_Clean_data'!E541="","Missing",IFERROR(IF(VLOOKUP(E541,'04_Branch_Master'!$A$1:$C$7,1,FALSE)='03_Clean_data'!E541,"Valid","Invalid"),"Invalid"))</f>
        <v>Valid</v>
      </c>
      <c r="R541" s="25" t="str">
        <f>IFERROR(VLOOKUP(tbl_clean_sales[[#This Row],[Branch_ID]],'04_Branch_Master'!$A$1:$C$7,2,FALSE),"Missing")</f>
        <v>Avinashi Road</v>
      </c>
      <c r="S541" s="25" t="str">
        <f>IFERROR(VLOOKUP(tbl_clean_sales[[#This Row],[Branch_ID]],'04_Branch_Master'!$A$1:$C$7,3,FALSE),"Missing")</f>
        <v>North</v>
      </c>
      <c r="T541" s="25" t="str">
        <f>C541&amp;"|"&amp;TEXT(tbl_clean_sales[[#This Row],[Date]],"yyyymm")</f>
        <v>E003|202606</v>
      </c>
      <c r="U541" s="25">
        <f>IFERROR(INDEX('05_Target_Master'!$A$1:$F$32,MATCH(tbl_clean_sales[[#This Row],[target key]],'05_Target_Master'!$F$1:$F$32,0),3),"Missing")</f>
        <v>112000</v>
      </c>
    </row>
    <row r="542" spans="1:21" x14ac:dyDescent="0.3">
      <c r="A542" s="21">
        <v>46199</v>
      </c>
      <c r="B542" s="22" t="s">
        <v>576</v>
      </c>
      <c r="C542" s="22" t="s">
        <v>21</v>
      </c>
      <c r="D542" s="22" t="s">
        <v>30</v>
      </c>
      <c r="E542" s="22" t="s">
        <v>22</v>
      </c>
      <c r="F542" s="22">
        <v>1</v>
      </c>
      <c r="G542" s="23">
        <v>159.15</v>
      </c>
      <c r="H542" s="25" t="str">
        <f>IF(COUNTIF(tbl_clean_sales[Invoice_ID],tbl_clean_sales[[#This Row],[Invoice_ID]])&gt;1,"Duplicate","Unique")</f>
        <v>Unique</v>
      </c>
      <c r="I542" s="25"/>
      <c r="J5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2" s="25" t="str">
        <f>IFERROR(VLOOKUP(tbl_clean_sales[[#This Row],[Employee_ID]],'02_Employee_Master'!$A$1:$C$12,2,FALSE),"Employee Name Missing")</f>
        <v>Priya S</v>
      </c>
      <c r="L542" s="25" t="str">
        <f>IFERROR(VLOOKUP(tbl_clean_sales[[#This Row],[Employee_ID]],'02_Employee_Master'!$A$1:$C$12,3,FALSE),"Department Name Missing")</f>
        <v>Sales</v>
      </c>
      <c r="M542" s="25" t="str">
        <f>IF('03_Clean_data'!D542="","Missing",IFERROR(IF(VLOOKUP(D542,'03_Product_Master'!$A$1:$D$14,1,FALSE)='03_Clean_data'!D542,"Valid","Invalid"),"Invalid"))</f>
        <v>Valid</v>
      </c>
      <c r="N542" s="25" t="str">
        <f>IFERROR(VLOOKUP(tbl_clean_sales[[#This Row],[Product_ID]],'03_Product_Master'!$A$1:$D$14,2,FALSE),"Missing")</f>
        <v>Cookies Pack</v>
      </c>
      <c r="O542" s="25" t="str">
        <f>IFERROR(VLOOKUP(tbl_clean_sales[[#This Row],[Product_ID]],'03_Product_Master'!$A$1:$D$14,3,FALSE),"Missing")</f>
        <v>Snacks</v>
      </c>
      <c r="P542" s="25">
        <f>IFERROR(VLOOKUP(tbl_clean_sales[[#This Row],[Product_ID]],'03_Product_Master'!$A$1:$D$14,4,FALSE),"Missing")</f>
        <v>160</v>
      </c>
      <c r="Q542" s="25" t="str">
        <f>IF('03_Clean_data'!E542="","Missing",IFERROR(IF(VLOOKUP(E542,'04_Branch_Master'!$A$1:$C$7,1,FALSE)='03_Clean_data'!E542,"Valid","Invalid"),"Invalid"))</f>
        <v>Valid</v>
      </c>
      <c r="R542" s="25" t="str">
        <f>IFERROR(VLOOKUP(tbl_clean_sales[[#This Row],[Branch_ID]],'04_Branch_Master'!$A$1:$C$7,2,FALSE),"Missing")</f>
        <v>Tirupur Central</v>
      </c>
      <c r="S542" s="25" t="str">
        <f>IFERROR(VLOOKUP(tbl_clean_sales[[#This Row],[Branch_ID]],'04_Branch_Master'!$A$1:$C$7,3,FALSE),"Missing")</f>
        <v>North</v>
      </c>
      <c r="T542" s="25" t="str">
        <f>C542&amp;"|"&amp;TEXT(tbl_clean_sales[[#This Row],[Date]],"yyyymm")</f>
        <v>E002|202606</v>
      </c>
      <c r="U542" s="25">
        <f>IFERROR(INDEX('05_Target_Master'!$A$1:$F$32,MATCH(tbl_clean_sales[[#This Row],[target key]],'05_Target_Master'!$F$1:$F$32,0),3),"Missing")</f>
        <v>117400</v>
      </c>
    </row>
    <row r="543" spans="1:21" x14ac:dyDescent="0.3">
      <c r="A543" s="21">
        <v>46114</v>
      </c>
      <c r="B543" s="22" t="s">
        <v>577</v>
      </c>
      <c r="C543" s="22" t="s">
        <v>12</v>
      </c>
      <c r="D543" s="22" t="s">
        <v>25</v>
      </c>
      <c r="E543" s="22" t="s">
        <v>14</v>
      </c>
      <c r="F543" s="22">
        <v>7</v>
      </c>
      <c r="G543" s="23">
        <v>2615.34</v>
      </c>
      <c r="H543" s="25" t="str">
        <f>IF(COUNTIF(tbl_clean_sales[Invoice_ID],tbl_clean_sales[[#This Row],[Invoice_ID]])&gt;1,"Duplicate","Unique")</f>
        <v>Unique</v>
      </c>
      <c r="I543" s="25"/>
      <c r="J5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3" s="25" t="str">
        <f>IFERROR(VLOOKUP(tbl_clean_sales[[#This Row],[Employee_ID]],'02_Employee_Master'!$A$1:$C$12,2,FALSE),"Employee Name Missing")</f>
        <v>Divya R</v>
      </c>
      <c r="L543" s="25" t="str">
        <f>IFERROR(VLOOKUP(tbl_clean_sales[[#This Row],[Employee_ID]],'02_Employee_Master'!$A$1:$C$12,3,FALSE),"Department Name Missing")</f>
        <v>Sales</v>
      </c>
      <c r="M543" s="25" t="str">
        <f>IF('03_Clean_data'!D543="","Missing",IFERROR(IF(VLOOKUP(D543,'03_Product_Master'!$A$1:$D$14,1,FALSE)='03_Clean_data'!D543,"Valid","Invalid"),"Invalid"))</f>
        <v>Valid</v>
      </c>
      <c r="N543" s="25" t="str">
        <f>IFERROR(VLOOKUP(tbl_clean_sales[[#This Row],[Product_ID]],'03_Product_Master'!$A$1:$D$14,2,FALSE),"Missing")</f>
        <v>Premium Coffee</v>
      </c>
      <c r="O543" s="25" t="str">
        <f>IFERROR(VLOOKUP(tbl_clean_sales[[#This Row],[Product_ID]],'03_Product_Master'!$A$1:$D$14,3,FALSE),"Missing")</f>
        <v>Beverages</v>
      </c>
      <c r="P543" s="25">
        <f>IFERROR(VLOOKUP(tbl_clean_sales[[#This Row],[Product_ID]],'03_Product_Master'!$A$1:$D$14,4,FALSE),"Missing")</f>
        <v>420</v>
      </c>
      <c r="Q543" s="25" t="str">
        <f>IF('03_Clean_data'!E543="","Missing",IFERROR(IF(VLOOKUP(E543,'04_Branch_Master'!$A$1:$C$7,1,FALSE)='03_Clean_data'!E543,"Valid","Invalid"),"Invalid"))</f>
        <v>Valid</v>
      </c>
      <c r="R543" s="25" t="str">
        <f>IFERROR(VLOOKUP(tbl_clean_sales[[#This Row],[Branch_ID]],'04_Branch_Master'!$A$1:$C$7,2,FALSE),"Missing")</f>
        <v>Avinashi Road</v>
      </c>
      <c r="S543" s="25" t="str">
        <f>IFERROR(VLOOKUP(tbl_clean_sales[[#This Row],[Branch_ID]],'04_Branch_Master'!$A$1:$C$7,3,FALSE),"Missing")</f>
        <v>North</v>
      </c>
      <c r="T543" s="25" t="str">
        <f>C543&amp;"|"&amp;TEXT(tbl_clean_sales[[#This Row],[Date]],"yyyymm")</f>
        <v>E004|202604</v>
      </c>
      <c r="U543" s="25">
        <f>IFERROR(INDEX('05_Target_Master'!$A$1:$F$32,MATCH(tbl_clean_sales[[#This Row],[target key]],'05_Target_Master'!$F$1:$F$32,0),3),"Missing")</f>
        <v>163600</v>
      </c>
    </row>
    <row r="544" spans="1:21" x14ac:dyDescent="0.3">
      <c r="A544" s="21">
        <v>46135</v>
      </c>
      <c r="B544" s="22" t="s">
        <v>578</v>
      </c>
      <c r="C544" s="22" t="s">
        <v>74</v>
      </c>
      <c r="D544" s="22" t="s">
        <v>13</v>
      </c>
      <c r="E544" s="22" t="s">
        <v>32</v>
      </c>
      <c r="F544" s="22">
        <v>4</v>
      </c>
      <c r="G544" s="23">
        <v>1499.76</v>
      </c>
      <c r="H544" s="25" t="str">
        <f>IF(COUNTIF(tbl_clean_sales[Invoice_ID],tbl_clean_sales[[#This Row],[Invoice_ID]])&gt;1,"Duplicate","Unique")</f>
        <v>Unique</v>
      </c>
      <c r="I544" s="25"/>
      <c r="J5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4" s="25" t="str">
        <f>IFERROR(VLOOKUP(tbl_clean_sales[[#This Row],[Employee_ID]],'02_Employee_Master'!$A$1:$C$12,2,FALSE),"Employee Name Missing")</f>
        <v>Arun Kumar</v>
      </c>
      <c r="L544" s="25" t="str">
        <f>IFERROR(VLOOKUP(tbl_clean_sales[[#This Row],[Employee_ID]],'02_Employee_Master'!$A$1:$C$12,3,FALSE),"Department Name Missing")</f>
        <v>Sales</v>
      </c>
      <c r="M544" s="25" t="str">
        <f>IF('03_Clean_data'!D544="","Missing",IFERROR(IF(VLOOKUP(D544,'03_Product_Master'!$A$1:$D$14,1,FALSE)='03_Clean_data'!D544,"Valid","Invalid"),"Invalid"))</f>
        <v>Valid</v>
      </c>
      <c r="N544" s="25" t="str">
        <f>IFERROR(VLOOKUP(tbl_clean_sales[[#This Row],[Product_ID]],'03_Product_Master'!$A$1:$D$14,2,FALSE),"Missing")</f>
        <v>Body Lotion</v>
      </c>
      <c r="O544" s="25" t="str">
        <f>IFERROR(VLOOKUP(tbl_clean_sales[[#This Row],[Product_ID]],'03_Product_Master'!$A$1:$D$14,3,FALSE),"Missing")</f>
        <v>Personal Care</v>
      </c>
      <c r="P544" s="25">
        <f>IFERROR(VLOOKUP(tbl_clean_sales[[#This Row],[Product_ID]],'03_Product_Master'!$A$1:$D$14,4,FALSE),"Missing")</f>
        <v>390</v>
      </c>
      <c r="Q544" s="25" t="str">
        <f>IF('03_Clean_data'!E544="","Missing",IFERROR(IF(VLOOKUP(E544,'04_Branch_Master'!$A$1:$C$7,1,FALSE)='03_Clean_data'!E544,"Valid","Invalid"),"Invalid"))</f>
        <v>Valid</v>
      </c>
      <c r="R544" s="25" t="str">
        <f>IFERROR(VLOOKUP(tbl_clean_sales[[#This Row],[Branch_ID]],'04_Branch_Master'!$A$1:$C$7,2,FALSE),"Missing")</f>
        <v>Kangeyam</v>
      </c>
      <c r="S544" s="25" t="str">
        <f>IFERROR(VLOOKUP(tbl_clean_sales[[#This Row],[Branch_ID]],'04_Branch_Master'!$A$1:$C$7,3,FALSE),"Missing")</f>
        <v>East</v>
      </c>
      <c r="T544" s="25" t="str">
        <f>C544&amp;"|"&amp;TEXT(tbl_clean_sales[[#This Row],[Date]],"yyyymm")</f>
        <v>E001|202604</v>
      </c>
      <c r="U544" s="25">
        <f>IFERROR(INDEX('05_Target_Master'!$A$1:$F$32,MATCH(tbl_clean_sales[[#This Row],[target key]],'05_Target_Master'!$F$1:$F$32,0),3),"Missing")</f>
        <v>156900</v>
      </c>
    </row>
    <row r="545" spans="1:21" x14ac:dyDescent="0.3">
      <c r="A545" s="21">
        <v>46166</v>
      </c>
      <c r="B545" s="22" t="s">
        <v>579</v>
      </c>
      <c r="C545" s="22" t="s">
        <v>40</v>
      </c>
      <c r="D545" s="22" t="s">
        <v>82</v>
      </c>
      <c r="E545" s="22" t="s">
        <v>10</v>
      </c>
      <c r="F545" s="22">
        <v>6</v>
      </c>
      <c r="G545" s="23">
        <v>709.68</v>
      </c>
      <c r="H545" s="25" t="str">
        <f>IF(COUNTIF(tbl_clean_sales[Invoice_ID],tbl_clean_sales[[#This Row],[Invoice_ID]])&gt;1,"Duplicate","Unique")</f>
        <v>Unique</v>
      </c>
      <c r="I545" s="25"/>
      <c r="J5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5" s="25" t="str">
        <f>IFERROR(VLOOKUP(tbl_clean_sales[[#This Row],[Employee_ID]],'02_Employee_Master'!$A$1:$C$12,2,FALSE),"Employee Name Missing")</f>
        <v>Meena V</v>
      </c>
      <c r="L545" s="25" t="str">
        <f>IFERROR(VLOOKUP(tbl_clean_sales[[#This Row],[Employee_ID]],'02_Employee_Master'!$A$1:$C$12,3,FALSE),"Department Name Missing")</f>
        <v>Sales</v>
      </c>
      <c r="M545" s="25" t="str">
        <f>IF('03_Clean_data'!D545="","Missing",IFERROR(IF(VLOOKUP(D545,'03_Product_Master'!$A$1:$D$14,1,FALSE)='03_Clean_data'!D545,"Valid","Invalid"),"Invalid"))</f>
        <v>Valid</v>
      </c>
      <c r="N545" s="25" t="str">
        <f>IFERROR(VLOOKUP(tbl_clean_sales[[#This Row],[Product_ID]],'03_Product_Master'!$A$1:$D$14,2,FALSE),"Missing")</f>
        <v>Chocolate Bar</v>
      </c>
      <c r="O545" s="25" t="str">
        <f>IFERROR(VLOOKUP(tbl_clean_sales[[#This Row],[Product_ID]],'03_Product_Master'!$A$1:$D$14,3,FALSE),"Missing")</f>
        <v>Snacks</v>
      </c>
      <c r="P545" s="25">
        <f>IFERROR(VLOOKUP(tbl_clean_sales[[#This Row],[Product_ID]],'03_Product_Master'!$A$1:$D$14,4,FALSE),"Missing")</f>
        <v>120</v>
      </c>
      <c r="Q545" s="25" t="str">
        <f>IF('03_Clean_data'!E545="","Missing",IFERROR(IF(VLOOKUP(E545,'04_Branch_Master'!$A$1:$C$7,1,FALSE)='03_Clean_data'!E545,"Valid","Invalid"),"Invalid"))</f>
        <v>Valid</v>
      </c>
      <c r="R545" s="25" t="str">
        <f>IFERROR(VLOOKUP(tbl_clean_sales[[#This Row],[Branch_ID]],'04_Branch_Master'!$A$1:$C$7,2,FALSE),"Missing")</f>
        <v>Dharapuram</v>
      </c>
      <c r="S545" s="25" t="str">
        <f>IFERROR(VLOOKUP(tbl_clean_sales[[#This Row],[Branch_ID]],'04_Branch_Master'!$A$1:$C$7,3,FALSE),"Missing")</f>
        <v>South</v>
      </c>
      <c r="T545" s="25" t="str">
        <f>C545&amp;"|"&amp;TEXT(tbl_clean_sales[[#This Row],[Date]],"yyyymm")</f>
        <v>E006|202605</v>
      </c>
      <c r="U545" s="25">
        <f>IFERROR(INDEX('05_Target_Master'!$A$1:$F$32,MATCH(tbl_clean_sales[[#This Row],[target key]],'05_Target_Master'!$F$1:$F$32,0),3),"Missing")</f>
        <v>141500</v>
      </c>
    </row>
    <row r="546" spans="1:21" x14ac:dyDescent="0.3">
      <c r="A546" s="21">
        <v>46199</v>
      </c>
      <c r="B546" s="22" t="s">
        <v>580</v>
      </c>
      <c r="C546" s="22" t="s">
        <v>74</v>
      </c>
      <c r="D546" s="22" t="s">
        <v>53</v>
      </c>
      <c r="E546" s="22" t="s">
        <v>22</v>
      </c>
      <c r="F546" s="22">
        <v>9</v>
      </c>
      <c r="G546" s="23">
        <v>2779.03</v>
      </c>
      <c r="H546" s="25" t="str">
        <f>IF(COUNTIF(tbl_clean_sales[Invoice_ID],tbl_clean_sales[[#This Row],[Invoice_ID]])&gt;1,"Duplicate","Unique")</f>
        <v>Unique</v>
      </c>
      <c r="I546" s="25"/>
      <c r="J5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6" s="25" t="str">
        <f>IFERROR(VLOOKUP(tbl_clean_sales[[#This Row],[Employee_ID]],'02_Employee_Master'!$A$1:$C$12,2,FALSE),"Employee Name Missing")</f>
        <v>Arun Kumar</v>
      </c>
      <c r="L546" s="25" t="str">
        <f>IFERROR(VLOOKUP(tbl_clean_sales[[#This Row],[Employee_ID]],'02_Employee_Master'!$A$1:$C$12,3,FALSE),"Department Name Missing")</f>
        <v>Sales</v>
      </c>
      <c r="M546" s="25" t="str">
        <f>IF('03_Clean_data'!D546="","Missing",IFERROR(IF(VLOOKUP(D546,'03_Product_Master'!$A$1:$D$14,1,FALSE)='03_Clean_data'!D546,"Valid","Invalid"),"Invalid"))</f>
        <v>Valid</v>
      </c>
      <c r="N546" s="25" t="str">
        <f>IFERROR(VLOOKUP(tbl_clean_sales[[#This Row],[Product_ID]],'03_Product_Master'!$A$1:$D$14,2,FALSE),"Missing")</f>
        <v>Instant Coffee</v>
      </c>
      <c r="O546" s="25" t="str">
        <f>IFERROR(VLOOKUP(tbl_clean_sales[[#This Row],[Product_ID]],'03_Product_Master'!$A$1:$D$14,3,FALSE),"Missing")</f>
        <v>Beverages</v>
      </c>
      <c r="P546" s="25">
        <f>IFERROR(VLOOKUP(tbl_clean_sales[[#This Row],[Product_ID]],'03_Product_Master'!$A$1:$D$14,4,FALSE),"Missing")</f>
        <v>350</v>
      </c>
      <c r="Q546" s="25" t="str">
        <f>IF('03_Clean_data'!E546="","Missing",IFERROR(IF(VLOOKUP(E546,'04_Branch_Master'!$A$1:$C$7,1,FALSE)='03_Clean_data'!E546,"Valid","Invalid"),"Invalid"))</f>
        <v>Valid</v>
      </c>
      <c r="R546" s="25" t="str">
        <f>IFERROR(VLOOKUP(tbl_clean_sales[[#This Row],[Branch_ID]],'04_Branch_Master'!$A$1:$C$7,2,FALSE),"Missing")</f>
        <v>Tirupur Central</v>
      </c>
      <c r="S546" s="25" t="str">
        <f>IFERROR(VLOOKUP(tbl_clean_sales[[#This Row],[Branch_ID]],'04_Branch_Master'!$A$1:$C$7,3,FALSE),"Missing")</f>
        <v>North</v>
      </c>
      <c r="T546" s="25" t="str">
        <f>C546&amp;"|"&amp;TEXT(tbl_clean_sales[[#This Row],[Date]],"yyyymm")</f>
        <v>E001|202606</v>
      </c>
      <c r="U546" s="25">
        <f>IFERROR(INDEX('05_Target_Master'!$A$1:$F$32,MATCH(tbl_clean_sales[[#This Row],[target key]],'05_Target_Master'!$F$1:$F$32,0),3),"Missing")</f>
        <v>150600</v>
      </c>
    </row>
    <row r="547" spans="1:21" x14ac:dyDescent="0.3">
      <c r="A547" s="21">
        <v>46164</v>
      </c>
      <c r="B547" s="22" t="s">
        <v>581</v>
      </c>
      <c r="C547" s="22" t="s">
        <v>21</v>
      </c>
      <c r="D547" s="22" t="s">
        <v>48</v>
      </c>
      <c r="E547" s="22" t="s">
        <v>26</v>
      </c>
      <c r="F547" s="22">
        <v>6</v>
      </c>
      <c r="G547" s="23">
        <v>1543.83</v>
      </c>
      <c r="H547" s="25" t="str">
        <f>IF(COUNTIF(tbl_clean_sales[Invoice_ID],tbl_clean_sales[[#This Row],[Invoice_ID]])&gt;1,"Duplicate","Unique")</f>
        <v>Unique</v>
      </c>
      <c r="I547" s="25"/>
      <c r="J5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7" s="25" t="str">
        <f>IFERROR(VLOOKUP(tbl_clean_sales[[#This Row],[Employee_ID]],'02_Employee_Master'!$A$1:$C$12,2,FALSE),"Employee Name Missing")</f>
        <v>Priya S</v>
      </c>
      <c r="L547" s="25" t="str">
        <f>IFERROR(VLOOKUP(tbl_clean_sales[[#This Row],[Employee_ID]],'02_Employee_Master'!$A$1:$C$12,3,FALSE),"Department Name Missing")</f>
        <v>Sales</v>
      </c>
      <c r="M547" s="25" t="str">
        <f>IF('03_Clean_data'!D547="","Missing",IFERROR(IF(VLOOKUP(D547,'03_Product_Master'!$A$1:$D$14,1,FALSE)='03_Clean_data'!D547,"Valid","Invalid"),"Invalid"))</f>
        <v>Valid</v>
      </c>
      <c r="N547" s="25" t="str">
        <f>IFERROR(VLOOKUP(tbl_clean_sales[[#This Row],[Product_ID]],'03_Product_Master'!$A$1:$D$14,2,FALSE),"Missing")</f>
        <v>Face Wash</v>
      </c>
      <c r="O547" s="25" t="str">
        <f>IFERROR(VLOOKUP(tbl_clean_sales[[#This Row],[Product_ID]],'03_Product_Master'!$A$1:$D$14,3,FALSE),"Missing")</f>
        <v>Personal Care</v>
      </c>
      <c r="P547" s="25">
        <f>IFERROR(VLOOKUP(tbl_clean_sales[[#This Row],[Product_ID]],'03_Product_Master'!$A$1:$D$14,4,FALSE),"Missing")</f>
        <v>260</v>
      </c>
      <c r="Q547" s="25" t="str">
        <f>IF('03_Clean_data'!E547="","Missing",IFERROR(IF(VLOOKUP(E547,'04_Branch_Master'!$A$1:$C$7,1,FALSE)='03_Clean_data'!E547,"Valid","Invalid"),"Invalid"))</f>
        <v>Valid</v>
      </c>
      <c r="R547" s="25" t="str">
        <f>IFERROR(VLOOKUP(tbl_clean_sales[[#This Row],[Branch_ID]],'04_Branch_Master'!$A$1:$C$7,2,FALSE),"Missing")</f>
        <v>Palladam</v>
      </c>
      <c r="S547" s="25" t="str">
        <f>IFERROR(VLOOKUP(tbl_clean_sales[[#This Row],[Branch_ID]],'04_Branch_Master'!$A$1:$C$7,3,FALSE),"Missing")</f>
        <v>South</v>
      </c>
      <c r="T547" s="25" t="str">
        <f>C547&amp;"|"&amp;TEXT(tbl_clean_sales[[#This Row],[Date]],"yyyymm")</f>
        <v>E002|202605</v>
      </c>
      <c r="U547" s="25">
        <f>IFERROR(INDEX('05_Target_Master'!$A$1:$F$32,MATCH(tbl_clean_sales[[#This Row],[target key]],'05_Target_Master'!$F$1:$F$32,0),3),"Missing")</f>
        <v>132100</v>
      </c>
    </row>
    <row r="548" spans="1:21" x14ac:dyDescent="0.3">
      <c r="A548" s="21">
        <v>46171</v>
      </c>
      <c r="B548" s="22" t="s">
        <v>582</v>
      </c>
      <c r="C548" s="22" t="s">
        <v>74</v>
      </c>
      <c r="D548" s="22" t="s">
        <v>34</v>
      </c>
      <c r="E548" s="22" t="s">
        <v>22</v>
      </c>
      <c r="F548" s="22">
        <v>10</v>
      </c>
      <c r="G548" s="23">
        <v>996.45</v>
      </c>
      <c r="H548" s="25" t="str">
        <f>IF(COUNTIF(tbl_clean_sales[Invoice_ID],tbl_clean_sales[[#This Row],[Invoice_ID]])&gt;1,"Duplicate","Unique")</f>
        <v>Unique</v>
      </c>
      <c r="I548" s="25"/>
      <c r="J5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8" s="25" t="str">
        <f>IFERROR(VLOOKUP(tbl_clean_sales[[#This Row],[Employee_ID]],'02_Employee_Master'!$A$1:$C$12,2,FALSE),"Employee Name Missing")</f>
        <v>Arun Kumar</v>
      </c>
      <c r="L548" s="25" t="str">
        <f>IFERROR(VLOOKUP(tbl_clean_sales[[#This Row],[Employee_ID]],'02_Employee_Master'!$A$1:$C$12,3,FALSE),"Department Name Missing")</f>
        <v>Sales</v>
      </c>
      <c r="M548" s="25" t="str">
        <f>IF('03_Clean_data'!D548="","Missing",IFERROR(IF(VLOOKUP(D548,'03_Product_Master'!$A$1:$D$14,1,FALSE)='03_Clean_data'!D548,"Valid","Invalid"),"Invalid"))</f>
        <v>Valid</v>
      </c>
      <c r="N548" s="25" t="str">
        <f>IFERROR(VLOOKUP(tbl_clean_sales[[#This Row],[Product_ID]],'03_Product_Master'!$A$1:$D$14,2,FALSE),"Missing")</f>
        <v>Potato Chips</v>
      </c>
      <c r="O548" s="25" t="str">
        <f>IFERROR(VLOOKUP(tbl_clean_sales[[#This Row],[Product_ID]],'03_Product_Master'!$A$1:$D$14,3,FALSE),"Missing")</f>
        <v>Snacks</v>
      </c>
      <c r="P548" s="25">
        <f>IFERROR(VLOOKUP(tbl_clean_sales[[#This Row],[Product_ID]],'03_Product_Master'!$A$1:$D$14,4,FALSE),"Missing")</f>
        <v>110</v>
      </c>
      <c r="Q548" s="25" t="str">
        <f>IF('03_Clean_data'!E548="","Missing",IFERROR(IF(VLOOKUP(E548,'04_Branch_Master'!$A$1:$C$7,1,FALSE)='03_Clean_data'!E548,"Valid","Invalid"),"Invalid"))</f>
        <v>Valid</v>
      </c>
      <c r="R548" s="25" t="str">
        <f>IFERROR(VLOOKUP(tbl_clean_sales[[#This Row],[Branch_ID]],'04_Branch_Master'!$A$1:$C$7,2,FALSE),"Missing")</f>
        <v>Tirupur Central</v>
      </c>
      <c r="S548" s="25" t="str">
        <f>IFERROR(VLOOKUP(tbl_clean_sales[[#This Row],[Branch_ID]],'04_Branch_Master'!$A$1:$C$7,3,FALSE),"Missing")</f>
        <v>North</v>
      </c>
      <c r="T548" s="25" t="str">
        <f>C548&amp;"|"&amp;TEXT(tbl_clean_sales[[#This Row],[Date]],"yyyymm")</f>
        <v>E001|202605</v>
      </c>
      <c r="U548" s="25">
        <f>IFERROR(INDEX('05_Target_Master'!$A$1:$F$32,MATCH(tbl_clean_sales[[#This Row],[target key]],'05_Target_Master'!$F$1:$F$32,0),3),"Missing")</f>
        <v>169500</v>
      </c>
    </row>
    <row r="549" spans="1:21" x14ac:dyDescent="0.3">
      <c r="A549" s="21">
        <v>46192</v>
      </c>
      <c r="B549" s="22" t="s">
        <v>583</v>
      </c>
      <c r="C549" s="22" t="s">
        <v>12</v>
      </c>
      <c r="D549" s="22" t="s">
        <v>48</v>
      </c>
      <c r="E549" s="22" t="s">
        <v>14</v>
      </c>
      <c r="F549" s="22">
        <v>8</v>
      </c>
      <c r="G549" s="23">
        <v>1830.95</v>
      </c>
      <c r="H549" s="25" t="str">
        <f>IF(COUNTIF(tbl_clean_sales[Invoice_ID],tbl_clean_sales[[#This Row],[Invoice_ID]])&gt;1,"Duplicate","Unique")</f>
        <v>Unique</v>
      </c>
      <c r="I549" s="25"/>
      <c r="J5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49" s="25" t="str">
        <f>IFERROR(VLOOKUP(tbl_clean_sales[[#This Row],[Employee_ID]],'02_Employee_Master'!$A$1:$C$12,2,FALSE),"Employee Name Missing")</f>
        <v>Divya R</v>
      </c>
      <c r="L549" s="25" t="str">
        <f>IFERROR(VLOOKUP(tbl_clean_sales[[#This Row],[Employee_ID]],'02_Employee_Master'!$A$1:$C$12,3,FALSE),"Department Name Missing")</f>
        <v>Sales</v>
      </c>
      <c r="M549" s="25" t="str">
        <f>IF('03_Clean_data'!D549="","Missing",IFERROR(IF(VLOOKUP(D549,'03_Product_Master'!$A$1:$D$14,1,FALSE)='03_Clean_data'!D549,"Valid","Invalid"),"Invalid"))</f>
        <v>Valid</v>
      </c>
      <c r="N549" s="25" t="str">
        <f>IFERROR(VLOOKUP(tbl_clean_sales[[#This Row],[Product_ID]],'03_Product_Master'!$A$1:$D$14,2,FALSE),"Missing")</f>
        <v>Face Wash</v>
      </c>
      <c r="O549" s="25" t="str">
        <f>IFERROR(VLOOKUP(tbl_clean_sales[[#This Row],[Product_ID]],'03_Product_Master'!$A$1:$D$14,3,FALSE),"Missing")</f>
        <v>Personal Care</v>
      </c>
      <c r="P549" s="25">
        <f>IFERROR(VLOOKUP(tbl_clean_sales[[#This Row],[Product_ID]],'03_Product_Master'!$A$1:$D$14,4,FALSE),"Missing")</f>
        <v>260</v>
      </c>
      <c r="Q549" s="25" t="str">
        <f>IF('03_Clean_data'!E549="","Missing",IFERROR(IF(VLOOKUP(E549,'04_Branch_Master'!$A$1:$C$7,1,FALSE)='03_Clean_data'!E549,"Valid","Invalid"),"Invalid"))</f>
        <v>Valid</v>
      </c>
      <c r="R549" s="25" t="str">
        <f>IFERROR(VLOOKUP(tbl_clean_sales[[#This Row],[Branch_ID]],'04_Branch_Master'!$A$1:$C$7,2,FALSE),"Missing")</f>
        <v>Avinashi Road</v>
      </c>
      <c r="S549" s="25" t="str">
        <f>IFERROR(VLOOKUP(tbl_clean_sales[[#This Row],[Branch_ID]],'04_Branch_Master'!$A$1:$C$7,3,FALSE),"Missing")</f>
        <v>North</v>
      </c>
      <c r="T549" s="25" t="str">
        <f>C549&amp;"|"&amp;TEXT(tbl_clean_sales[[#This Row],[Date]],"yyyymm")</f>
        <v>E004|202606</v>
      </c>
      <c r="U549" s="25">
        <f>IFERROR(INDEX('05_Target_Master'!$A$1:$F$32,MATCH(tbl_clean_sales[[#This Row],[target key]],'05_Target_Master'!$F$1:$F$32,0),3),"Missing")</f>
        <v>157100</v>
      </c>
    </row>
    <row r="550" spans="1:21" x14ac:dyDescent="0.3">
      <c r="A550" s="21">
        <v>46138</v>
      </c>
      <c r="B550" s="22" t="s">
        <v>584</v>
      </c>
      <c r="C550" s="22" t="s">
        <v>8</v>
      </c>
      <c r="D550" s="22" t="s">
        <v>30</v>
      </c>
      <c r="E550" s="22" t="s">
        <v>10</v>
      </c>
      <c r="F550" s="22">
        <v>7</v>
      </c>
      <c r="G550" s="23">
        <v>1116.79</v>
      </c>
      <c r="H550" s="25" t="str">
        <f>IF(COUNTIF(tbl_clean_sales[Invoice_ID],tbl_clean_sales[[#This Row],[Invoice_ID]])&gt;1,"Duplicate","Unique")</f>
        <v>Unique</v>
      </c>
      <c r="I550" s="25"/>
      <c r="J5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0" s="25" t="str">
        <f>IFERROR(VLOOKUP(tbl_clean_sales[[#This Row],[Employee_ID]],'02_Employee_Master'!$A$1:$C$12,2,FALSE),"Employee Name Missing")</f>
        <v>Vignesh R</v>
      </c>
      <c r="L550" s="25" t="str">
        <f>IFERROR(VLOOKUP(tbl_clean_sales[[#This Row],[Employee_ID]],'02_Employee_Master'!$A$1:$C$12,3,FALSE),"Department Name Missing")</f>
        <v>Sales</v>
      </c>
      <c r="M550" s="25" t="str">
        <f>IF('03_Clean_data'!D550="","Missing",IFERROR(IF(VLOOKUP(D550,'03_Product_Master'!$A$1:$D$14,1,FALSE)='03_Clean_data'!D550,"Valid","Invalid"),"Invalid"))</f>
        <v>Valid</v>
      </c>
      <c r="N550" s="25" t="str">
        <f>IFERROR(VLOOKUP(tbl_clean_sales[[#This Row],[Product_ID]],'03_Product_Master'!$A$1:$D$14,2,FALSE),"Missing")</f>
        <v>Cookies Pack</v>
      </c>
      <c r="O550" s="25" t="str">
        <f>IFERROR(VLOOKUP(tbl_clean_sales[[#This Row],[Product_ID]],'03_Product_Master'!$A$1:$D$14,3,FALSE),"Missing")</f>
        <v>Snacks</v>
      </c>
      <c r="P550" s="25">
        <f>IFERROR(VLOOKUP(tbl_clean_sales[[#This Row],[Product_ID]],'03_Product_Master'!$A$1:$D$14,4,FALSE),"Missing")</f>
        <v>160</v>
      </c>
      <c r="Q550" s="25" t="str">
        <f>IF('03_Clean_data'!E550="","Missing",IFERROR(IF(VLOOKUP(E550,'04_Branch_Master'!$A$1:$C$7,1,FALSE)='03_Clean_data'!E550,"Valid","Invalid"),"Invalid"))</f>
        <v>Valid</v>
      </c>
      <c r="R550" s="25" t="str">
        <f>IFERROR(VLOOKUP(tbl_clean_sales[[#This Row],[Branch_ID]],'04_Branch_Master'!$A$1:$C$7,2,FALSE),"Missing")</f>
        <v>Dharapuram</v>
      </c>
      <c r="S550" s="25" t="str">
        <f>IFERROR(VLOOKUP(tbl_clean_sales[[#This Row],[Branch_ID]],'04_Branch_Master'!$A$1:$C$7,3,FALSE),"Missing")</f>
        <v>South</v>
      </c>
      <c r="T550" s="25" t="str">
        <f>C550&amp;"|"&amp;TEXT(tbl_clean_sales[[#This Row],[Date]],"yyyymm")</f>
        <v>E009|202604</v>
      </c>
      <c r="U550" s="25">
        <f>IFERROR(INDEX('05_Target_Master'!$A$1:$F$32,MATCH(tbl_clean_sales[[#This Row],[target key]],'05_Target_Master'!$F$1:$F$32,0),3),"Missing")</f>
        <v>163300</v>
      </c>
    </row>
    <row r="551" spans="1:21" x14ac:dyDescent="0.3">
      <c r="A551" s="21">
        <v>46182</v>
      </c>
      <c r="B551" s="22" t="s">
        <v>585</v>
      </c>
      <c r="C551" s="22" t="s">
        <v>40</v>
      </c>
      <c r="D551" s="22" t="s">
        <v>43</v>
      </c>
      <c r="E551" s="22" t="s">
        <v>22</v>
      </c>
      <c r="F551" s="22">
        <v>6</v>
      </c>
      <c r="G551" s="23">
        <v>2039.64</v>
      </c>
      <c r="H551" s="25" t="str">
        <f>IF(COUNTIF(tbl_clean_sales[Invoice_ID],tbl_clean_sales[[#This Row],[Invoice_ID]])&gt;1,"Duplicate","Unique")</f>
        <v>Unique</v>
      </c>
      <c r="I551" s="25"/>
      <c r="J5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1" s="25" t="str">
        <f>IFERROR(VLOOKUP(tbl_clean_sales[[#This Row],[Employee_ID]],'02_Employee_Master'!$A$1:$C$12,2,FALSE),"Employee Name Missing")</f>
        <v>Meena V</v>
      </c>
      <c r="L551" s="25" t="str">
        <f>IFERROR(VLOOKUP(tbl_clean_sales[[#This Row],[Employee_ID]],'02_Employee_Master'!$A$1:$C$12,3,FALSE),"Department Name Missing")</f>
        <v>Sales</v>
      </c>
      <c r="M551" s="25" t="str">
        <f>IF('03_Clean_data'!D551="","Missing",IFERROR(IF(VLOOKUP(D551,'03_Product_Master'!$A$1:$D$14,1,FALSE)='03_Clean_data'!D551,"Valid","Invalid"),"Invalid"))</f>
        <v>Valid</v>
      </c>
      <c r="N551" s="25" t="str">
        <f>IFERROR(VLOOKUP(tbl_clean_sales[[#This Row],[Product_ID]],'03_Product_Master'!$A$1:$D$14,2,FALSE),"Missing")</f>
        <v>Laundry Liquid</v>
      </c>
      <c r="O551" s="25" t="str">
        <f>IFERROR(VLOOKUP(tbl_clean_sales[[#This Row],[Product_ID]],'03_Product_Master'!$A$1:$D$14,3,FALSE),"Missing")</f>
        <v>Home Care</v>
      </c>
      <c r="P551" s="25">
        <f>IFERROR(VLOOKUP(tbl_clean_sales[[#This Row],[Product_ID]],'03_Product_Master'!$A$1:$D$14,4,FALSE),"Missing")</f>
        <v>340</v>
      </c>
      <c r="Q551" s="25" t="str">
        <f>IF('03_Clean_data'!E551="","Missing",IFERROR(IF(VLOOKUP(E551,'04_Branch_Master'!$A$1:$C$7,1,FALSE)='03_Clean_data'!E551,"Valid","Invalid"),"Invalid"))</f>
        <v>Valid</v>
      </c>
      <c r="R551" s="25" t="str">
        <f>IFERROR(VLOOKUP(tbl_clean_sales[[#This Row],[Branch_ID]],'04_Branch_Master'!$A$1:$C$7,2,FALSE),"Missing")</f>
        <v>Tirupur Central</v>
      </c>
      <c r="S551" s="25" t="str">
        <f>IFERROR(VLOOKUP(tbl_clean_sales[[#This Row],[Branch_ID]],'04_Branch_Master'!$A$1:$C$7,3,FALSE),"Missing")</f>
        <v>North</v>
      </c>
      <c r="T551" s="25" t="str">
        <f>C551&amp;"|"&amp;TEXT(tbl_clean_sales[[#This Row],[Date]],"yyyymm")</f>
        <v>E006|202606</v>
      </c>
      <c r="U551" s="25">
        <f>IFERROR(INDEX('05_Target_Master'!$A$1:$F$32,MATCH(tbl_clean_sales[[#This Row],[target key]],'05_Target_Master'!$F$1:$F$32,0),3),"Missing")</f>
        <v>125800</v>
      </c>
    </row>
    <row r="552" spans="1:21" x14ac:dyDescent="0.3">
      <c r="A552" s="21">
        <v>46197</v>
      </c>
      <c r="B552" s="22" t="s">
        <v>586</v>
      </c>
      <c r="C552" s="22" t="s">
        <v>46</v>
      </c>
      <c r="D552" s="22" t="s">
        <v>19</v>
      </c>
      <c r="E552" s="22" t="s">
        <v>32</v>
      </c>
      <c r="F552" s="22">
        <v>2</v>
      </c>
      <c r="G552" s="23">
        <v>448.67</v>
      </c>
      <c r="H552" s="25" t="str">
        <f>IF(COUNTIF(tbl_clean_sales[Invoice_ID],tbl_clean_sales[[#This Row],[Invoice_ID]])&gt;1,"Duplicate","Unique")</f>
        <v>Unique</v>
      </c>
      <c r="I552" s="25"/>
      <c r="J55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2" s="25" t="str">
        <f>IFERROR(VLOOKUP(tbl_clean_sales[[#This Row],[Employee_ID]],'02_Employee_Master'!$A$1:$C$12,2,FALSE),"Employee Name Missing")</f>
        <v>Suresh B</v>
      </c>
      <c r="L552" s="25" t="str">
        <f>IFERROR(VLOOKUP(tbl_clean_sales[[#This Row],[Employee_ID]],'02_Employee_Master'!$A$1:$C$12,3,FALSE),"Department Name Missing")</f>
        <v>Sales</v>
      </c>
      <c r="M552" s="25" t="str">
        <f>IF('03_Clean_data'!D552="","Missing",IFERROR(IF(VLOOKUP(D552,'03_Product_Master'!$A$1:$D$14,1,FALSE)='03_Clean_data'!D552,"Valid","Invalid"),"Invalid"))</f>
        <v>Valid</v>
      </c>
      <c r="N552" s="25" t="str">
        <f>IFERROR(VLOOKUP(tbl_clean_sales[[#This Row],[Product_ID]],'03_Product_Master'!$A$1:$D$14,2,FALSE),"Missing")</f>
        <v>Floor Cleaner</v>
      </c>
      <c r="O552" s="25" t="str">
        <f>IFERROR(VLOOKUP(tbl_clean_sales[[#This Row],[Product_ID]],'03_Product_Master'!$A$1:$D$14,3,FALSE),"Missing")</f>
        <v>Home Care</v>
      </c>
      <c r="P552" s="25">
        <f>IFERROR(VLOOKUP(tbl_clean_sales[[#This Row],[Product_ID]],'03_Product_Master'!$A$1:$D$14,4,FALSE),"Missing")</f>
        <v>230</v>
      </c>
      <c r="Q552" s="25" t="str">
        <f>IF('03_Clean_data'!E552="","Missing",IFERROR(IF(VLOOKUP(E552,'04_Branch_Master'!$A$1:$C$7,1,FALSE)='03_Clean_data'!E552,"Valid","Invalid"),"Invalid"))</f>
        <v>Valid</v>
      </c>
      <c r="R552" s="25" t="str">
        <f>IFERROR(VLOOKUP(tbl_clean_sales[[#This Row],[Branch_ID]],'04_Branch_Master'!$A$1:$C$7,2,FALSE),"Missing")</f>
        <v>Kangeyam</v>
      </c>
      <c r="S552" s="25" t="str">
        <f>IFERROR(VLOOKUP(tbl_clean_sales[[#This Row],[Branch_ID]],'04_Branch_Master'!$A$1:$C$7,3,FALSE),"Missing")</f>
        <v>East</v>
      </c>
      <c r="T552" s="25" t="str">
        <f>C552&amp;"|"&amp;TEXT(tbl_clean_sales[[#This Row],[Date]],"yyyymm")</f>
        <v>E007|202606</v>
      </c>
      <c r="U552" s="25">
        <f>IFERROR(INDEX('05_Target_Master'!$A$1:$F$32,MATCH(tbl_clean_sales[[#This Row],[target key]],'05_Target_Master'!$F$1:$F$32,0),3),"Missing")</f>
        <v>124400</v>
      </c>
    </row>
    <row r="553" spans="1:21" x14ac:dyDescent="0.3">
      <c r="A553" s="21">
        <v>46143</v>
      </c>
      <c r="B553" s="22" t="s">
        <v>587</v>
      </c>
      <c r="C553" s="22" t="s">
        <v>46</v>
      </c>
      <c r="D553" s="22" t="s">
        <v>48</v>
      </c>
      <c r="E553" s="22" t="s">
        <v>14</v>
      </c>
      <c r="F553" s="22">
        <v>12</v>
      </c>
      <c r="G553" s="23">
        <v>3015.23</v>
      </c>
      <c r="H553" s="25" t="str">
        <f>IF(COUNTIF(tbl_clean_sales[Invoice_ID],tbl_clean_sales[[#This Row],[Invoice_ID]])&gt;1,"Duplicate","Unique")</f>
        <v>Unique</v>
      </c>
      <c r="I553" s="25"/>
      <c r="J55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3" s="25" t="str">
        <f>IFERROR(VLOOKUP(tbl_clean_sales[[#This Row],[Employee_ID]],'02_Employee_Master'!$A$1:$C$12,2,FALSE),"Employee Name Missing")</f>
        <v>Suresh B</v>
      </c>
      <c r="L553" s="25" t="str">
        <f>IFERROR(VLOOKUP(tbl_clean_sales[[#This Row],[Employee_ID]],'02_Employee_Master'!$A$1:$C$12,3,FALSE),"Department Name Missing")</f>
        <v>Sales</v>
      </c>
      <c r="M553" s="25" t="str">
        <f>IF('03_Clean_data'!D553="","Missing",IFERROR(IF(VLOOKUP(D553,'03_Product_Master'!$A$1:$D$14,1,FALSE)='03_Clean_data'!D553,"Valid","Invalid"),"Invalid"))</f>
        <v>Valid</v>
      </c>
      <c r="N553" s="25" t="str">
        <f>IFERROR(VLOOKUP(tbl_clean_sales[[#This Row],[Product_ID]],'03_Product_Master'!$A$1:$D$14,2,FALSE),"Missing")</f>
        <v>Face Wash</v>
      </c>
      <c r="O553" s="25" t="str">
        <f>IFERROR(VLOOKUP(tbl_clean_sales[[#This Row],[Product_ID]],'03_Product_Master'!$A$1:$D$14,3,FALSE),"Missing")</f>
        <v>Personal Care</v>
      </c>
      <c r="P553" s="25">
        <f>IFERROR(VLOOKUP(tbl_clean_sales[[#This Row],[Product_ID]],'03_Product_Master'!$A$1:$D$14,4,FALSE),"Missing")</f>
        <v>260</v>
      </c>
      <c r="Q553" s="25" t="str">
        <f>IF('03_Clean_data'!E553="","Missing",IFERROR(IF(VLOOKUP(E553,'04_Branch_Master'!$A$1:$C$7,1,FALSE)='03_Clean_data'!E553,"Valid","Invalid"),"Invalid"))</f>
        <v>Valid</v>
      </c>
      <c r="R553" s="25" t="str">
        <f>IFERROR(VLOOKUP(tbl_clean_sales[[#This Row],[Branch_ID]],'04_Branch_Master'!$A$1:$C$7,2,FALSE),"Missing")</f>
        <v>Avinashi Road</v>
      </c>
      <c r="S553" s="25" t="str">
        <f>IFERROR(VLOOKUP(tbl_clean_sales[[#This Row],[Branch_ID]],'04_Branch_Master'!$A$1:$C$7,3,FALSE),"Missing")</f>
        <v>North</v>
      </c>
      <c r="T553" s="25" t="str">
        <f>C553&amp;"|"&amp;TEXT(tbl_clean_sales[[#This Row],[Date]],"yyyymm")</f>
        <v>E007|202605</v>
      </c>
      <c r="U553" s="25">
        <f>IFERROR(INDEX('05_Target_Master'!$A$1:$F$32,MATCH(tbl_clean_sales[[#This Row],[target key]],'05_Target_Master'!$F$1:$F$32,0),3),"Missing")</f>
        <v>140000</v>
      </c>
    </row>
    <row r="554" spans="1:21" x14ac:dyDescent="0.3">
      <c r="A554" s="21">
        <v>46118</v>
      </c>
      <c r="B554" s="22" t="s">
        <v>588</v>
      </c>
      <c r="C554" s="22" t="s">
        <v>12</v>
      </c>
      <c r="D554" s="22" t="s">
        <v>13</v>
      </c>
      <c r="E554" s="22" t="s">
        <v>14</v>
      </c>
      <c r="F554" s="22">
        <v>6</v>
      </c>
      <c r="G554" s="23">
        <v>2211.2600000000002</v>
      </c>
      <c r="H554" s="25" t="str">
        <f>IF(COUNTIF(tbl_clean_sales[Invoice_ID],tbl_clean_sales[[#This Row],[Invoice_ID]])&gt;1,"Duplicate","Unique")</f>
        <v>Unique</v>
      </c>
      <c r="I554" s="25"/>
      <c r="J55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4" s="25" t="str">
        <f>IFERROR(VLOOKUP(tbl_clean_sales[[#This Row],[Employee_ID]],'02_Employee_Master'!$A$1:$C$12,2,FALSE),"Employee Name Missing")</f>
        <v>Divya R</v>
      </c>
      <c r="L554" s="25" t="str">
        <f>IFERROR(VLOOKUP(tbl_clean_sales[[#This Row],[Employee_ID]],'02_Employee_Master'!$A$1:$C$12,3,FALSE),"Department Name Missing")</f>
        <v>Sales</v>
      </c>
      <c r="M554" s="25" t="str">
        <f>IF('03_Clean_data'!D554="","Missing",IFERROR(IF(VLOOKUP(D554,'03_Product_Master'!$A$1:$D$14,1,FALSE)='03_Clean_data'!D554,"Valid","Invalid"),"Invalid"))</f>
        <v>Valid</v>
      </c>
      <c r="N554" s="25" t="str">
        <f>IFERROR(VLOOKUP(tbl_clean_sales[[#This Row],[Product_ID]],'03_Product_Master'!$A$1:$D$14,2,FALSE),"Missing")</f>
        <v>Body Lotion</v>
      </c>
      <c r="O554" s="25" t="str">
        <f>IFERROR(VLOOKUP(tbl_clean_sales[[#This Row],[Product_ID]],'03_Product_Master'!$A$1:$D$14,3,FALSE),"Missing")</f>
        <v>Personal Care</v>
      </c>
      <c r="P554" s="25">
        <f>IFERROR(VLOOKUP(tbl_clean_sales[[#This Row],[Product_ID]],'03_Product_Master'!$A$1:$D$14,4,FALSE),"Missing")</f>
        <v>390</v>
      </c>
      <c r="Q554" s="25" t="str">
        <f>IF('03_Clean_data'!E554="","Missing",IFERROR(IF(VLOOKUP(E554,'04_Branch_Master'!$A$1:$C$7,1,FALSE)='03_Clean_data'!E554,"Valid","Invalid"),"Invalid"))</f>
        <v>Valid</v>
      </c>
      <c r="R554" s="25" t="str">
        <f>IFERROR(VLOOKUP(tbl_clean_sales[[#This Row],[Branch_ID]],'04_Branch_Master'!$A$1:$C$7,2,FALSE),"Missing")</f>
        <v>Avinashi Road</v>
      </c>
      <c r="S554" s="25" t="str">
        <f>IFERROR(VLOOKUP(tbl_clean_sales[[#This Row],[Branch_ID]],'04_Branch_Master'!$A$1:$C$7,3,FALSE),"Missing")</f>
        <v>North</v>
      </c>
      <c r="T554" s="25" t="str">
        <f>C554&amp;"|"&amp;TEXT(tbl_clean_sales[[#This Row],[Date]],"yyyymm")</f>
        <v>E004|202604</v>
      </c>
      <c r="U554" s="25">
        <f>IFERROR(INDEX('05_Target_Master'!$A$1:$F$32,MATCH(tbl_clean_sales[[#This Row],[target key]],'05_Target_Master'!$F$1:$F$32,0),3),"Missing")</f>
        <v>163600</v>
      </c>
    </row>
    <row r="555" spans="1:21" x14ac:dyDescent="0.3">
      <c r="A555" s="21">
        <v>46123</v>
      </c>
      <c r="B555" s="22" t="s">
        <v>589</v>
      </c>
      <c r="C555" s="22" t="s">
        <v>29</v>
      </c>
      <c r="D555" s="22" t="s">
        <v>9</v>
      </c>
      <c r="E555" s="22" t="s">
        <v>10</v>
      </c>
      <c r="F555" s="22">
        <v>11</v>
      </c>
      <c r="G555" s="23">
        <v>2776.94</v>
      </c>
      <c r="H555" s="25" t="str">
        <f>IF(COUNTIF(tbl_clean_sales[Invoice_ID],tbl_clean_sales[[#This Row],[Invoice_ID]])&gt;1,"Duplicate","Unique")</f>
        <v>Unique</v>
      </c>
      <c r="I555" s="25"/>
      <c r="J55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5" s="25" t="str">
        <f>IFERROR(VLOOKUP(tbl_clean_sales[[#This Row],[Employee_ID]],'02_Employee_Master'!$A$1:$C$12,2,FALSE),"Employee Name Missing")</f>
        <v>Swetha L</v>
      </c>
      <c r="L555" s="25" t="str">
        <f>IFERROR(VLOOKUP(tbl_clean_sales[[#This Row],[Employee_ID]],'02_Employee_Master'!$A$1:$C$12,3,FALSE),"Department Name Missing")</f>
        <v>Sales</v>
      </c>
      <c r="M555" s="25" t="str">
        <f>IF('03_Clean_data'!D555="","Missing",IFERROR(IF(VLOOKUP(D555,'03_Product_Master'!$A$1:$D$14,1,FALSE)='03_Clean_data'!D555,"Valid","Invalid"),"Invalid"))</f>
        <v>Valid</v>
      </c>
      <c r="N555" s="25" t="str">
        <f>IFERROR(VLOOKUP(tbl_clean_sales[[#This Row],[Product_ID]],'03_Product_Master'!$A$1:$D$14,2,FALSE),"Missing")</f>
        <v>Green Tea</v>
      </c>
      <c r="O555" s="25" t="str">
        <f>IFERROR(VLOOKUP(tbl_clean_sales[[#This Row],[Product_ID]],'03_Product_Master'!$A$1:$D$14,3,FALSE),"Missing")</f>
        <v>Beverages</v>
      </c>
      <c r="P555" s="25">
        <f>IFERROR(VLOOKUP(tbl_clean_sales[[#This Row],[Product_ID]],'03_Product_Master'!$A$1:$D$14,4,FALSE),"Missing")</f>
        <v>280</v>
      </c>
      <c r="Q555" s="25" t="str">
        <f>IF('03_Clean_data'!E555="","Missing",IFERROR(IF(VLOOKUP(E555,'04_Branch_Master'!$A$1:$C$7,1,FALSE)='03_Clean_data'!E555,"Valid","Invalid"),"Invalid"))</f>
        <v>Valid</v>
      </c>
      <c r="R555" s="25" t="str">
        <f>IFERROR(VLOOKUP(tbl_clean_sales[[#This Row],[Branch_ID]],'04_Branch_Master'!$A$1:$C$7,2,FALSE),"Missing")</f>
        <v>Dharapuram</v>
      </c>
      <c r="S555" s="25" t="str">
        <f>IFERROR(VLOOKUP(tbl_clean_sales[[#This Row],[Branch_ID]],'04_Branch_Master'!$A$1:$C$7,3,FALSE),"Missing")</f>
        <v>South</v>
      </c>
      <c r="T555" s="25" t="str">
        <f>C555&amp;"|"&amp;TEXT(tbl_clean_sales[[#This Row],[Date]],"yyyymm")</f>
        <v>E010|202604</v>
      </c>
      <c r="U555" s="25">
        <f>IFERROR(INDEX('05_Target_Master'!$A$1:$F$32,MATCH(tbl_clean_sales[[#This Row],[target key]],'05_Target_Master'!$F$1:$F$32,0),3),"Missing")</f>
        <v>121700</v>
      </c>
    </row>
    <row r="556" spans="1:21" x14ac:dyDescent="0.3">
      <c r="A556" s="21">
        <v>46122</v>
      </c>
      <c r="B556" s="22" t="s">
        <v>590</v>
      </c>
      <c r="C556" s="22" t="s">
        <v>29</v>
      </c>
      <c r="D556" s="22" t="s">
        <v>36</v>
      </c>
      <c r="E556" s="22" t="s">
        <v>10</v>
      </c>
      <c r="F556" s="22">
        <v>11</v>
      </c>
      <c r="G556" s="23">
        <v>1848.17</v>
      </c>
      <c r="H556" s="25" t="str">
        <f>IF(COUNTIF(tbl_clean_sales[Invoice_ID],tbl_clean_sales[[#This Row],[Invoice_ID]])&gt;1,"Duplicate","Unique")</f>
        <v>Unique</v>
      </c>
      <c r="I556" s="25"/>
      <c r="J55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6" s="25" t="str">
        <f>IFERROR(VLOOKUP(tbl_clean_sales[[#This Row],[Employee_ID]],'02_Employee_Master'!$A$1:$C$12,2,FALSE),"Employee Name Missing")</f>
        <v>Swetha L</v>
      </c>
      <c r="L556" s="25" t="str">
        <f>IFERROR(VLOOKUP(tbl_clean_sales[[#This Row],[Employee_ID]],'02_Employee_Master'!$A$1:$C$12,3,FALSE),"Department Name Missing")</f>
        <v>Sales</v>
      </c>
      <c r="M556" s="25" t="str">
        <f>IF('03_Clean_data'!D556="","Missing",IFERROR(IF(VLOOKUP(D556,'03_Product_Master'!$A$1:$D$14,1,FALSE)='03_Clean_data'!D556,"Valid","Invalid"),"Invalid"))</f>
        <v>Valid</v>
      </c>
      <c r="N556" s="25" t="str">
        <f>IFERROR(VLOOKUP(tbl_clean_sales[[#This Row],[Product_ID]],'03_Product_Master'!$A$1:$D$14,2,FALSE),"Missing")</f>
        <v>Dish Wash</v>
      </c>
      <c r="O556" s="25" t="str">
        <f>IFERROR(VLOOKUP(tbl_clean_sales[[#This Row],[Product_ID]],'03_Product_Master'!$A$1:$D$14,3,FALSE),"Missing")</f>
        <v>Home Care</v>
      </c>
      <c r="P556" s="25">
        <f>IFERROR(VLOOKUP(tbl_clean_sales[[#This Row],[Product_ID]],'03_Product_Master'!$A$1:$D$14,4,FALSE),"Missing")</f>
        <v>190</v>
      </c>
      <c r="Q556" s="25" t="str">
        <f>IF('03_Clean_data'!E556="","Missing",IFERROR(IF(VLOOKUP(E556,'04_Branch_Master'!$A$1:$C$7,1,FALSE)='03_Clean_data'!E556,"Valid","Invalid"),"Invalid"))</f>
        <v>Valid</v>
      </c>
      <c r="R556" s="25" t="str">
        <f>IFERROR(VLOOKUP(tbl_clean_sales[[#This Row],[Branch_ID]],'04_Branch_Master'!$A$1:$C$7,2,FALSE),"Missing")</f>
        <v>Dharapuram</v>
      </c>
      <c r="S556" s="25" t="str">
        <f>IFERROR(VLOOKUP(tbl_clean_sales[[#This Row],[Branch_ID]],'04_Branch_Master'!$A$1:$C$7,3,FALSE),"Missing")</f>
        <v>South</v>
      </c>
      <c r="T556" s="25" t="str">
        <f>C556&amp;"|"&amp;TEXT(tbl_clean_sales[[#This Row],[Date]],"yyyymm")</f>
        <v>E010|202604</v>
      </c>
      <c r="U556" s="25">
        <f>IFERROR(INDEX('05_Target_Master'!$A$1:$F$32,MATCH(tbl_clean_sales[[#This Row],[target key]],'05_Target_Master'!$F$1:$F$32,0),3),"Missing")</f>
        <v>121700</v>
      </c>
    </row>
    <row r="557" spans="1:21" x14ac:dyDescent="0.3">
      <c r="A557" s="21">
        <v>46143</v>
      </c>
      <c r="B557" s="22" t="s">
        <v>591</v>
      </c>
      <c r="C557" s="22" t="s">
        <v>24</v>
      </c>
      <c r="D557" s="22" t="s">
        <v>82</v>
      </c>
      <c r="E557" s="22" t="s">
        <v>32</v>
      </c>
      <c r="F557" s="22">
        <v>12</v>
      </c>
      <c r="G557" s="23">
        <v>1296.25</v>
      </c>
      <c r="H557" s="25" t="str">
        <f>IF(COUNTIF(tbl_clean_sales[Invoice_ID],tbl_clean_sales[[#This Row],[Invoice_ID]])&gt;1,"Duplicate","Unique")</f>
        <v>Unique</v>
      </c>
      <c r="I557" s="25"/>
      <c r="J55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7" s="25" t="str">
        <f>IFERROR(VLOOKUP(tbl_clean_sales[[#This Row],[Employee_ID]],'02_Employee_Master'!$A$1:$C$12,2,FALSE),"Employee Name Missing")</f>
        <v>Karthik P</v>
      </c>
      <c r="L557" s="25" t="str">
        <f>IFERROR(VLOOKUP(tbl_clean_sales[[#This Row],[Employee_ID]],'02_Employee_Master'!$A$1:$C$12,3,FALSE),"Department Name Missing")</f>
        <v>Sales</v>
      </c>
      <c r="M557" s="25" t="str">
        <f>IF('03_Clean_data'!D557="","Missing",IFERROR(IF(VLOOKUP(D557,'03_Product_Master'!$A$1:$D$14,1,FALSE)='03_Clean_data'!D557,"Valid","Invalid"),"Invalid"))</f>
        <v>Valid</v>
      </c>
      <c r="N557" s="25" t="str">
        <f>IFERROR(VLOOKUP(tbl_clean_sales[[#This Row],[Product_ID]],'03_Product_Master'!$A$1:$D$14,2,FALSE),"Missing")</f>
        <v>Chocolate Bar</v>
      </c>
      <c r="O557" s="25" t="str">
        <f>IFERROR(VLOOKUP(tbl_clean_sales[[#This Row],[Product_ID]],'03_Product_Master'!$A$1:$D$14,3,FALSE),"Missing")</f>
        <v>Snacks</v>
      </c>
      <c r="P557" s="25">
        <f>IFERROR(VLOOKUP(tbl_clean_sales[[#This Row],[Product_ID]],'03_Product_Master'!$A$1:$D$14,4,FALSE),"Missing")</f>
        <v>120</v>
      </c>
      <c r="Q557" s="25" t="str">
        <f>IF('03_Clean_data'!E557="","Missing",IFERROR(IF(VLOOKUP(E557,'04_Branch_Master'!$A$1:$C$7,1,FALSE)='03_Clean_data'!E557,"Valid","Invalid"),"Invalid"))</f>
        <v>Valid</v>
      </c>
      <c r="R557" s="25" t="str">
        <f>IFERROR(VLOOKUP(tbl_clean_sales[[#This Row],[Branch_ID]],'04_Branch_Master'!$A$1:$C$7,2,FALSE),"Missing")</f>
        <v>Kangeyam</v>
      </c>
      <c r="S557" s="25" t="str">
        <f>IFERROR(VLOOKUP(tbl_clean_sales[[#This Row],[Branch_ID]],'04_Branch_Master'!$A$1:$C$7,3,FALSE),"Missing")</f>
        <v>East</v>
      </c>
      <c r="T557" s="25" t="str">
        <f>C557&amp;"|"&amp;TEXT(tbl_clean_sales[[#This Row],[Date]],"yyyymm")</f>
        <v>E005|202605</v>
      </c>
      <c r="U557" s="25">
        <f>IFERROR(INDEX('05_Target_Master'!$A$1:$F$32,MATCH(tbl_clean_sales[[#This Row],[target key]],'05_Target_Master'!$F$1:$F$32,0),3),"Missing")</f>
        <v>143700</v>
      </c>
    </row>
    <row r="558" spans="1:21" x14ac:dyDescent="0.3">
      <c r="A558" s="21">
        <v>46154</v>
      </c>
      <c r="B558" s="22" t="s">
        <v>592</v>
      </c>
      <c r="C558" s="22" t="s">
        <v>40</v>
      </c>
      <c r="D558" s="22" t="s">
        <v>48</v>
      </c>
      <c r="E558" s="22" t="s">
        <v>26</v>
      </c>
      <c r="F558" s="22">
        <v>2</v>
      </c>
      <c r="G558" s="23">
        <v>461.12</v>
      </c>
      <c r="H558" s="25" t="str">
        <f>IF(COUNTIF(tbl_clean_sales[Invoice_ID],tbl_clean_sales[[#This Row],[Invoice_ID]])&gt;1,"Duplicate","Unique")</f>
        <v>Unique</v>
      </c>
      <c r="I558" s="25"/>
      <c r="J55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8" s="25" t="str">
        <f>IFERROR(VLOOKUP(tbl_clean_sales[[#This Row],[Employee_ID]],'02_Employee_Master'!$A$1:$C$12,2,FALSE),"Employee Name Missing")</f>
        <v>Meena V</v>
      </c>
      <c r="L558" s="25" t="str">
        <f>IFERROR(VLOOKUP(tbl_clean_sales[[#This Row],[Employee_ID]],'02_Employee_Master'!$A$1:$C$12,3,FALSE),"Department Name Missing")</f>
        <v>Sales</v>
      </c>
      <c r="M558" s="25" t="str">
        <f>IF('03_Clean_data'!D558="","Missing",IFERROR(IF(VLOOKUP(D558,'03_Product_Master'!$A$1:$D$14,1,FALSE)='03_Clean_data'!D558,"Valid","Invalid"),"Invalid"))</f>
        <v>Valid</v>
      </c>
      <c r="N558" s="25" t="str">
        <f>IFERROR(VLOOKUP(tbl_clean_sales[[#This Row],[Product_ID]],'03_Product_Master'!$A$1:$D$14,2,FALSE),"Missing")</f>
        <v>Face Wash</v>
      </c>
      <c r="O558" s="25" t="str">
        <f>IFERROR(VLOOKUP(tbl_clean_sales[[#This Row],[Product_ID]],'03_Product_Master'!$A$1:$D$14,3,FALSE),"Missing")</f>
        <v>Personal Care</v>
      </c>
      <c r="P558" s="25">
        <f>IFERROR(VLOOKUP(tbl_clean_sales[[#This Row],[Product_ID]],'03_Product_Master'!$A$1:$D$14,4,FALSE),"Missing")</f>
        <v>260</v>
      </c>
      <c r="Q558" s="25" t="str">
        <f>IF('03_Clean_data'!E558="","Missing",IFERROR(IF(VLOOKUP(E558,'04_Branch_Master'!$A$1:$C$7,1,FALSE)='03_Clean_data'!E558,"Valid","Invalid"),"Invalid"))</f>
        <v>Valid</v>
      </c>
      <c r="R558" s="25" t="str">
        <f>IFERROR(VLOOKUP(tbl_clean_sales[[#This Row],[Branch_ID]],'04_Branch_Master'!$A$1:$C$7,2,FALSE),"Missing")</f>
        <v>Palladam</v>
      </c>
      <c r="S558" s="25" t="str">
        <f>IFERROR(VLOOKUP(tbl_clean_sales[[#This Row],[Branch_ID]],'04_Branch_Master'!$A$1:$C$7,3,FALSE),"Missing")</f>
        <v>South</v>
      </c>
      <c r="T558" s="25" t="str">
        <f>C558&amp;"|"&amp;TEXT(tbl_clean_sales[[#This Row],[Date]],"yyyymm")</f>
        <v>E006|202605</v>
      </c>
      <c r="U558" s="25">
        <f>IFERROR(INDEX('05_Target_Master'!$A$1:$F$32,MATCH(tbl_clean_sales[[#This Row],[target key]],'05_Target_Master'!$F$1:$F$32,0),3),"Missing")</f>
        <v>141500</v>
      </c>
    </row>
    <row r="559" spans="1:21" x14ac:dyDescent="0.3">
      <c r="A559" s="21">
        <v>46130</v>
      </c>
      <c r="B559" s="22" t="s">
        <v>593</v>
      </c>
      <c r="C559" s="22" t="s">
        <v>29</v>
      </c>
      <c r="D559" s="22" t="s">
        <v>9</v>
      </c>
      <c r="E559" s="22" t="s">
        <v>10</v>
      </c>
      <c r="F559" s="22">
        <v>3</v>
      </c>
      <c r="G559" s="23">
        <v>794.68</v>
      </c>
      <c r="H559" s="25" t="str">
        <f>IF(COUNTIF(tbl_clean_sales[Invoice_ID],tbl_clean_sales[[#This Row],[Invoice_ID]])&gt;1,"Duplicate","Unique")</f>
        <v>Unique</v>
      </c>
      <c r="I559" s="25"/>
      <c r="J55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59" s="25" t="str">
        <f>IFERROR(VLOOKUP(tbl_clean_sales[[#This Row],[Employee_ID]],'02_Employee_Master'!$A$1:$C$12,2,FALSE),"Employee Name Missing")</f>
        <v>Swetha L</v>
      </c>
      <c r="L559" s="25" t="str">
        <f>IFERROR(VLOOKUP(tbl_clean_sales[[#This Row],[Employee_ID]],'02_Employee_Master'!$A$1:$C$12,3,FALSE),"Department Name Missing")</f>
        <v>Sales</v>
      </c>
      <c r="M559" s="25" t="str">
        <f>IF('03_Clean_data'!D559="","Missing",IFERROR(IF(VLOOKUP(D559,'03_Product_Master'!$A$1:$D$14,1,FALSE)='03_Clean_data'!D559,"Valid","Invalid"),"Invalid"))</f>
        <v>Valid</v>
      </c>
      <c r="N559" s="25" t="str">
        <f>IFERROR(VLOOKUP(tbl_clean_sales[[#This Row],[Product_ID]],'03_Product_Master'!$A$1:$D$14,2,FALSE),"Missing")</f>
        <v>Green Tea</v>
      </c>
      <c r="O559" s="25" t="str">
        <f>IFERROR(VLOOKUP(tbl_clean_sales[[#This Row],[Product_ID]],'03_Product_Master'!$A$1:$D$14,3,FALSE),"Missing")</f>
        <v>Beverages</v>
      </c>
      <c r="P559" s="25">
        <f>IFERROR(VLOOKUP(tbl_clean_sales[[#This Row],[Product_ID]],'03_Product_Master'!$A$1:$D$14,4,FALSE),"Missing")</f>
        <v>280</v>
      </c>
      <c r="Q559" s="25" t="str">
        <f>IF('03_Clean_data'!E559="","Missing",IFERROR(IF(VLOOKUP(E559,'04_Branch_Master'!$A$1:$C$7,1,FALSE)='03_Clean_data'!E559,"Valid","Invalid"),"Invalid"))</f>
        <v>Valid</v>
      </c>
      <c r="R559" s="25" t="str">
        <f>IFERROR(VLOOKUP(tbl_clean_sales[[#This Row],[Branch_ID]],'04_Branch_Master'!$A$1:$C$7,2,FALSE),"Missing")</f>
        <v>Dharapuram</v>
      </c>
      <c r="S559" s="25" t="str">
        <f>IFERROR(VLOOKUP(tbl_clean_sales[[#This Row],[Branch_ID]],'04_Branch_Master'!$A$1:$C$7,3,FALSE),"Missing")</f>
        <v>South</v>
      </c>
      <c r="T559" s="25" t="str">
        <f>C559&amp;"|"&amp;TEXT(tbl_clean_sales[[#This Row],[Date]],"yyyymm")</f>
        <v>E010|202604</v>
      </c>
      <c r="U559" s="25">
        <f>IFERROR(INDEX('05_Target_Master'!$A$1:$F$32,MATCH(tbl_clean_sales[[#This Row],[target key]],'05_Target_Master'!$F$1:$F$32,0),3),"Missing")</f>
        <v>121700</v>
      </c>
    </row>
    <row r="560" spans="1:21" x14ac:dyDescent="0.3">
      <c r="A560" s="21">
        <v>46153</v>
      </c>
      <c r="B560" s="22" t="s">
        <v>594</v>
      </c>
      <c r="C560" s="22" t="s">
        <v>46</v>
      </c>
      <c r="D560" s="22" t="s">
        <v>9</v>
      </c>
      <c r="E560" s="22" t="s">
        <v>32</v>
      </c>
      <c r="F560" s="22">
        <v>4</v>
      </c>
      <c r="G560" s="23">
        <v>1059.26</v>
      </c>
      <c r="H560" s="25" t="str">
        <f>IF(COUNTIF(tbl_clean_sales[Invoice_ID],tbl_clean_sales[[#This Row],[Invoice_ID]])&gt;1,"Duplicate","Unique")</f>
        <v>Unique</v>
      </c>
      <c r="I560" s="25"/>
      <c r="J56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0" s="25" t="str">
        <f>IFERROR(VLOOKUP(tbl_clean_sales[[#This Row],[Employee_ID]],'02_Employee_Master'!$A$1:$C$12,2,FALSE),"Employee Name Missing")</f>
        <v>Suresh B</v>
      </c>
      <c r="L560" s="25" t="str">
        <f>IFERROR(VLOOKUP(tbl_clean_sales[[#This Row],[Employee_ID]],'02_Employee_Master'!$A$1:$C$12,3,FALSE),"Department Name Missing")</f>
        <v>Sales</v>
      </c>
      <c r="M560" s="25" t="str">
        <f>IF('03_Clean_data'!D560="","Missing",IFERROR(IF(VLOOKUP(D560,'03_Product_Master'!$A$1:$D$14,1,FALSE)='03_Clean_data'!D560,"Valid","Invalid"),"Invalid"))</f>
        <v>Valid</v>
      </c>
      <c r="N560" s="25" t="str">
        <f>IFERROR(VLOOKUP(tbl_clean_sales[[#This Row],[Product_ID]],'03_Product_Master'!$A$1:$D$14,2,FALSE),"Missing")</f>
        <v>Green Tea</v>
      </c>
      <c r="O560" s="25" t="str">
        <f>IFERROR(VLOOKUP(tbl_clean_sales[[#This Row],[Product_ID]],'03_Product_Master'!$A$1:$D$14,3,FALSE),"Missing")</f>
        <v>Beverages</v>
      </c>
      <c r="P560" s="25">
        <f>IFERROR(VLOOKUP(tbl_clean_sales[[#This Row],[Product_ID]],'03_Product_Master'!$A$1:$D$14,4,FALSE),"Missing")</f>
        <v>280</v>
      </c>
      <c r="Q560" s="25" t="str">
        <f>IF('03_Clean_data'!E560="","Missing",IFERROR(IF(VLOOKUP(E560,'04_Branch_Master'!$A$1:$C$7,1,FALSE)='03_Clean_data'!E560,"Valid","Invalid"),"Invalid"))</f>
        <v>Valid</v>
      </c>
      <c r="R560" s="25" t="str">
        <f>IFERROR(VLOOKUP(tbl_clean_sales[[#This Row],[Branch_ID]],'04_Branch_Master'!$A$1:$C$7,2,FALSE),"Missing")</f>
        <v>Kangeyam</v>
      </c>
      <c r="S560" s="25" t="str">
        <f>IFERROR(VLOOKUP(tbl_clean_sales[[#This Row],[Branch_ID]],'04_Branch_Master'!$A$1:$C$7,3,FALSE),"Missing")</f>
        <v>East</v>
      </c>
      <c r="T560" s="25" t="str">
        <f>C560&amp;"|"&amp;TEXT(tbl_clean_sales[[#This Row],[Date]],"yyyymm")</f>
        <v>E007|202605</v>
      </c>
      <c r="U560" s="25">
        <f>IFERROR(INDEX('05_Target_Master'!$A$1:$F$32,MATCH(tbl_clean_sales[[#This Row],[target key]],'05_Target_Master'!$F$1:$F$32,0),3),"Missing")</f>
        <v>140000</v>
      </c>
    </row>
    <row r="561" spans="1:21" x14ac:dyDescent="0.3">
      <c r="A561" s="21">
        <v>46172</v>
      </c>
      <c r="B561" s="22" t="s">
        <v>595</v>
      </c>
      <c r="C561" s="22" t="s">
        <v>24</v>
      </c>
      <c r="D561" s="22" t="s">
        <v>9</v>
      </c>
      <c r="E561" s="22" t="s">
        <v>26</v>
      </c>
      <c r="F561" s="22">
        <v>11</v>
      </c>
      <c r="G561" s="23">
        <v>2967.56</v>
      </c>
      <c r="H561" s="25" t="str">
        <f>IF(COUNTIF(tbl_clean_sales[Invoice_ID],tbl_clean_sales[[#This Row],[Invoice_ID]])&gt;1,"Duplicate","Unique")</f>
        <v>Unique</v>
      </c>
      <c r="I561" s="25"/>
      <c r="J56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1" s="25" t="str">
        <f>IFERROR(VLOOKUP(tbl_clean_sales[[#This Row],[Employee_ID]],'02_Employee_Master'!$A$1:$C$12,2,FALSE),"Employee Name Missing")</f>
        <v>Karthik P</v>
      </c>
      <c r="L561" s="25" t="str">
        <f>IFERROR(VLOOKUP(tbl_clean_sales[[#This Row],[Employee_ID]],'02_Employee_Master'!$A$1:$C$12,3,FALSE),"Department Name Missing")</f>
        <v>Sales</v>
      </c>
      <c r="M561" s="25" t="str">
        <f>IF('03_Clean_data'!D561="","Missing",IFERROR(IF(VLOOKUP(D561,'03_Product_Master'!$A$1:$D$14,1,FALSE)='03_Clean_data'!D561,"Valid","Invalid"),"Invalid"))</f>
        <v>Valid</v>
      </c>
      <c r="N561" s="25" t="str">
        <f>IFERROR(VLOOKUP(tbl_clean_sales[[#This Row],[Product_ID]],'03_Product_Master'!$A$1:$D$14,2,FALSE),"Missing")</f>
        <v>Green Tea</v>
      </c>
      <c r="O561" s="25" t="str">
        <f>IFERROR(VLOOKUP(tbl_clean_sales[[#This Row],[Product_ID]],'03_Product_Master'!$A$1:$D$14,3,FALSE),"Missing")</f>
        <v>Beverages</v>
      </c>
      <c r="P561" s="25">
        <f>IFERROR(VLOOKUP(tbl_clean_sales[[#This Row],[Product_ID]],'03_Product_Master'!$A$1:$D$14,4,FALSE),"Missing")</f>
        <v>280</v>
      </c>
      <c r="Q561" s="25" t="str">
        <f>IF('03_Clean_data'!E561="","Missing",IFERROR(IF(VLOOKUP(E561,'04_Branch_Master'!$A$1:$C$7,1,FALSE)='03_Clean_data'!E561,"Valid","Invalid"),"Invalid"))</f>
        <v>Valid</v>
      </c>
      <c r="R561" s="25" t="str">
        <f>IFERROR(VLOOKUP(tbl_clean_sales[[#This Row],[Branch_ID]],'04_Branch_Master'!$A$1:$C$7,2,FALSE),"Missing")</f>
        <v>Palladam</v>
      </c>
      <c r="S561" s="25" t="str">
        <f>IFERROR(VLOOKUP(tbl_clean_sales[[#This Row],[Branch_ID]],'04_Branch_Master'!$A$1:$C$7,3,FALSE),"Missing")</f>
        <v>South</v>
      </c>
      <c r="T561" s="25" t="str">
        <f>C561&amp;"|"&amp;TEXT(tbl_clean_sales[[#This Row],[Date]],"yyyymm")</f>
        <v>E005|202605</v>
      </c>
      <c r="U561" s="25">
        <f>IFERROR(INDEX('05_Target_Master'!$A$1:$F$32,MATCH(tbl_clean_sales[[#This Row],[target key]],'05_Target_Master'!$F$1:$F$32,0),3),"Missing")</f>
        <v>143700</v>
      </c>
    </row>
    <row r="562" spans="1:21" x14ac:dyDescent="0.3">
      <c r="A562" s="21">
        <v>46203</v>
      </c>
      <c r="B562" s="22" t="s">
        <v>596</v>
      </c>
      <c r="C562" s="22" t="s">
        <v>29</v>
      </c>
      <c r="D562" s="22" t="s">
        <v>25</v>
      </c>
      <c r="E562" s="22" t="s">
        <v>10</v>
      </c>
      <c r="F562" s="22">
        <v>6</v>
      </c>
      <c r="G562" s="23">
        <v>2475.15</v>
      </c>
      <c r="H562" s="25" t="str">
        <f>IF(COUNTIF(tbl_clean_sales[Invoice_ID],tbl_clean_sales[[#This Row],[Invoice_ID]])&gt;1,"Duplicate","Unique")</f>
        <v>Unique</v>
      </c>
      <c r="I562" s="25"/>
      <c r="J56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2" s="25" t="str">
        <f>IFERROR(VLOOKUP(tbl_clean_sales[[#This Row],[Employee_ID]],'02_Employee_Master'!$A$1:$C$12,2,FALSE),"Employee Name Missing")</f>
        <v>Swetha L</v>
      </c>
      <c r="L562" s="25" t="str">
        <f>IFERROR(VLOOKUP(tbl_clean_sales[[#This Row],[Employee_ID]],'02_Employee_Master'!$A$1:$C$12,3,FALSE),"Department Name Missing")</f>
        <v>Sales</v>
      </c>
      <c r="M562" s="25" t="str">
        <f>IF('03_Clean_data'!D562="","Missing",IFERROR(IF(VLOOKUP(D562,'03_Product_Master'!$A$1:$D$14,1,FALSE)='03_Clean_data'!D562,"Valid","Invalid"),"Invalid"))</f>
        <v>Valid</v>
      </c>
      <c r="N562" s="25" t="str">
        <f>IFERROR(VLOOKUP(tbl_clean_sales[[#This Row],[Product_ID]],'03_Product_Master'!$A$1:$D$14,2,FALSE),"Missing")</f>
        <v>Premium Coffee</v>
      </c>
      <c r="O562" s="25" t="str">
        <f>IFERROR(VLOOKUP(tbl_clean_sales[[#This Row],[Product_ID]],'03_Product_Master'!$A$1:$D$14,3,FALSE),"Missing")</f>
        <v>Beverages</v>
      </c>
      <c r="P562" s="25">
        <f>IFERROR(VLOOKUP(tbl_clean_sales[[#This Row],[Product_ID]],'03_Product_Master'!$A$1:$D$14,4,FALSE),"Missing")</f>
        <v>420</v>
      </c>
      <c r="Q562" s="25" t="str">
        <f>IF('03_Clean_data'!E562="","Missing",IFERROR(IF(VLOOKUP(E562,'04_Branch_Master'!$A$1:$C$7,1,FALSE)='03_Clean_data'!E562,"Valid","Invalid"),"Invalid"))</f>
        <v>Valid</v>
      </c>
      <c r="R562" s="25" t="str">
        <f>IFERROR(VLOOKUP(tbl_clean_sales[[#This Row],[Branch_ID]],'04_Branch_Master'!$A$1:$C$7,2,FALSE),"Missing")</f>
        <v>Dharapuram</v>
      </c>
      <c r="S562" s="25" t="str">
        <f>IFERROR(VLOOKUP(tbl_clean_sales[[#This Row],[Branch_ID]],'04_Branch_Master'!$A$1:$C$7,3,FALSE),"Missing")</f>
        <v>South</v>
      </c>
      <c r="T562" s="25" t="str">
        <f>C562&amp;"|"&amp;TEXT(tbl_clean_sales[[#This Row],[Date]],"yyyymm")</f>
        <v>E010|202606</v>
      </c>
      <c r="U562" s="25">
        <f>IFERROR(INDEX('05_Target_Master'!$A$1:$F$32,MATCH(tbl_clean_sales[[#This Row],[target key]],'05_Target_Master'!$F$1:$F$32,0),3),"Missing")</f>
        <v>116800</v>
      </c>
    </row>
    <row r="563" spans="1:21" x14ac:dyDescent="0.3">
      <c r="A563" s="21">
        <v>46144</v>
      </c>
      <c r="B563" s="22" t="s">
        <v>597</v>
      </c>
      <c r="C563" s="22" t="s">
        <v>40</v>
      </c>
      <c r="D563" s="22" t="s">
        <v>16</v>
      </c>
      <c r="E563" s="22" t="s">
        <v>26</v>
      </c>
      <c r="F563" s="22">
        <v>11</v>
      </c>
      <c r="G563" s="23">
        <v>3287.71</v>
      </c>
      <c r="H563" s="25" t="str">
        <f>IF(COUNTIF(tbl_clean_sales[Invoice_ID],tbl_clean_sales[[#This Row],[Invoice_ID]])&gt;1,"Duplicate","Unique")</f>
        <v>Unique</v>
      </c>
      <c r="I563" s="25"/>
      <c r="J56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3" s="25" t="str">
        <f>IFERROR(VLOOKUP(tbl_clean_sales[[#This Row],[Employee_ID]],'02_Employee_Master'!$A$1:$C$12,2,FALSE),"Employee Name Missing")</f>
        <v>Meena V</v>
      </c>
      <c r="L563" s="25" t="str">
        <f>IFERROR(VLOOKUP(tbl_clean_sales[[#This Row],[Employee_ID]],'02_Employee_Master'!$A$1:$C$12,3,FALSE),"Department Name Missing")</f>
        <v>Sales</v>
      </c>
      <c r="M563" s="25" t="str">
        <f>IF('03_Clean_data'!D563="","Missing",IFERROR(IF(VLOOKUP(D563,'03_Product_Master'!$A$1:$D$14,1,FALSE)='03_Clean_data'!D563,"Valid","Invalid"),"Invalid"))</f>
        <v>Valid</v>
      </c>
      <c r="N563" s="25" t="str">
        <f>IFERROR(VLOOKUP(tbl_clean_sales[[#This Row],[Product_ID]],'03_Product_Master'!$A$1:$D$14,2,FALSE),"Missing")</f>
        <v>Shampoo</v>
      </c>
      <c r="O563" s="25" t="str">
        <f>IFERROR(VLOOKUP(tbl_clean_sales[[#This Row],[Product_ID]],'03_Product_Master'!$A$1:$D$14,3,FALSE),"Missing")</f>
        <v>Personal Care</v>
      </c>
      <c r="P563" s="25">
        <f>IFERROR(VLOOKUP(tbl_clean_sales[[#This Row],[Product_ID]],'03_Product_Master'!$A$1:$D$14,4,FALSE),"Missing")</f>
        <v>310</v>
      </c>
      <c r="Q563" s="25" t="str">
        <f>IF('03_Clean_data'!E563="","Missing",IFERROR(IF(VLOOKUP(E563,'04_Branch_Master'!$A$1:$C$7,1,FALSE)='03_Clean_data'!E563,"Valid","Invalid"),"Invalid"))</f>
        <v>Valid</v>
      </c>
      <c r="R563" s="25" t="str">
        <f>IFERROR(VLOOKUP(tbl_clean_sales[[#This Row],[Branch_ID]],'04_Branch_Master'!$A$1:$C$7,2,FALSE),"Missing")</f>
        <v>Palladam</v>
      </c>
      <c r="S563" s="25" t="str">
        <f>IFERROR(VLOOKUP(tbl_clean_sales[[#This Row],[Branch_ID]],'04_Branch_Master'!$A$1:$C$7,3,FALSE),"Missing")</f>
        <v>South</v>
      </c>
      <c r="T563" s="25" t="str">
        <f>C563&amp;"|"&amp;TEXT(tbl_clean_sales[[#This Row],[Date]],"yyyymm")</f>
        <v>E006|202605</v>
      </c>
      <c r="U563" s="25">
        <f>IFERROR(INDEX('05_Target_Master'!$A$1:$F$32,MATCH(tbl_clean_sales[[#This Row],[target key]],'05_Target_Master'!$F$1:$F$32,0),3),"Missing")</f>
        <v>141500</v>
      </c>
    </row>
    <row r="564" spans="1:21" x14ac:dyDescent="0.3">
      <c r="A564" s="21">
        <v>46135</v>
      </c>
      <c r="B564" s="22" t="s">
        <v>598</v>
      </c>
      <c r="C564" s="22" t="s">
        <v>74</v>
      </c>
      <c r="D564" s="22" t="s">
        <v>16</v>
      </c>
      <c r="E564" s="22" t="s">
        <v>10</v>
      </c>
      <c r="F564" s="22">
        <v>12</v>
      </c>
      <c r="G564" s="23">
        <v>3474.43</v>
      </c>
      <c r="H564" s="25" t="str">
        <f>IF(COUNTIF(tbl_clean_sales[Invoice_ID],tbl_clean_sales[[#This Row],[Invoice_ID]])&gt;1,"Duplicate","Unique")</f>
        <v>Unique</v>
      </c>
      <c r="I564" s="25"/>
      <c r="J56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4" s="25" t="str">
        <f>IFERROR(VLOOKUP(tbl_clean_sales[[#This Row],[Employee_ID]],'02_Employee_Master'!$A$1:$C$12,2,FALSE),"Employee Name Missing")</f>
        <v>Arun Kumar</v>
      </c>
      <c r="L564" s="25" t="str">
        <f>IFERROR(VLOOKUP(tbl_clean_sales[[#This Row],[Employee_ID]],'02_Employee_Master'!$A$1:$C$12,3,FALSE),"Department Name Missing")</f>
        <v>Sales</v>
      </c>
      <c r="M564" s="25" t="str">
        <f>IF('03_Clean_data'!D564="","Missing",IFERROR(IF(VLOOKUP(D564,'03_Product_Master'!$A$1:$D$14,1,FALSE)='03_Clean_data'!D564,"Valid","Invalid"),"Invalid"))</f>
        <v>Valid</v>
      </c>
      <c r="N564" s="25" t="str">
        <f>IFERROR(VLOOKUP(tbl_clean_sales[[#This Row],[Product_ID]],'03_Product_Master'!$A$1:$D$14,2,FALSE),"Missing")</f>
        <v>Shampoo</v>
      </c>
      <c r="O564" s="25" t="str">
        <f>IFERROR(VLOOKUP(tbl_clean_sales[[#This Row],[Product_ID]],'03_Product_Master'!$A$1:$D$14,3,FALSE),"Missing")</f>
        <v>Personal Care</v>
      </c>
      <c r="P564" s="25">
        <f>IFERROR(VLOOKUP(tbl_clean_sales[[#This Row],[Product_ID]],'03_Product_Master'!$A$1:$D$14,4,FALSE),"Missing")</f>
        <v>310</v>
      </c>
      <c r="Q564" s="25" t="str">
        <f>IF('03_Clean_data'!E564="","Missing",IFERROR(IF(VLOOKUP(E564,'04_Branch_Master'!$A$1:$C$7,1,FALSE)='03_Clean_data'!E564,"Valid","Invalid"),"Invalid"))</f>
        <v>Valid</v>
      </c>
      <c r="R564" s="25" t="str">
        <f>IFERROR(VLOOKUP(tbl_clean_sales[[#This Row],[Branch_ID]],'04_Branch_Master'!$A$1:$C$7,2,FALSE),"Missing")</f>
        <v>Dharapuram</v>
      </c>
      <c r="S564" s="25" t="str">
        <f>IFERROR(VLOOKUP(tbl_clean_sales[[#This Row],[Branch_ID]],'04_Branch_Master'!$A$1:$C$7,3,FALSE),"Missing")</f>
        <v>South</v>
      </c>
      <c r="T564" s="25" t="str">
        <f>C564&amp;"|"&amp;TEXT(tbl_clean_sales[[#This Row],[Date]],"yyyymm")</f>
        <v>E001|202604</v>
      </c>
      <c r="U564" s="25">
        <f>IFERROR(INDEX('05_Target_Master'!$A$1:$F$32,MATCH(tbl_clean_sales[[#This Row],[target key]],'05_Target_Master'!$F$1:$F$32,0),3),"Missing")</f>
        <v>156900</v>
      </c>
    </row>
    <row r="565" spans="1:21" x14ac:dyDescent="0.3">
      <c r="A565" s="21">
        <v>46125</v>
      </c>
      <c r="B565" s="22" t="s">
        <v>599</v>
      </c>
      <c r="C565" s="22" t="s">
        <v>38</v>
      </c>
      <c r="D565" s="22" t="s">
        <v>9</v>
      </c>
      <c r="E565" s="22" t="s">
        <v>14</v>
      </c>
      <c r="F565" s="22">
        <v>2</v>
      </c>
      <c r="G565" s="23">
        <v>559.20000000000005</v>
      </c>
      <c r="H565" s="25" t="str">
        <f>IF(COUNTIF(tbl_clean_sales[Invoice_ID],tbl_clean_sales[[#This Row],[Invoice_ID]])&gt;1,"Duplicate","Unique")</f>
        <v>Unique</v>
      </c>
      <c r="I565" s="25"/>
      <c r="J56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5" s="25" t="str">
        <f>IFERROR(VLOOKUP(tbl_clean_sales[[#This Row],[Employee_ID]],'02_Employee_Master'!$A$1:$C$12,2,FALSE),"Employee Name Missing")</f>
        <v>Nandhini K</v>
      </c>
      <c r="L565" s="25" t="str">
        <f>IFERROR(VLOOKUP(tbl_clean_sales[[#This Row],[Employee_ID]],'02_Employee_Master'!$A$1:$C$12,3,FALSE),"Department Name Missing")</f>
        <v>Sales</v>
      </c>
      <c r="M565" s="25" t="str">
        <f>IF('03_Clean_data'!D565="","Missing",IFERROR(IF(VLOOKUP(D565,'03_Product_Master'!$A$1:$D$14,1,FALSE)='03_Clean_data'!D565,"Valid","Invalid"),"Invalid"))</f>
        <v>Valid</v>
      </c>
      <c r="N565" s="25" t="str">
        <f>IFERROR(VLOOKUP(tbl_clean_sales[[#This Row],[Product_ID]],'03_Product_Master'!$A$1:$D$14,2,FALSE),"Missing")</f>
        <v>Green Tea</v>
      </c>
      <c r="O565" s="25" t="str">
        <f>IFERROR(VLOOKUP(tbl_clean_sales[[#This Row],[Product_ID]],'03_Product_Master'!$A$1:$D$14,3,FALSE),"Missing")</f>
        <v>Beverages</v>
      </c>
      <c r="P565" s="25">
        <f>IFERROR(VLOOKUP(tbl_clean_sales[[#This Row],[Product_ID]],'03_Product_Master'!$A$1:$D$14,4,FALSE),"Missing")</f>
        <v>280</v>
      </c>
      <c r="Q565" s="25" t="str">
        <f>IF('03_Clean_data'!E565="","Missing",IFERROR(IF(VLOOKUP(E565,'04_Branch_Master'!$A$1:$C$7,1,FALSE)='03_Clean_data'!E565,"Valid","Invalid"),"Invalid"))</f>
        <v>Valid</v>
      </c>
      <c r="R565" s="25" t="str">
        <f>IFERROR(VLOOKUP(tbl_clean_sales[[#This Row],[Branch_ID]],'04_Branch_Master'!$A$1:$C$7,2,FALSE),"Missing")</f>
        <v>Avinashi Road</v>
      </c>
      <c r="S565" s="25" t="str">
        <f>IFERROR(VLOOKUP(tbl_clean_sales[[#This Row],[Branch_ID]],'04_Branch_Master'!$A$1:$C$7,3,FALSE),"Missing")</f>
        <v>North</v>
      </c>
      <c r="T565" s="25" t="str">
        <f>C565&amp;"|"&amp;TEXT(tbl_clean_sales[[#This Row],[Date]],"yyyymm")</f>
        <v>E008|202604</v>
      </c>
      <c r="U565" s="25">
        <f>IFERROR(INDEX('05_Target_Master'!$A$1:$F$32,MATCH(tbl_clean_sales[[#This Row],[target key]],'05_Target_Master'!$F$1:$F$32,0),3),"Missing")</f>
        <v>124100</v>
      </c>
    </row>
    <row r="566" spans="1:21" x14ac:dyDescent="0.3">
      <c r="A566" s="21">
        <v>46141</v>
      </c>
      <c r="B566" s="22" t="s">
        <v>600</v>
      </c>
      <c r="C566" s="22" t="s">
        <v>18</v>
      </c>
      <c r="D566" s="22" t="s">
        <v>30</v>
      </c>
      <c r="E566" s="22" t="s">
        <v>26</v>
      </c>
      <c r="F566" s="22">
        <v>11</v>
      </c>
      <c r="G566" s="23">
        <v>1626.88</v>
      </c>
      <c r="H566" s="25" t="str">
        <f>IF(COUNTIF(tbl_clean_sales[Invoice_ID],tbl_clean_sales[[#This Row],[Invoice_ID]])&gt;1,"Duplicate","Unique")</f>
        <v>Unique</v>
      </c>
      <c r="I566" s="25"/>
      <c r="J56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6" s="25" t="str">
        <f>IFERROR(VLOOKUP(tbl_clean_sales[[#This Row],[Employee_ID]],'02_Employee_Master'!$A$1:$C$12,2,FALSE),"Employee Name Missing")</f>
        <v>Rahul M</v>
      </c>
      <c r="L566" s="25" t="str">
        <f>IFERROR(VLOOKUP(tbl_clean_sales[[#This Row],[Employee_ID]],'02_Employee_Master'!$A$1:$C$12,3,FALSE),"Department Name Missing")</f>
        <v>Sales</v>
      </c>
      <c r="M566" s="25" t="str">
        <f>IF('03_Clean_data'!D566="","Missing",IFERROR(IF(VLOOKUP(D566,'03_Product_Master'!$A$1:$D$14,1,FALSE)='03_Clean_data'!D566,"Valid","Invalid"),"Invalid"))</f>
        <v>Valid</v>
      </c>
      <c r="N566" s="25" t="str">
        <f>IFERROR(VLOOKUP(tbl_clean_sales[[#This Row],[Product_ID]],'03_Product_Master'!$A$1:$D$14,2,FALSE),"Missing")</f>
        <v>Cookies Pack</v>
      </c>
      <c r="O566" s="25" t="str">
        <f>IFERROR(VLOOKUP(tbl_clean_sales[[#This Row],[Product_ID]],'03_Product_Master'!$A$1:$D$14,3,FALSE),"Missing")</f>
        <v>Snacks</v>
      </c>
      <c r="P566" s="25">
        <f>IFERROR(VLOOKUP(tbl_clean_sales[[#This Row],[Product_ID]],'03_Product_Master'!$A$1:$D$14,4,FALSE),"Missing")</f>
        <v>160</v>
      </c>
      <c r="Q566" s="25" t="str">
        <f>IF('03_Clean_data'!E566="","Missing",IFERROR(IF(VLOOKUP(E566,'04_Branch_Master'!$A$1:$C$7,1,FALSE)='03_Clean_data'!E566,"Valid","Invalid"),"Invalid"))</f>
        <v>Valid</v>
      </c>
      <c r="R566" s="25" t="str">
        <f>IFERROR(VLOOKUP(tbl_clean_sales[[#This Row],[Branch_ID]],'04_Branch_Master'!$A$1:$C$7,2,FALSE),"Missing")</f>
        <v>Palladam</v>
      </c>
      <c r="S566" s="25" t="str">
        <f>IFERROR(VLOOKUP(tbl_clean_sales[[#This Row],[Branch_ID]],'04_Branch_Master'!$A$1:$C$7,3,FALSE),"Missing")</f>
        <v>South</v>
      </c>
      <c r="T566" s="25" t="str">
        <f>C566&amp;"|"&amp;TEXT(tbl_clean_sales[[#This Row],[Date]],"yyyymm")</f>
        <v>E003|202604</v>
      </c>
      <c r="U566" s="25">
        <f>IFERROR(INDEX('05_Target_Master'!$A$1:$F$32,MATCH(tbl_clean_sales[[#This Row],[target key]],'05_Target_Master'!$F$1:$F$32,0),3),"Missing")</f>
        <v>116600</v>
      </c>
    </row>
    <row r="567" spans="1:21" x14ac:dyDescent="0.3">
      <c r="A567" s="21">
        <v>46195</v>
      </c>
      <c r="B567" s="22" t="s">
        <v>601</v>
      </c>
      <c r="C567" s="22" t="s">
        <v>21</v>
      </c>
      <c r="D567" s="22" t="s">
        <v>36</v>
      </c>
      <c r="E567" s="22" t="s">
        <v>22</v>
      </c>
      <c r="F567" s="22">
        <v>2</v>
      </c>
      <c r="G567" s="23">
        <v>379.01</v>
      </c>
      <c r="H567" s="25" t="str">
        <f>IF(COUNTIF(tbl_clean_sales[Invoice_ID],tbl_clean_sales[[#This Row],[Invoice_ID]])&gt;1,"Duplicate","Unique")</f>
        <v>Unique</v>
      </c>
      <c r="I567" s="25"/>
      <c r="J56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7" s="25" t="str">
        <f>IFERROR(VLOOKUP(tbl_clean_sales[[#This Row],[Employee_ID]],'02_Employee_Master'!$A$1:$C$12,2,FALSE),"Employee Name Missing")</f>
        <v>Priya S</v>
      </c>
      <c r="L567" s="25" t="str">
        <f>IFERROR(VLOOKUP(tbl_clean_sales[[#This Row],[Employee_ID]],'02_Employee_Master'!$A$1:$C$12,3,FALSE),"Department Name Missing")</f>
        <v>Sales</v>
      </c>
      <c r="M567" s="25" t="str">
        <f>IF('03_Clean_data'!D567="","Missing",IFERROR(IF(VLOOKUP(D567,'03_Product_Master'!$A$1:$D$14,1,FALSE)='03_Clean_data'!D567,"Valid","Invalid"),"Invalid"))</f>
        <v>Valid</v>
      </c>
      <c r="N567" s="25" t="str">
        <f>IFERROR(VLOOKUP(tbl_clean_sales[[#This Row],[Product_ID]],'03_Product_Master'!$A$1:$D$14,2,FALSE),"Missing")</f>
        <v>Dish Wash</v>
      </c>
      <c r="O567" s="25" t="str">
        <f>IFERROR(VLOOKUP(tbl_clean_sales[[#This Row],[Product_ID]],'03_Product_Master'!$A$1:$D$14,3,FALSE),"Missing")</f>
        <v>Home Care</v>
      </c>
      <c r="P567" s="25">
        <f>IFERROR(VLOOKUP(tbl_clean_sales[[#This Row],[Product_ID]],'03_Product_Master'!$A$1:$D$14,4,FALSE),"Missing")</f>
        <v>190</v>
      </c>
      <c r="Q567" s="25" t="str">
        <f>IF('03_Clean_data'!E567="","Missing",IFERROR(IF(VLOOKUP(E567,'04_Branch_Master'!$A$1:$C$7,1,FALSE)='03_Clean_data'!E567,"Valid","Invalid"),"Invalid"))</f>
        <v>Valid</v>
      </c>
      <c r="R567" s="25" t="str">
        <f>IFERROR(VLOOKUP(tbl_clean_sales[[#This Row],[Branch_ID]],'04_Branch_Master'!$A$1:$C$7,2,FALSE),"Missing")</f>
        <v>Tirupur Central</v>
      </c>
      <c r="S567" s="25" t="str">
        <f>IFERROR(VLOOKUP(tbl_clean_sales[[#This Row],[Branch_ID]],'04_Branch_Master'!$A$1:$C$7,3,FALSE),"Missing")</f>
        <v>North</v>
      </c>
      <c r="T567" s="25" t="str">
        <f>C567&amp;"|"&amp;TEXT(tbl_clean_sales[[#This Row],[Date]],"yyyymm")</f>
        <v>E002|202606</v>
      </c>
      <c r="U567" s="25">
        <f>IFERROR(INDEX('05_Target_Master'!$A$1:$F$32,MATCH(tbl_clean_sales[[#This Row],[target key]],'05_Target_Master'!$F$1:$F$32,0),3),"Missing")</f>
        <v>117400</v>
      </c>
    </row>
    <row r="568" spans="1:21" x14ac:dyDescent="0.3">
      <c r="A568" s="21">
        <v>46121</v>
      </c>
      <c r="B568" s="22" t="s">
        <v>602</v>
      </c>
      <c r="C568" s="22" t="s">
        <v>12</v>
      </c>
      <c r="D568" s="22" t="s">
        <v>43</v>
      </c>
      <c r="E568" s="22" t="s">
        <v>14</v>
      </c>
      <c r="F568" s="22">
        <v>3</v>
      </c>
      <c r="G568" s="23">
        <v>1008.74</v>
      </c>
      <c r="H568" s="25" t="str">
        <f>IF(COUNTIF(tbl_clean_sales[Invoice_ID],tbl_clean_sales[[#This Row],[Invoice_ID]])&gt;1,"Duplicate","Unique")</f>
        <v>Unique</v>
      </c>
      <c r="I568" s="25"/>
      <c r="J56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8" s="25" t="str">
        <f>IFERROR(VLOOKUP(tbl_clean_sales[[#This Row],[Employee_ID]],'02_Employee_Master'!$A$1:$C$12,2,FALSE),"Employee Name Missing")</f>
        <v>Divya R</v>
      </c>
      <c r="L568" s="25" t="str">
        <f>IFERROR(VLOOKUP(tbl_clean_sales[[#This Row],[Employee_ID]],'02_Employee_Master'!$A$1:$C$12,3,FALSE),"Department Name Missing")</f>
        <v>Sales</v>
      </c>
      <c r="M568" s="25" t="str">
        <f>IF('03_Clean_data'!D568="","Missing",IFERROR(IF(VLOOKUP(D568,'03_Product_Master'!$A$1:$D$14,1,FALSE)='03_Clean_data'!D568,"Valid","Invalid"),"Invalid"))</f>
        <v>Valid</v>
      </c>
      <c r="N568" s="25" t="str">
        <f>IFERROR(VLOOKUP(tbl_clean_sales[[#This Row],[Product_ID]],'03_Product_Master'!$A$1:$D$14,2,FALSE),"Missing")</f>
        <v>Laundry Liquid</v>
      </c>
      <c r="O568" s="25" t="str">
        <f>IFERROR(VLOOKUP(tbl_clean_sales[[#This Row],[Product_ID]],'03_Product_Master'!$A$1:$D$14,3,FALSE),"Missing")</f>
        <v>Home Care</v>
      </c>
      <c r="P568" s="25">
        <f>IFERROR(VLOOKUP(tbl_clean_sales[[#This Row],[Product_ID]],'03_Product_Master'!$A$1:$D$14,4,FALSE),"Missing")</f>
        <v>340</v>
      </c>
      <c r="Q568" s="25" t="str">
        <f>IF('03_Clean_data'!E568="","Missing",IFERROR(IF(VLOOKUP(E568,'04_Branch_Master'!$A$1:$C$7,1,FALSE)='03_Clean_data'!E568,"Valid","Invalid"),"Invalid"))</f>
        <v>Valid</v>
      </c>
      <c r="R568" s="25" t="str">
        <f>IFERROR(VLOOKUP(tbl_clean_sales[[#This Row],[Branch_ID]],'04_Branch_Master'!$A$1:$C$7,2,FALSE),"Missing")</f>
        <v>Avinashi Road</v>
      </c>
      <c r="S568" s="25" t="str">
        <f>IFERROR(VLOOKUP(tbl_clean_sales[[#This Row],[Branch_ID]],'04_Branch_Master'!$A$1:$C$7,3,FALSE),"Missing")</f>
        <v>North</v>
      </c>
      <c r="T568" s="25" t="str">
        <f>C568&amp;"|"&amp;TEXT(tbl_clean_sales[[#This Row],[Date]],"yyyymm")</f>
        <v>E004|202604</v>
      </c>
      <c r="U568" s="25">
        <f>IFERROR(INDEX('05_Target_Master'!$A$1:$F$32,MATCH(tbl_clean_sales[[#This Row],[target key]],'05_Target_Master'!$F$1:$F$32,0),3),"Missing")</f>
        <v>163600</v>
      </c>
    </row>
    <row r="569" spans="1:21" x14ac:dyDescent="0.3">
      <c r="A569" s="21">
        <v>46155</v>
      </c>
      <c r="B569" s="22" t="s">
        <v>603</v>
      </c>
      <c r="C569" s="22" t="s">
        <v>21</v>
      </c>
      <c r="D569" s="22" t="s">
        <v>25</v>
      </c>
      <c r="E569" s="22" t="s">
        <v>22</v>
      </c>
      <c r="F569" s="22">
        <v>3</v>
      </c>
      <c r="G569" s="23">
        <v>1120.27</v>
      </c>
      <c r="H569" s="25" t="str">
        <f>IF(COUNTIF(tbl_clean_sales[Invoice_ID],tbl_clean_sales[[#This Row],[Invoice_ID]])&gt;1,"Duplicate","Unique")</f>
        <v>Unique</v>
      </c>
      <c r="I569" s="25"/>
      <c r="J56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69" s="25" t="str">
        <f>IFERROR(VLOOKUP(tbl_clean_sales[[#This Row],[Employee_ID]],'02_Employee_Master'!$A$1:$C$12,2,FALSE),"Employee Name Missing")</f>
        <v>Priya S</v>
      </c>
      <c r="L569" s="25" t="str">
        <f>IFERROR(VLOOKUP(tbl_clean_sales[[#This Row],[Employee_ID]],'02_Employee_Master'!$A$1:$C$12,3,FALSE),"Department Name Missing")</f>
        <v>Sales</v>
      </c>
      <c r="M569" s="25" t="str">
        <f>IF('03_Clean_data'!D569="","Missing",IFERROR(IF(VLOOKUP(D569,'03_Product_Master'!$A$1:$D$14,1,FALSE)='03_Clean_data'!D569,"Valid","Invalid"),"Invalid"))</f>
        <v>Valid</v>
      </c>
      <c r="N569" s="25" t="str">
        <f>IFERROR(VLOOKUP(tbl_clean_sales[[#This Row],[Product_ID]],'03_Product_Master'!$A$1:$D$14,2,FALSE),"Missing")</f>
        <v>Premium Coffee</v>
      </c>
      <c r="O569" s="25" t="str">
        <f>IFERROR(VLOOKUP(tbl_clean_sales[[#This Row],[Product_ID]],'03_Product_Master'!$A$1:$D$14,3,FALSE),"Missing")</f>
        <v>Beverages</v>
      </c>
      <c r="P569" s="25">
        <f>IFERROR(VLOOKUP(tbl_clean_sales[[#This Row],[Product_ID]],'03_Product_Master'!$A$1:$D$14,4,FALSE),"Missing")</f>
        <v>420</v>
      </c>
      <c r="Q569" s="25" t="str">
        <f>IF('03_Clean_data'!E569="","Missing",IFERROR(IF(VLOOKUP(E569,'04_Branch_Master'!$A$1:$C$7,1,FALSE)='03_Clean_data'!E569,"Valid","Invalid"),"Invalid"))</f>
        <v>Valid</v>
      </c>
      <c r="R569" s="25" t="str">
        <f>IFERROR(VLOOKUP(tbl_clean_sales[[#This Row],[Branch_ID]],'04_Branch_Master'!$A$1:$C$7,2,FALSE),"Missing")</f>
        <v>Tirupur Central</v>
      </c>
      <c r="S569" s="25" t="str">
        <f>IFERROR(VLOOKUP(tbl_clean_sales[[#This Row],[Branch_ID]],'04_Branch_Master'!$A$1:$C$7,3,FALSE),"Missing")</f>
        <v>North</v>
      </c>
      <c r="T569" s="25" t="str">
        <f>C569&amp;"|"&amp;TEXT(tbl_clean_sales[[#This Row],[Date]],"yyyymm")</f>
        <v>E002|202605</v>
      </c>
      <c r="U569" s="25">
        <f>IFERROR(INDEX('05_Target_Master'!$A$1:$F$32,MATCH(tbl_clean_sales[[#This Row],[target key]],'05_Target_Master'!$F$1:$F$32,0),3),"Missing")</f>
        <v>132100</v>
      </c>
    </row>
    <row r="570" spans="1:21" x14ac:dyDescent="0.3">
      <c r="A570" s="21">
        <v>46168</v>
      </c>
      <c r="B570" s="22" t="s">
        <v>604</v>
      </c>
      <c r="C570" s="22" t="s">
        <v>46</v>
      </c>
      <c r="D570" s="22" t="s">
        <v>48</v>
      </c>
      <c r="E570" s="22" t="s">
        <v>32</v>
      </c>
      <c r="F570" s="22">
        <v>11</v>
      </c>
      <c r="G570" s="23">
        <v>2713.57</v>
      </c>
      <c r="H570" s="25" t="str">
        <f>IF(COUNTIF(tbl_clean_sales[Invoice_ID],tbl_clean_sales[[#This Row],[Invoice_ID]])&gt;1,"Duplicate","Unique")</f>
        <v>Unique</v>
      </c>
      <c r="I570" s="25"/>
      <c r="J57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0" s="25" t="str">
        <f>IFERROR(VLOOKUP(tbl_clean_sales[[#This Row],[Employee_ID]],'02_Employee_Master'!$A$1:$C$12,2,FALSE),"Employee Name Missing")</f>
        <v>Suresh B</v>
      </c>
      <c r="L570" s="25" t="str">
        <f>IFERROR(VLOOKUP(tbl_clean_sales[[#This Row],[Employee_ID]],'02_Employee_Master'!$A$1:$C$12,3,FALSE),"Department Name Missing")</f>
        <v>Sales</v>
      </c>
      <c r="M570" s="25" t="str">
        <f>IF('03_Clean_data'!D570="","Missing",IFERROR(IF(VLOOKUP(D570,'03_Product_Master'!$A$1:$D$14,1,FALSE)='03_Clean_data'!D570,"Valid","Invalid"),"Invalid"))</f>
        <v>Valid</v>
      </c>
      <c r="N570" s="25" t="str">
        <f>IFERROR(VLOOKUP(tbl_clean_sales[[#This Row],[Product_ID]],'03_Product_Master'!$A$1:$D$14,2,FALSE),"Missing")</f>
        <v>Face Wash</v>
      </c>
      <c r="O570" s="25" t="str">
        <f>IFERROR(VLOOKUP(tbl_clean_sales[[#This Row],[Product_ID]],'03_Product_Master'!$A$1:$D$14,3,FALSE),"Missing")</f>
        <v>Personal Care</v>
      </c>
      <c r="P570" s="25">
        <f>IFERROR(VLOOKUP(tbl_clean_sales[[#This Row],[Product_ID]],'03_Product_Master'!$A$1:$D$14,4,FALSE),"Missing")</f>
        <v>260</v>
      </c>
      <c r="Q570" s="25" t="str">
        <f>IF('03_Clean_data'!E570="","Missing",IFERROR(IF(VLOOKUP(E570,'04_Branch_Master'!$A$1:$C$7,1,FALSE)='03_Clean_data'!E570,"Valid","Invalid"),"Invalid"))</f>
        <v>Valid</v>
      </c>
      <c r="R570" s="25" t="str">
        <f>IFERROR(VLOOKUP(tbl_clean_sales[[#This Row],[Branch_ID]],'04_Branch_Master'!$A$1:$C$7,2,FALSE),"Missing")</f>
        <v>Kangeyam</v>
      </c>
      <c r="S570" s="25" t="str">
        <f>IFERROR(VLOOKUP(tbl_clean_sales[[#This Row],[Branch_ID]],'04_Branch_Master'!$A$1:$C$7,3,FALSE),"Missing")</f>
        <v>East</v>
      </c>
      <c r="T570" s="25" t="str">
        <f>C570&amp;"|"&amp;TEXT(tbl_clean_sales[[#This Row],[Date]],"yyyymm")</f>
        <v>E007|202605</v>
      </c>
      <c r="U570" s="25">
        <f>IFERROR(INDEX('05_Target_Master'!$A$1:$F$32,MATCH(tbl_clean_sales[[#This Row],[target key]],'05_Target_Master'!$F$1:$F$32,0),3),"Missing")</f>
        <v>140000</v>
      </c>
    </row>
    <row r="571" spans="1:21" x14ac:dyDescent="0.3">
      <c r="A571" s="21">
        <v>46158</v>
      </c>
      <c r="B571" s="22" t="s">
        <v>605</v>
      </c>
      <c r="C571" s="22" t="s">
        <v>12</v>
      </c>
      <c r="D571" s="22" t="s">
        <v>53</v>
      </c>
      <c r="E571" s="22" t="s">
        <v>14</v>
      </c>
      <c r="F571" s="22">
        <v>8</v>
      </c>
      <c r="G571" s="23">
        <v>2503.17</v>
      </c>
      <c r="H571" s="25" t="str">
        <f>IF(COUNTIF(tbl_clean_sales[Invoice_ID],tbl_clean_sales[[#This Row],[Invoice_ID]])&gt;1,"Duplicate","Unique")</f>
        <v>Unique</v>
      </c>
      <c r="I571" s="25"/>
      <c r="J57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1" s="25" t="str">
        <f>IFERROR(VLOOKUP(tbl_clean_sales[[#This Row],[Employee_ID]],'02_Employee_Master'!$A$1:$C$12,2,FALSE),"Employee Name Missing")</f>
        <v>Divya R</v>
      </c>
      <c r="L571" s="25" t="str">
        <f>IFERROR(VLOOKUP(tbl_clean_sales[[#This Row],[Employee_ID]],'02_Employee_Master'!$A$1:$C$12,3,FALSE),"Department Name Missing")</f>
        <v>Sales</v>
      </c>
      <c r="M571" s="25" t="str">
        <f>IF('03_Clean_data'!D571="","Missing",IFERROR(IF(VLOOKUP(D571,'03_Product_Master'!$A$1:$D$14,1,FALSE)='03_Clean_data'!D571,"Valid","Invalid"),"Invalid"))</f>
        <v>Valid</v>
      </c>
      <c r="N571" s="25" t="str">
        <f>IFERROR(VLOOKUP(tbl_clean_sales[[#This Row],[Product_ID]],'03_Product_Master'!$A$1:$D$14,2,FALSE),"Missing")</f>
        <v>Instant Coffee</v>
      </c>
      <c r="O571" s="25" t="str">
        <f>IFERROR(VLOOKUP(tbl_clean_sales[[#This Row],[Product_ID]],'03_Product_Master'!$A$1:$D$14,3,FALSE),"Missing")</f>
        <v>Beverages</v>
      </c>
      <c r="P571" s="25">
        <f>IFERROR(VLOOKUP(tbl_clean_sales[[#This Row],[Product_ID]],'03_Product_Master'!$A$1:$D$14,4,FALSE),"Missing")</f>
        <v>350</v>
      </c>
      <c r="Q571" s="25" t="str">
        <f>IF('03_Clean_data'!E571="","Missing",IFERROR(IF(VLOOKUP(E571,'04_Branch_Master'!$A$1:$C$7,1,FALSE)='03_Clean_data'!E571,"Valid","Invalid"),"Invalid"))</f>
        <v>Valid</v>
      </c>
      <c r="R571" s="25" t="str">
        <f>IFERROR(VLOOKUP(tbl_clean_sales[[#This Row],[Branch_ID]],'04_Branch_Master'!$A$1:$C$7,2,FALSE),"Missing")</f>
        <v>Avinashi Road</v>
      </c>
      <c r="S571" s="25" t="str">
        <f>IFERROR(VLOOKUP(tbl_clean_sales[[#This Row],[Branch_ID]],'04_Branch_Master'!$A$1:$C$7,3,FALSE),"Missing")</f>
        <v>North</v>
      </c>
      <c r="T571" s="25" t="str">
        <f>C571&amp;"|"&amp;TEXT(tbl_clean_sales[[#This Row],[Date]],"yyyymm")</f>
        <v>E004|202605</v>
      </c>
      <c r="U571" s="25">
        <f>IFERROR(INDEX('05_Target_Master'!$A$1:$F$32,MATCH(tbl_clean_sales[[#This Row],[target key]],'05_Target_Master'!$F$1:$F$32,0),3),"Missing")</f>
        <v>176700</v>
      </c>
    </row>
    <row r="572" spans="1:21" x14ac:dyDescent="0.3">
      <c r="A572" s="21">
        <v>46117</v>
      </c>
      <c r="B572" s="22" t="s">
        <v>606</v>
      </c>
      <c r="C572" s="22" t="s">
        <v>29</v>
      </c>
      <c r="D572" s="22" t="s">
        <v>36</v>
      </c>
      <c r="E572" s="22" t="s">
        <v>10</v>
      </c>
      <c r="F572" s="22">
        <v>11</v>
      </c>
      <c r="G572" s="23">
        <v>2015.99</v>
      </c>
      <c r="H572" s="25" t="str">
        <f>IF(COUNTIF(tbl_clean_sales[Invoice_ID],tbl_clean_sales[[#This Row],[Invoice_ID]])&gt;1,"Duplicate","Unique")</f>
        <v>Unique</v>
      </c>
      <c r="I572" s="25"/>
      <c r="J57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2" s="25" t="str">
        <f>IFERROR(VLOOKUP(tbl_clean_sales[[#This Row],[Employee_ID]],'02_Employee_Master'!$A$1:$C$12,2,FALSE),"Employee Name Missing")</f>
        <v>Swetha L</v>
      </c>
      <c r="L572" s="25" t="str">
        <f>IFERROR(VLOOKUP(tbl_clean_sales[[#This Row],[Employee_ID]],'02_Employee_Master'!$A$1:$C$12,3,FALSE),"Department Name Missing")</f>
        <v>Sales</v>
      </c>
      <c r="M572" s="25" t="str">
        <f>IF('03_Clean_data'!D572="","Missing",IFERROR(IF(VLOOKUP(D572,'03_Product_Master'!$A$1:$D$14,1,FALSE)='03_Clean_data'!D572,"Valid","Invalid"),"Invalid"))</f>
        <v>Valid</v>
      </c>
      <c r="N572" s="25" t="str">
        <f>IFERROR(VLOOKUP(tbl_clean_sales[[#This Row],[Product_ID]],'03_Product_Master'!$A$1:$D$14,2,FALSE),"Missing")</f>
        <v>Dish Wash</v>
      </c>
      <c r="O572" s="25" t="str">
        <f>IFERROR(VLOOKUP(tbl_clean_sales[[#This Row],[Product_ID]],'03_Product_Master'!$A$1:$D$14,3,FALSE),"Missing")</f>
        <v>Home Care</v>
      </c>
      <c r="P572" s="25">
        <f>IFERROR(VLOOKUP(tbl_clean_sales[[#This Row],[Product_ID]],'03_Product_Master'!$A$1:$D$14,4,FALSE),"Missing")</f>
        <v>190</v>
      </c>
      <c r="Q572" s="25" t="str">
        <f>IF('03_Clean_data'!E572="","Missing",IFERROR(IF(VLOOKUP(E572,'04_Branch_Master'!$A$1:$C$7,1,FALSE)='03_Clean_data'!E572,"Valid","Invalid"),"Invalid"))</f>
        <v>Valid</v>
      </c>
      <c r="R572" s="25" t="str">
        <f>IFERROR(VLOOKUP(tbl_clean_sales[[#This Row],[Branch_ID]],'04_Branch_Master'!$A$1:$C$7,2,FALSE),"Missing")</f>
        <v>Dharapuram</v>
      </c>
      <c r="S572" s="25" t="str">
        <f>IFERROR(VLOOKUP(tbl_clean_sales[[#This Row],[Branch_ID]],'04_Branch_Master'!$A$1:$C$7,3,FALSE),"Missing")</f>
        <v>South</v>
      </c>
      <c r="T572" s="25" t="str">
        <f>C572&amp;"|"&amp;TEXT(tbl_clean_sales[[#This Row],[Date]],"yyyymm")</f>
        <v>E010|202604</v>
      </c>
      <c r="U572" s="25">
        <f>IFERROR(INDEX('05_Target_Master'!$A$1:$F$32,MATCH(tbl_clean_sales[[#This Row],[target key]],'05_Target_Master'!$F$1:$F$32,0),3),"Missing")</f>
        <v>121700</v>
      </c>
    </row>
    <row r="573" spans="1:21" x14ac:dyDescent="0.3">
      <c r="A573" s="21">
        <v>46165</v>
      </c>
      <c r="B573" s="22" t="s">
        <v>607</v>
      </c>
      <c r="C573" s="22" t="s">
        <v>8</v>
      </c>
      <c r="D573" s="22" t="s">
        <v>48</v>
      </c>
      <c r="E573" s="22" t="s">
        <v>10</v>
      </c>
      <c r="F573" s="22">
        <v>5</v>
      </c>
      <c r="G573" s="23">
        <v>1240.25</v>
      </c>
      <c r="H573" s="25" t="str">
        <f>IF(COUNTIF(tbl_clean_sales[Invoice_ID],tbl_clean_sales[[#This Row],[Invoice_ID]])&gt;1,"Duplicate","Unique")</f>
        <v>Unique</v>
      </c>
      <c r="I573" s="25"/>
      <c r="J57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3" s="25" t="str">
        <f>IFERROR(VLOOKUP(tbl_clean_sales[[#This Row],[Employee_ID]],'02_Employee_Master'!$A$1:$C$12,2,FALSE),"Employee Name Missing")</f>
        <v>Vignesh R</v>
      </c>
      <c r="L573" s="25" t="str">
        <f>IFERROR(VLOOKUP(tbl_clean_sales[[#This Row],[Employee_ID]],'02_Employee_Master'!$A$1:$C$12,3,FALSE),"Department Name Missing")</f>
        <v>Sales</v>
      </c>
      <c r="M573" s="25" t="str">
        <f>IF('03_Clean_data'!D573="","Missing",IFERROR(IF(VLOOKUP(D573,'03_Product_Master'!$A$1:$D$14,1,FALSE)='03_Clean_data'!D573,"Valid","Invalid"),"Invalid"))</f>
        <v>Valid</v>
      </c>
      <c r="N573" s="25" t="str">
        <f>IFERROR(VLOOKUP(tbl_clean_sales[[#This Row],[Product_ID]],'03_Product_Master'!$A$1:$D$14,2,FALSE),"Missing")</f>
        <v>Face Wash</v>
      </c>
      <c r="O573" s="25" t="str">
        <f>IFERROR(VLOOKUP(tbl_clean_sales[[#This Row],[Product_ID]],'03_Product_Master'!$A$1:$D$14,3,FALSE),"Missing")</f>
        <v>Personal Care</v>
      </c>
      <c r="P573" s="25">
        <f>IFERROR(VLOOKUP(tbl_clean_sales[[#This Row],[Product_ID]],'03_Product_Master'!$A$1:$D$14,4,FALSE),"Missing")</f>
        <v>260</v>
      </c>
      <c r="Q573" s="25" t="str">
        <f>IF('03_Clean_data'!E573="","Missing",IFERROR(IF(VLOOKUP(E573,'04_Branch_Master'!$A$1:$C$7,1,FALSE)='03_Clean_data'!E573,"Valid","Invalid"),"Invalid"))</f>
        <v>Valid</v>
      </c>
      <c r="R573" s="25" t="str">
        <f>IFERROR(VLOOKUP(tbl_clean_sales[[#This Row],[Branch_ID]],'04_Branch_Master'!$A$1:$C$7,2,FALSE),"Missing")</f>
        <v>Dharapuram</v>
      </c>
      <c r="S573" s="25" t="str">
        <f>IFERROR(VLOOKUP(tbl_clean_sales[[#This Row],[Branch_ID]],'04_Branch_Master'!$A$1:$C$7,3,FALSE),"Missing")</f>
        <v>South</v>
      </c>
      <c r="T573" s="25" t="str">
        <f>C573&amp;"|"&amp;TEXT(tbl_clean_sales[[#This Row],[Date]],"yyyymm")</f>
        <v>E009|202605</v>
      </c>
      <c r="U573" s="25">
        <f>IFERROR(INDEX('05_Target_Master'!$A$1:$F$32,MATCH(tbl_clean_sales[[#This Row],[target key]],'05_Target_Master'!$F$1:$F$32,0),3),"Missing")</f>
        <v>176300</v>
      </c>
    </row>
    <row r="574" spans="1:21" x14ac:dyDescent="0.3">
      <c r="A574" s="21">
        <v>46166</v>
      </c>
      <c r="B574" s="22" t="s">
        <v>608</v>
      </c>
      <c r="C574" s="22" t="s">
        <v>12</v>
      </c>
      <c r="D574" s="22" t="s">
        <v>43</v>
      </c>
      <c r="E574" s="22"/>
      <c r="F574" s="22">
        <v>4</v>
      </c>
      <c r="G574" s="23">
        <v>1257.06</v>
      </c>
      <c r="H574" s="25" t="str">
        <f>IF(COUNTIF(tbl_clean_sales[Invoice_ID],tbl_clean_sales[[#This Row],[Invoice_ID]])&gt;1,"Duplicate","Unique")</f>
        <v>Unique</v>
      </c>
      <c r="I574" s="25"/>
      <c r="J57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4" s="25" t="str">
        <f>IFERROR(VLOOKUP(tbl_clean_sales[[#This Row],[Employee_ID]],'02_Employee_Master'!$A$1:$C$12,2,FALSE),"Employee Name Missing")</f>
        <v>Divya R</v>
      </c>
      <c r="L574" s="25" t="str">
        <f>IFERROR(VLOOKUP(tbl_clean_sales[[#This Row],[Employee_ID]],'02_Employee_Master'!$A$1:$C$12,3,FALSE),"Department Name Missing")</f>
        <v>Sales</v>
      </c>
      <c r="M574" s="25" t="str">
        <f>IF('03_Clean_data'!D574="","Missing",IFERROR(IF(VLOOKUP(D574,'03_Product_Master'!$A$1:$D$14,1,FALSE)='03_Clean_data'!D574,"Valid","Invalid"),"Invalid"))</f>
        <v>Valid</v>
      </c>
      <c r="N574" s="25" t="str">
        <f>IFERROR(VLOOKUP(tbl_clean_sales[[#This Row],[Product_ID]],'03_Product_Master'!$A$1:$D$14,2,FALSE),"Missing")</f>
        <v>Laundry Liquid</v>
      </c>
      <c r="O574" s="25" t="str">
        <f>IFERROR(VLOOKUP(tbl_clean_sales[[#This Row],[Product_ID]],'03_Product_Master'!$A$1:$D$14,3,FALSE),"Missing")</f>
        <v>Home Care</v>
      </c>
      <c r="P574" s="25">
        <f>IFERROR(VLOOKUP(tbl_clean_sales[[#This Row],[Product_ID]],'03_Product_Master'!$A$1:$D$14,4,FALSE),"Missing")</f>
        <v>340</v>
      </c>
      <c r="Q574" s="25" t="str">
        <f>IF('03_Clean_data'!E574="","Missing",IFERROR(IF(VLOOKUP(E574,'04_Branch_Master'!$A$1:$C$7,1,FALSE)='03_Clean_data'!E574,"Valid","Invalid"),"Invalid"))</f>
        <v>Missing</v>
      </c>
      <c r="R574" s="25" t="str">
        <f>IFERROR(VLOOKUP(tbl_clean_sales[[#This Row],[Branch_ID]],'04_Branch_Master'!$A$1:$C$7,2,FALSE),"Missing")</f>
        <v>Missing</v>
      </c>
      <c r="S574" s="25" t="str">
        <f>IFERROR(VLOOKUP(tbl_clean_sales[[#This Row],[Branch_ID]],'04_Branch_Master'!$A$1:$C$7,3,FALSE),"Missing")</f>
        <v>Missing</v>
      </c>
      <c r="T574" s="25" t="str">
        <f>C574&amp;"|"&amp;TEXT(tbl_clean_sales[[#This Row],[Date]],"yyyymm")</f>
        <v>E004|202605</v>
      </c>
      <c r="U574" s="25">
        <f>IFERROR(INDEX('05_Target_Master'!$A$1:$F$32,MATCH(tbl_clean_sales[[#This Row],[target key]],'05_Target_Master'!$F$1:$F$32,0),3),"Missing")</f>
        <v>176700</v>
      </c>
    </row>
    <row r="575" spans="1:21" x14ac:dyDescent="0.3">
      <c r="A575" s="21">
        <v>46182</v>
      </c>
      <c r="B575" s="22" t="s">
        <v>609</v>
      </c>
      <c r="C575" s="22" t="s">
        <v>74</v>
      </c>
      <c r="D575" s="22" t="s">
        <v>16</v>
      </c>
      <c r="E575" s="22" t="s">
        <v>26</v>
      </c>
      <c r="F575" s="22">
        <v>8</v>
      </c>
      <c r="G575" s="23">
        <v>2317.9499999999998</v>
      </c>
      <c r="H575" s="25" t="str">
        <f>IF(COUNTIF(tbl_clean_sales[Invoice_ID],tbl_clean_sales[[#This Row],[Invoice_ID]])&gt;1,"Duplicate","Unique")</f>
        <v>Unique</v>
      </c>
      <c r="I575" s="25"/>
      <c r="J57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5" s="25" t="str">
        <f>IFERROR(VLOOKUP(tbl_clean_sales[[#This Row],[Employee_ID]],'02_Employee_Master'!$A$1:$C$12,2,FALSE),"Employee Name Missing")</f>
        <v>Arun Kumar</v>
      </c>
      <c r="L575" s="25" t="str">
        <f>IFERROR(VLOOKUP(tbl_clean_sales[[#This Row],[Employee_ID]],'02_Employee_Master'!$A$1:$C$12,3,FALSE),"Department Name Missing")</f>
        <v>Sales</v>
      </c>
      <c r="M575" s="25" t="str">
        <f>IF('03_Clean_data'!D575="","Missing",IFERROR(IF(VLOOKUP(D575,'03_Product_Master'!$A$1:$D$14,1,FALSE)='03_Clean_data'!D575,"Valid","Invalid"),"Invalid"))</f>
        <v>Valid</v>
      </c>
      <c r="N575" s="25" t="str">
        <f>IFERROR(VLOOKUP(tbl_clean_sales[[#This Row],[Product_ID]],'03_Product_Master'!$A$1:$D$14,2,FALSE),"Missing")</f>
        <v>Shampoo</v>
      </c>
      <c r="O575" s="25" t="str">
        <f>IFERROR(VLOOKUP(tbl_clean_sales[[#This Row],[Product_ID]],'03_Product_Master'!$A$1:$D$14,3,FALSE),"Missing")</f>
        <v>Personal Care</v>
      </c>
      <c r="P575" s="25">
        <f>IFERROR(VLOOKUP(tbl_clean_sales[[#This Row],[Product_ID]],'03_Product_Master'!$A$1:$D$14,4,FALSE),"Missing")</f>
        <v>310</v>
      </c>
      <c r="Q575" s="25" t="str">
        <f>IF('03_Clean_data'!E575="","Missing",IFERROR(IF(VLOOKUP(E575,'04_Branch_Master'!$A$1:$C$7,1,FALSE)='03_Clean_data'!E575,"Valid","Invalid"),"Invalid"))</f>
        <v>Valid</v>
      </c>
      <c r="R575" s="25" t="str">
        <f>IFERROR(VLOOKUP(tbl_clean_sales[[#This Row],[Branch_ID]],'04_Branch_Master'!$A$1:$C$7,2,FALSE),"Missing")</f>
        <v>Palladam</v>
      </c>
      <c r="S575" s="25" t="str">
        <f>IFERROR(VLOOKUP(tbl_clean_sales[[#This Row],[Branch_ID]],'04_Branch_Master'!$A$1:$C$7,3,FALSE),"Missing")</f>
        <v>South</v>
      </c>
      <c r="T575" s="25" t="str">
        <f>C575&amp;"|"&amp;TEXT(tbl_clean_sales[[#This Row],[Date]],"yyyymm")</f>
        <v>E001|202606</v>
      </c>
      <c r="U575" s="25">
        <f>IFERROR(INDEX('05_Target_Master'!$A$1:$F$32,MATCH(tbl_clean_sales[[#This Row],[target key]],'05_Target_Master'!$F$1:$F$32,0),3),"Missing")</f>
        <v>150600</v>
      </c>
    </row>
    <row r="576" spans="1:21" x14ac:dyDescent="0.3">
      <c r="A576" s="21">
        <v>46175</v>
      </c>
      <c r="B576" s="22" t="s">
        <v>610</v>
      </c>
      <c r="C576" s="22" t="s">
        <v>40</v>
      </c>
      <c r="D576" s="22" t="s">
        <v>36</v>
      </c>
      <c r="E576" s="22" t="s">
        <v>26</v>
      </c>
      <c r="F576" s="22">
        <v>7</v>
      </c>
      <c r="G576" s="23">
        <v>1286.8399999999999</v>
      </c>
      <c r="H576" s="25" t="str">
        <f>IF(COUNTIF(tbl_clean_sales[Invoice_ID],tbl_clean_sales[[#This Row],[Invoice_ID]])&gt;1,"Duplicate","Unique")</f>
        <v>Unique</v>
      </c>
      <c r="I576" s="25"/>
      <c r="J57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6" s="25" t="str">
        <f>IFERROR(VLOOKUP(tbl_clean_sales[[#This Row],[Employee_ID]],'02_Employee_Master'!$A$1:$C$12,2,FALSE),"Employee Name Missing")</f>
        <v>Meena V</v>
      </c>
      <c r="L576" s="25" t="str">
        <f>IFERROR(VLOOKUP(tbl_clean_sales[[#This Row],[Employee_ID]],'02_Employee_Master'!$A$1:$C$12,3,FALSE),"Department Name Missing")</f>
        <v>Sales</v>
      </c>
      <c r="M576" s="25" t="str">
        <f>IF('03_Clean_data'!D576="","Missing",IFERROR(IF(VLOOKUP(D576,'03_Product_Master'!$A$1:$D$14,1,FALSE)='03_Clean_data'!D576,"Valid","Invalid"),"Invalid"))</f>
        <v>Valid</v>
      </c>
      <c r="N576" s="25" t="str">
        <f>IFERROR(VLOOKUP(tbl_clean_sales[[#This Row],[Product_ID]],'03_Product_Master'!$A$1:$D$14,2,FALSE),"Missing")</f>
        <v>Dish Wash</v>
      </c>
      <c r="O576" s="25" t="str">
        <f>IFERROR(VLOOKUP(tbl_clean_sales[[#This Row],[Product_ID]],'03_Product_Master'!$A$1:$D$14,3,FALSE),"Missing")</f>
        <v>Home Care</v>
      </c>
      <c r="P576" s="25">
        <f>IFERROR(VLOOKUP(tbl_clean_sales[[#This Row],[Product_ID]],'03_Product_Master'!$A$1:$D$14,4,FALSE),"Missing")</f>
        <v>190</v>
      </c>
      <c r="Q576" s="25" t="str">
        <f>IF('03_Clean_data'!E576="","Missing",IFERROR(IF(VLOOKUP(E576,'04_Branch_Master'!$A$1:$C$7,1,FALSE)='03_Clean_data'!E576,"Valid","Invalid"),"Invalid"))</f>
        <v>Valid</v>
      </c>
      <c r="R576" s="25" t="str">
        <f>IFERROR(VLOOKUP(tbl_clean_sales[[#This Row],[Branch_ID]],'04_Branch_Master'!$A$1:$C$7,2,FALSE),"Missing")</f>
        <v>Palladam</v>
      </c>
      <c r="S576" s="25" t="str">
        <f>IFERROR(VLOOKUP(tbl_clean_sales[[#This Row],[Branch_ID]],'04_Branch_Master'!$A$1:$C$7,3,FALSE),"Missing")</f>
        <v>South</v>
      </c>
      <c r="T576" s="25" t="str">
        <f>C576&amp;"|"&amp;TEXT(tbl_clean_sales[[#This Row],[Date]],"yyyymm")</f>
        <v>E006|202606</v>
      </c>
      <c r="U576" s="25">
        <f>IFERROR(INDEX('05_Target_Master'!$A$1:$F$32,MATCH(tbl_clean_sales[[#This Row],[target key]],'05_Target_Master'!$F$1:$F$32,0),3),"Missing")</f>
        <v>125800</v>
      </c>
    </row>
    <row r="577" spans="1:21" x14ac:dyDescent="0.3">
      <c r="A577" s="21">
        <v>46116</v>
      </c>
      <c r="B577" s="22" t="s">
        <v>611</v>
      </c>
      <c r="C577" s="22" t="s">
        <v>40</v>
      </c>
      <c r="D577" s="22" t="s">
        <v>36</v>
      </c>
      <c r="E577" s="22" t="s">
        <v>26</v>
      </c>
      <c r="F577" s="22">
        <v>5</v>
      </c>
      <c r="G577" s="23">
        <v>943.32</v>
      </c>
      <c r="H577" s="25" t="str">
        <f>IF(COUNTIF(tbl_clean_sales[Invoice_ID],tbl_clean_sales[[#This Row],[Invoice_ID]])&gt;1,"Duplicate","Unique")</f>
        <v>Unique</v>
      </c>
      <c r="I577" s="25"/>
      <c r="J57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7" s="25" t="str">
        <f>IFERROR(VLOOKUP(tbl_clean_sales[[#This Row],[Employee_ID]],'02_Employee_Master'!$A$1:$C$12,2,FALSE),"Employee Name Missing")</f>
        <v>Meena V</v>
      </c>
      <c r="L577" s="25" t="str">
        <f>IFERROR(VLOOKUP(tbl_clean_sales[[#This Row],[Employee_ID]],'02_Employee_Master'!$A$1:$C$12,3,FALSE),"Department Name Missing")</f>
        <v>Sales</v>
      </c>
      <c r="M577" s="25" t="str">
        <f>IF('03_Clean_data'!D577="","Missing",IFERROR(IF(VLOOKUP(D577,'03_Product_Master'!$A$1:$D$14,1,FALSE)='03_Clean_data'!D577,"Valid","Invalid"),"Invalid"))</f>
        <v>Valid</v>
      </c>
      <c r="N577" s="25" t="str">
        <f>IFERROR(VLOOKUP(tbl_clean_sales[[#This Row],[Product_ID]],'03_Product_Master'!$A$1:$D$14,2,FALSE),"Missing")</f>
        <v>Dish Wash</v>
      </c>
      <c r="O577" s="25" t="str">
        <f>IFERROR(VLOOKUP(tbl_clean_sales[[#This Row],[Product_ID]],'03_Product_Master'!$A$1:$D$14,3,FALSE),"Missing")</f>
        <v>Home Care</v>
      </c>
      <c r="P577" s="25">
        <f>IFERROR(VLOOKUP(tbl_clean_sales[[#This Row],[Product_ID]],'03_Product_Master'!$A$1:$D$14,4,FALSE),"Missing")</f>
        <v>190</v>
      </c>
      <c r="Q577" s="25" t="str">
        <f>IF('03_Clean_data'!E577="","Missing",IFERROR(IF(VLOOKUP(E577,'04_Branch_Master'!$A$1:$C$7,1,FALSE)='03_Clean_data'!E577,"Valid","Invalid"),"Invalid"))</f>
        <v>Valid</v>
      </c>
      <c r="R577" s="25" t="str">
        <f>IFERROR(VLOOKUP(tbl_clean_sales[[#This Row],[Branch_ID]],'04_Branch_Master'!$A$1:$C$7,2,FALSE),"Missing")</f>
        <v>Palladam</v>
      </c>
      <c r="S577" s="25" t="str">
        <f>IFERROR(VLOOKUP(tbl_clean_sales[[#This Row],[Branch_ID]],'04_Branch_Master'!$A$1:$C$7,3,FALSE),"Missing")</f>
        <v>South</v>
      </c>
      <c r="T577" s="25" t="str">
        <f>C577&amp;"|"&amp;TEXT(tbl_clean_sales[[#This Row],[Date]],"yyyymm")</f>
        <v>E006|202604</v>
      </c>
      <c r="U577" s="25">
        <f>IFERROR(INDEX('05_Target_Master'!$A$1:$F$32,MATCH(tbl_clean_sales[[#This Row],[target key]],'05_Target_Master'!$F$1:$F$32,0),3),"Missing")</f>
        <v>131000</v>
      </c>
    </row>
    <row r="578" spans="1:21" x14ac:dyDescent="0.3">
      <c r="A578" s="21">
        <v>46173</v>
      </c>
      <c r="B578" s="22" t="s">
        <v>612</v>
      </c>
      <c r="C578" s="22" t="s">
        <v>8</v>
      </c>
      <c r="D578" s="22" t="s">
        <v>34</v>
      </c>
      <c r="E578" s="22" t="s">
        <v>10</v>
      </c>
      <c r="F578" s="22">
        <v>4</v>
      </c>
      <c r="G578" s="23">
        <v>388.57</v>
      </c>
      <c r="H578" s="25" t="str">
        <f>IF(COUNTIF(tbl_clean_sales[Invoice_ID],tbl_clean_sales[[#This Row],[Invoice_ID]])&gt;1,"Duplicate","Unique")</f>
        <v>Unique</v>
      </c>
      <c r="I578" s="25"/>
      <c r="J57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8" s="25" t="str">
        <f>IFERROR(VLOOKUP(tbl_clean_sales[[#This Row],[Employee_ID]],'02_Employee_Master'!$A$1:$C$12,2,FALSE),"Employee Name Missing")</f>
        <v>Vignesh R</v>
      </c>
      <c r="L578" s="25" t="str">
        <f>IFERROR(VLOOKUP(tbl_clean_sales[[#This Row],[Employee_ID]],'02_Employee_Master'!$A$1:$C$12,3,FALSE),"Department Name Missing")</f>
        <v>Sales</v>
      </c>
      <c r="M578" s="25" t="str">
        <f>IF('03_Clean_data'!D578="","Missing",IFERROR(IF(VLOOKUP(D578,'03_Product_Master'!$A$1:$D$14,1,FALSE)='03_Clean_data'!D578,"Valid","Invalid"),"Invalid"))</f>
        <v>Valid</v>
      </c>
      <c r="N578" s="25" t="str">
        <f>IFERROR(VLOOKUP(tbl_clean_sales[[#This Row],[Product_ID]],'03_Product_Master'!$A$1:$D$14,2,FALSE),"Missing")</f>
        <v>Potato Chips</v>
      </c>
      <c r="O578" s="25" t="str">
        <f>IFERROR(VLOOKUP(tbl_clean_sales[[#This Row],[Product_ID]],'03_Product_Master'!$A$1:$D$14,3,FALSE),"Missing")</f>
        <v>Snacks</v>
      </c>
      <c r="P578" s="25">
        <f>IFERROR(VLOOKUP(tbl_clean_sales[[#This Row],[Product_ID]],'03_Product_Master'!$A$1:$D$14,4,FALSE),"Missing")</f>
        <v>110</v>
      </c>
      <c r="Q578" s="25" t="str">
        <f>IF('03_Clean_data'!E578="","Missing",IFERROR(IF(VLOOKUP(E578,'04_Branch_Master'!$A$1:$C$7,1,FALSE)='03_Clean_data'!E578,"Valid","Invalid"),"Invalid"))</f>
        <v>Valid</v>
      </c>
      <c r="R578" s="25" t="str">
        <f>IFERROR(VLOOKUP(tbl_clean_sales[[#This Row],[Branch_ID]],'04_Branch_Master'!$A$1:$C$7,2,FALSE),"Missing")</f>
        <v>Dharapuram</v>
      </c>
      <c r="S578" s="25" t="str">
        <f>IFERROR(VLOOKUP(tbl_clean_sales[[#This Row],[Branch_ID]],'04_Branch_Master'!$A$1:$C$7,3,FALSE),"Missing")</f>
        <v>South</v>
      </c>
      <c r="T578" s="25" t="str">
        <f>C578&amp;"|"&amp;TEXT(tbl_clean_sales[[#This Row],[Date]],"yyyymm")</f>
        <v>E009|202605</v>
      </c>
      <c r="U578" s="25">
        <f>IFERROR(INDEX('05_Target_Master'!$A$1:$F$32,MATCH(tbl_clean_sales[[#This Row],[target key]],'05_Target_Master'!$F$1:$F$32,0),3),"Missing")</f>
        <v>176300</v>
      </c>
    </row>
    <row r="579" spans="1:21" x14ac:dyDescent="0.3">
      <c r="A579" s="21">
        <v>46125</v>
      </c>
      <c r="B579" s="22" t="s">
        <v>613</v>
      </c>
      <c r="C579" s="22" t="s">
        <v>12</v>
      </c>
      <c r="D579" s="22" t="s">
        <v>43</v>
      </c>
      <c r="E579" s="22" t="s">
        <v>14</v>
      </c>
      <c r="F579" s="22">
        <v>9</v>
      </c>
      <c r="G579" s="23">
        <v>2760.26</v>
      </c>
      <c r="H579" s="25" t="str">
        <f>IF(COUNTIF(tbl_clean_sales[Invoice_ID],tbl_clean_sales[[#This Row],[Invoice_ID]])&gt;1,"Duplicate","Unique")</f>
        <v>Unique</v>
      </c>
      <c r="I579" s="25"/>
      <c r="J57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79" s="25" t="str">
        <f>IFERROR(VLOOKUP(tbl_clean_sales[[#This Row],[Employee_ID]],'02_Employee_Master'!$A$1:$C$12,2,FALSE),"Employee Name Missing")</f>
        <v>Divya R</v>
      </c>
      <c r="L579" s="25" t="str">
        <f>IFERROR(VLOOKUP(tbl_clean_sales[[#This Row],[Employee_ID]],'02_Employee_Master'!$A$1:$C$12,3,FALSE),"Department Name Missing")</f>
        <v>Sales</v>
      </c>
      <c r="M579" s="25" t="str">
        <f>IF('03_Clean_data'!D579="","Missing",IFERROR(IF(VLOOKUP(D579,'03_Product_Master'!$A$1:$D$14,1,FALSE)='03_Clean_data'!D579,"Valid","Invalid"),"Invalid"))</f>
        <v>Valid</v>
      </c>
      <c r="N579" s="25" t="str">
        <f>IFERROR(VLOOKUP(tbl_clean_sales[[#This Row],[Product_ID]],'03_Product_Master'!$A$1:$D$14,2,FALSE),"Missing")</f>
        <v>Laundry Liquid</v>
      </c>
      <c r="O579" s="25" t="str">
        <f>IFERROR(VLOOKUP(tbl_clean_sales[[#This Row],[Product_ID]],'03_Product_Master'!$A$1:$D$14,3,FALSE),"Missing")</f>
        <v>Home Care</v>
      </c>
      <c r="P579" s="25">
        <f>IFERROR(VLOOKUP(tbl_clean_sales[[#This Row],[Product_ID]],'03_Product_Master'!$A$1:$D$14,4,FALSE),"Missing")</f>
        <v>340</v>
      </c>
      <c r="Q579" s="25" t="str">
        <f>IF('03_Clean_data'!E579="","Missing",IFERROR(IF(VLOOKUP(E579,'04_Branch_Master'!$A$1:$C$7,1,FALSE)='03_Clean_data'!E579,"Valid","Invalid"),"Invalid"))</f>
        <v>Valid</v>
      </c>
      <c r="R579" s="25" t="str">
        <f>IFERROR(VLOOKUP(tbl_clean_sales[[#This Row],[Branch_ID]],'04_Branch_Master'!$A$1:$C$7,2,FALSE),"Missing")</f>
        <v>Avinashi Road</v>
      </c>
      <c r="S579" s="25" t="str">
        <f>IFERROR(VLOOKUP(tbl_clean_sales[[#This Row],[Branch_ID]],'04_Branch_Master'!$A$1:$C$7,3,FALSE),"Missing")</f>
        <v>North</v>
      </c>
      <c r="T579" s="25" t="str">
        <f>C579&amp;"|"&amp;TEXT(tbl_clean_sales[[#This Row],[Date]],"yyyymm")</f>
        <v>E004|202604</v>
      </c>
      <c r="U579" s="25">
        <f>IFERROR(INDEX('05_Target_Master'!$A$1:$F$32,MATCH(tbl_clean_sales[[#This Row],[target key]],'05_Target_Master'!$F$1:$F$32,0),3),"Missing")</f>
        <v>163600</v>
      </c>
    </row>
    <row r="580" spans="1:21" x14ac:dyDescent="0.3">
      <c r="A580" s="21">
        <v>46120</v>
      </c>
      <c r="B580" s="22" t="s">
        <v>614</v>
      </c>
      <c r="C580" s="22" t="s">
        <v>12</v>
      </c>
      <c r="D580" s="22" t="s">
        <v>36</v>
      </c>
      <c r="E580" s="22" t="s">
        <v>32</v>
      </c>
      <c r="F580" s="22">
        <v>6</v>
      </c>
      <c r="G580" s="23">
        <v>1012.06</v>
      </c>
      <c r="H580" s="25" t="str">
        <f>IF(COUNTIF(tbl_clean_sales[Invoice_ID],tbl_clean_sales[[#This Row],[Invoice_ID]])&gt;1,"Duplicate","Unique")</f>
        <v>Unique</v>
      </c>
      <c r="I580" s="25"/>
      <c r="J58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0" s="25" t="str">
        <f>IFERROR(VLOOKUP(tbl_clean_sales[[#This Row],[Employee_ID]],'02_Employee_Master'!$A$1:$C$12,2,FALSE),"Employee Name Missing")</f>
        <v>Divya R</v>
      </c>
      <c r="L580" s="25" t="str">
        <f>IFERROR(VLOOKUP(tbl_clean_sales[[#This Row],[Employee_ID]],'02_Employee_Master'!$A$1:$C$12,3,FALSE),"Department Name Missing")</f>
        <v>Sales</v>
      </c>
      <c r="M580" s="25" t="str">
        <f>IF('03_Clean_data'!D580="","Missing",IFERROR(IF(VLOOKUP(D580,'03_Product_Master'!$A$1:$D$14,1,FALSE)='03_Clean_data'!D580,"Valid","Invalid"),"Invalid"))</f>
        <v>Valid</v>
      </c>
      <c r="N580" s="25" t="str">
        <f>IFERROR(VLOOKUP(tbl_clean_sales[[#This Row],[Product_ID]],'03_Product_Master'!$A$1:$D$14,2,FALSE),"Missing")</f>
        <v>Dish Wash</v>
      </c>
      <c r="O580" s="25" t="str">
        <f>IFERROR(VLOOKUP(tbl_clean_sales[[#This Row],[Product_ID]],'03_Product_Master'!$A$1:$D$14,3,FALSE),"Missing")</f>
        <v>Home Care</v>
      </c>
      <c r="P580" s="25">
        <f>IFERROR(VLOOKUP(tbl_clean_sales[[#This Row],[Product_ID]],'03_Product_Master'!$A$1:$D$14,4,FALSE),"Missing")</f>
        <v>190</v>
      </c>
      <c r="Q580" s="25" t="str">
        <f>IF('03_Clean_data'!E580="","Missing",IFERROR(IF(VLOOKUP(E580,'04_Branch_Master'!$A$1:$C$7,1,FALSE)='03_Clean_data'!E580,"Valid","Invalid"),"Invalid"))</f>
        <v>Valid</v>
      </c>
      <c r="R580" s="25" t="str">
        <f>IFERROR(VLOOKUP(tbl_clean_sales[[#This Row],[Branch_ID]],'04_Branch_Master'!$A$1:$C$7,2,FALSE),"Missing")</f>
        <v>Kangeyam</v>
      </c>
      <c r="S580" s="25" t="str">
        <f>IFERROR(VLOOKUP(tbl_clean_sales[[#This Row],[Branch_ID]],'04_Branch_Master'!$A$1:$C$7,3,FALSE),"Missing")</f>
        <v>East</v>
      </c>
      <c r="T580" s="25" t="str">
        <f>C580&amp;"|"&amp;TEXT(tbl_clean_sales[[#This Row],[Date]],"yyyymm")</f>
        <v>E004|202604</v>
      </c>
      <c r="U580" s="25">
        <f>IFERROR(INDEX('05_Target_Master'!$A$1:$F$32,MATCH(tbl_clean_sales[[#This Row],[target key]],'05_Target_Master'!$F$1:$F$32,0),3),"Missing")</f>
        <v>163600</v>
      </c>
    </row>
    <row r="581" spans="1:21" x14ac:dyDescent="0.3">
      <c r="A581" s="21">
        <v>46135</v>
      </c>
      <c r="B581" s="22" t="s">
        <v>615</v>
      </c>
      <c r="C581" s="22" t="s">
        <v>18</v>
      </c>
      <c r="D581" s="22" t="s">
        <v>30</v>
      </c>
      <c r="E581" s="22" t="s">
        <v>14</v>
      </c>
      <c r="F581" s="22">
        <v>12</v>
      </c>
      <c r="G581" s="23">
        <v>1759.27</v>
      </c>
      <c r="H581" s="25" t="str">
        <f>IF(COUNTIF(tbl_clean_sales[Invoice_ID],tbl_clean_sales[[#This Row],[Invoice_ID]])&gt;1,"Duplicate","Unique")</f>
        <v>Unique</v>
      </c>
      <c r="I581" s="25"/>
      <c r="J58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1" s="25" t="str">
        <f>IFERROR(VLOOKUP(tbl_clean_sales[[#This Row],[Employee_ID]],'02_Employee_Master'!$A$1:$C$12,2,FALSE),"Employee Name Missing")</f>
        <v>Rahul M</v>
      </c>
      <c r="L581" s="25" t="str">
        <f>IFERROR(VLOOKUP(tbl_clean_sales[[#This Row],[Employee_ID]],'02_Employee_Master'!$A$1:$C$12,3,FALSE),"Department Name Missing")</f>
        <v>Sales</v>
      </c>
      <c r="M581" s="25" t="str">
        <f>IF('03_Clean_data'!D581="","Missing",IFERROR(IF(VLOOKUP(D581,'03_Product_Master'!$A$1:$D$14,1,FALSE)='03_Clean_data'!D581,"Valid","Invalid"),"Invalid"))</f>
        <v>Valid</v>
      </c>
      <c r="N581" s="25" t="str">
        <f>IFERROR(VLOOKUP(tbl_clean_sales[[#This Row],[Product_ID]],'03_Product_Master'!$A$1:$D$14,2,FALSE),"Missing")</f>
        <v>Cookies Pack</v>
      </c>
      <c r="O581" s="25" t="str">
        <f>IFERROR(VLOOKUP(tbl_clean_sales[[#This Row],[Product_ID]],'03_Product_Master'!$A$1:$D$14,3,FALSE),"Missing")</f>
        <v>Snacks</v>
      </c>
      <c r="P581" s="25">
        <f>IFERROR(VLOOKUP(tbl_clean_sales[[#This Row],[Product_ID]],'03_Product_Master'!$A$1:$D$14,4,FALSE),"Missing")</f>
        <v>160</v>
      </c>
      <c r="Q581" s="25" t="str">
        <f>IF('03_Clean_data'!E581="","Missing",IFERROR(IF(VLOOKUP(E581,'04_Branch_Master'!$A$1:$C$7,1,FALSE)='03_Clean_data'!E581,"Valid","Invalid"),"Invalid"))</f>
        <v>Valid</v>
      </c>
      <c r="R581" s="25" t="str">
        <f>IFERROR(VLOOKUP(tbl_clean_sales[[#This Row],[Branch_ID]],'04_Branch_Master'!$A$1:$C$7,2,FALSE),"Missing")</f>
        <v>Avinashi Road</v>
      </c>
      <c r="S581" s="25" t="str">
        <f>IFERROR(VLOOKUP(tbl_clean_sales[[#This Row],[Branch_ID]],'04_Branch_Master'!$A$1:$C$7,3,FALSE),"Missing")</f>
        <v>North</v>
      </c>
      <c r="T581" s="25" t="str">
        <f>C581&amp;"|"&amp;TEXT(tbl_clean_sales[[#This Row],[Date]],"yyyymm")</f>
        <v>E003|202604</v>
      </c>
      <c r="U581" s="25">
        <f>IFERROR(INDEX('05_Target_Master'!$A$1:$F$32,MATCH(tbl_clean_sales[[#This Row],[target key]],'05_Target_Master'!$F$1:$F$32,0),3),"Missing")</f>
        <v>116600</v>
      </c>
    </row>
    <row r="582" spans="1:21" x14ac:dyDescent="0.3">
      <c r="A582" s="21">
        <v>46188</v>
      </c>
      <c r="B582" s="22" t="s">
        <v>616</v>
      </c>
      <c r="C582" s="22" t="s">
        <v>74</v>
      </c>
      <c r="D582" s="22" t="s">
        <v>19</v>
      </c>
      <c r="E582" s="22" t="s">
        <v>22</v>
      </c>
      <c r="F582" s="22">
        <v>10</v>
      </c>
      <c r="G582" s="23">
        <v>2144.44</v>
      </c>
      <c r="H582" s="25" t="str">
        <f>IF(COUNTIF(tbl_clean_sales[Invoice_ID],tbl_clean_sales[[#This Row],[Invoice_ID]])&gt;1,"Duplicate","Unique")</f>
        <v>Unique</v>
      </c>
      <c r="I582" s="25"/>
      <c r="J58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2" s="25" t="str">
        <f>IFERROR(VLOOKUP(tbl_clean_sales[[#This Row],[Employee_ID]],'02_Employee_Master'!$A$1:$C$12,2,FALSE),"Employee Name Missing")</f>
        <v>Arun Kumar</v>
      </c>
      <c r="L582" s="25" t="str">
        <f>IFERROR(VLOOKUP(tbl_clean_sales[[#This Row],[Employee_ID]],'02_Employee_Master'!$A$1:$C$12,3,FALSE),"Department Name Missing")</f>
        <v>Sales</v>
      </c>
      <c r="M582" s="25" t="str">
        <f>IF('03_Clean_data'!D582="","Missing",IFERROR(IF(VLOOKUP(D582,'03_Product_Master'!$A$1:$D$14,1,FALSE)='03_Clean_data'!D582,"Valid","Invalid"),"Invalid"))</f>
        <v>Valid</v>
      </c>
      <c r="N582" s="25" t="str">
        <f>IFERROR(VLOOKUP(tbl_clean_sales[[#This Row],[Product_ID]],'03_Product_Master'!$A$1:$D$14,2,FALSE),"Missing")</f>
        <v>Floor Cleaner</v>
      </c>
      <c r="O582" s="25" t="str">
        <f>IFERROR(VLOOKUP(tbl_clean_sales[[#This Row],[Product_ID]],'03_Product_Master'!$A$1:$D$14,3,FALSE),"Missing")</f>
        <v>Home Care</v>
      </c>
      <c r="P582" s="25">
        <f>IFERROR(VLOOKUP(tbl_clean_sales[[#This Row],[Product_ID]],'03_Product_Master'!$A$1:$D$14,4,FALSE),"Missing")</f>
        <v>230</v>
      </c>
      <c r="Q582" s="25" t="str">
        <f>IF('03_Clean_data'!E582="","Missing",IFERROR(IF(VLOOKUP(E582,'04_Branch_Master'!$A$1:$C$7,1,FALSE)='03_Clean_data'!E582,"Valid","Invalid"),"Invalid"))</f>
        <v>Valid</v>
      </c>
      <c r="R582" s="25" t="str">
        <f>IFERROR(VLOOKUP(tbl_clean_sales[[#This Row],[Branch_ID]],'04_Branch_Master'!$A$1:$C$7,2,FALSE),"Missing")</f>
        <v>Tirupur Central</v>
      </c>
      <c r="S582" s="25" t="str">
        <f>IFERROR(VLOOKUP(tbl_clean_sales[[#This Row],[Branch_ID]],'04_Branch_Master'!$A$1:$C$7,3,FALSE),"Missing")</f>
        <v>North</v>
      </c>
      <c r="T582" s="25" t="str">
        <f>C582&amp;"|"&amp;TEXT(tbl_clean_sales[[#This Row],[Date]],"yyyymm")</f>
        <v>E001|202606</v>
      </c>
      <c r="U582" s="25">
        <f>IFERROR(INDEX('05_Target_Master'!$A$1:$F$32,MATCH(tbl_clean_sales[[#This Row],[target key]],'05_Target_Master'!$F$1:$F$32,0),3),"Missing")</f>
        <v>150600</v>
      </c>
    </row>
    <row r="583" spans="1:21" x14ac:dyDescent="0.3">
      <c r="A583" s="21">
        <v>46185</v>
      </c>
      <c r="B583" s="22" t="s">
        <v>617</v>
      </c>
      <c r="C583" s="22" t="s">
        <v>12</v>
      </c>
      <c r="D583" s="22" t="s">
        <v>48</v>
      </c>
      <c r="E583" s="22" t="s">
        <v>14</v>
      </c>
      <c r="F583" s="22">
        <v>3</v>
      </c>
      <c r="G583" s="23">
        <v>734.1</v>
      </c>
      <c r="H583" s="25" t="str">
        <f>IF(COUNTIF(tbl_clean_sales[Invoice_ID],tbl_clean_sales[[#This Row],[Invoice_ID]])&gt;1,"Duplicate","Unique")</f>
        <v>Unique</v>
      </c>
      <c r="I583" s="25"/>
      <c r="J58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3" s="25" t="str">
        <f>IFERROR(VLOOKUP(tbl_clean_sales[[#This Row],[Employee_ID]],'02_Employee_Master'!$A$1:$C$12,2,FALSE),"Employee Name Missing")</f>
        <v>Divya R</v>
      </c>
      <c r="L583" s="25" t="str">
        <f>IFERROR(VLOOKUP(tbl_clean_sales[[#This Row],[Employee_ID]],'02_Employee_Master'!$A$1:$C$12,3,FALSE),"Department Name Missing")</f>
        <v>Sales</v>
      </c>
      <c r="M583" s="25" t="str">
        <f>IF('03_Clean_data'!D583="","Missing",IFERROR(IF(VLOOKUP(D583,'03_Product_Master'!$A$1:$D$14,1,FALSE)='03_Clean_data'!D583,"Valid","Invalid"),"Invalid"))</f>
        <v>Valid</v>
      </c>
      <c r="N583" s="25" t="str">
        <f>IFERROR(VLOOKUP(tbl_clean_sales[[#This Row],[Product_ID]],'03_Product_Master'!$A$1:$D$14,2,FALSE),"Missing")</f>
        <v>Face Wash</v>
      </c>
      <c r="O583" s="25" t="str">
        <f>IFERROR(VLOOKUP(tbl_clean_sales[[#This Row],[Product_ID]],'03_Product_Master'!$A$1:$D$14,3,FALSE),"Missing")</f>
        <v>Personal Care</v>
      </c>
      <c r="P583" s="25">
        <f>IFERROR(VLOOKUP(tbl_clean_sales[[#This Row],[Product_ID]],'03_Product_Master'!$A$1:$D$14,4,FALSE),"Missing")</f>
        <v>260</v>
      </c>
      <c r="Q583" s="25" t="str">
        <f>IF('03_Clean_data'!E583="","Missing",IFERROR(IF(VLOOKUP(E583,'04_Branch_Master'!$A$1:$C$7,1,FALSE)='03_Clean_data'!E583,"Valid","Invalid"),"Invalid"))</f>
        <v>Valid</v>
      </c>
      <c r="R583" s="25" t="str">
        <f>IFERROR(VLOOKUP(tbl_clean_sales[[#This Row],[Branch_ID]],'04_Branch_Master'!$A$1:$C$7,2,FALSE),"Missing")</f>
        <v>Avinashi Road</v>
      </c>
      <c r="S583" s="25" t="str">
        <f>IFERROR(VLOOKUP(tbl_clean_sales[[#This Row],[Branch_ID]],'04_Branch_Master'!$A$1:$C$7,3,FALSE),"Missing")</f>
        <v>North</v>
      </c>
      <c r="T583" s="25" t="str">
        <f>C583&amp;"|"&amp;TEXT(tbl_clean_sales[[#This Row],[Date]],"yyyymm")</f>
        <v>E004|202606</v>
      </c>
      <c r="U583" s="25">
        <f>IFERROR(INDEX('05_Target_Master'!$A$1:$F$32,MATCH(tbl_clean_sales[[#This Row],[target key]],'05_Target_Master'!$F$1:$F$32,0),3),"Missing")</f>
        <v>157100</v>
      </c>
    </row>
    <row r="584" spans="1:21" x14ac:dyDescent="0.3">
      <c r="A584" s="21">
        <v>46124</v>
      </c>
      <c r="B584" s="22" t="s">
        <v>618</v>
      </c>
      <c r="C584" s="22" t="s">
        <v>74</v>
      </c>
      <c r="D584" s="22" t="s">
        <v>30</v>
      </c>
      <c r="E584" s="22" t="s">
        <v>22</v>
      </c>
      <c r="F584" s="22">
        <v>1</v>
      </c>
      <c r="G584" s="23">
        <v>149.88999999999999</v>
      </c>
      <c r="H584" s="25" t="str">
        <f>IF(COUNTIF(tbl_clean_sales[Invoice_ID],tbl_clean_sales[[#This Row],[Invoice_ID]])&gt;1,"Duplicate","Unique")</f>
        <v>Unique</v>
      </c>
      <c r="I584" s="25"/>
      <c r="J58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4" s="25" t="str">
        <f>IFERROR(VLOOKUP(tbl_clean_sales[[#This Row],[Employee_ID]],'02_Employee_Master'!$A$1:$C$12,2,FALSE),"Employee Name Missing")</f>
        <v>Arun Kumar</v>
      </c>
      <c r="L584" s="25" t="str">
        <f>IFERROR(VLOOKUP(tbl_clean_sales[[#This Row],[Employee_ID]],'02_Employee_Master'!$A$1:$C$12,3,FALSE),"Department Name Missing")</f>
        <v>Sales</v>
      </c>
      <c r="M584" s="25" t="str">
        <f>IF('03_Clean_data'!D584="","Missing",IFERROR(IF(VLOOKUP(D584,'03_Product_Master'!$A$1:$D$14,1,FALSE)='03_Clean_data'!D584,"Valid","Invalid"),"Invalid"))</f>
        <v>Valid</v>
      </c>
      <c r="N584" s="25" t="str">
        <f>IFERROR(VLOOKUP(tbl_clean_sales[[#This Row],[Product_ID]],'03_Product_Master'!$A$1:$D$14,2,FALSE),"Missing")</f>
        <v>Cookies Pack</v>
      </c>
      <c r="O584" s="25" t="str">
        <f>IFERROR(VLOOKUP(tbl_clean_sales[[#This Row],[Product_ID]],'03_Product_Master'!$A$1:$D$14,3,FALSE),"Missing")</f>
        <v>Snacks</v>
      </c>
      <c r="P584" s="25">
        <f>IFERROR(VLOOKUP(tbl_clean_sales[[#This Row],[Product_ID]],'03_Product_Master'!$A$1:$D$14,4,FALSE),"Missing")</f>
        <v>160</v>
      </c>
      <c r="Q584" s="25" t="str">
        <f>IF('03_Clean_data'!E584="","Missing",IFERROR(IF(VLOOKUP(E584,'04_Branch_Master'!$A$1:$C$7,1,FALSE)='03_Clean_data'!E584,"Valid","Invalid"),"Invalid"))</f>
        <v>Valid</v>
      </c>
      <c r="R584" s="25" t="str">
        <f>IFERROR(VLOOKUP(tbl_clean_sales[[#This Row],[Branch_ID]],'04_Branch_Master'!$A$1:$C$7,2,FALSE),"Missing")</f>
        <v>Tirupur Central</v>
      </c>
      <c r="S584" s="25" t="str">
        <f>IFERROR(VLOOKUP(tbl_clean_sales[[#This Row],[Branch_ID]],'04_Branch_Master'!$A$1:$C$7,3,FALSE),"Missing")</f>
        <v>North</v>
      </c>
      <c r="T584" s="25" t="str">
        <f>C584&amp;"|"&amp;TEXT(tbl_clean_sales[[#This Row],[Date]],"yyyymm")</f>
        <v>E001|202604</v>
      </c>
      <c r="U584" s="25">
        <f>IFERROR(INDEX('05_Target_Master'!$A$1:$F$32,MATCH(tbl_clean_sales[[#This Row],[target key]],'05_Target_Master'!$F$1:$F$32,0),3),"Missing")</f>
        <v>156900</v>
      </c>
    </row>
    <row r="585" spans="1:21" x14ac:dyDescent="0.3">
      <c r="A585" s="21">
        <v>46113</v>
      </c>
      <c r="B585" s="22" t="s">
        <v>619</v>
      </c>
      <c r="C585" s="22" t="s">
        <v>40</v>
      </c>
      <c r="D585" s="22" t="s">
        <v>36</v>
      </c>
      <c r="E585" s="22" t="s">
        <v>26</v>
      </c>
      <c r="F585" s="22">
        <v>3</v>
      </c>
      <c r="G585" s="23">
        <v>546.69000000000005</v>
      </c>
      <c r="H585" s="25" t="str">
        <f>IF(COUNTIF(tbl_clean_sales[Invoice_ID],tbl_clean_sales[[#This Row],[Invoice_ID]])&gt;1,"Duplicate","Unique")</f>
        <v>Unique</v>
      </c>
      <c r="I585" s="25"/>
      <c r="J58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5" s="25" t="str">
        <f>IFERROR(VLOOKUP(tbl_clean_sales[[#This Row],[Employee_ID]],'02_Employee_Master'!$A$1:$C$12,2,FALSE),"Employee Name Missing")</f>
        <v>Meena V</v>
      </c>
      <c r="L585" s="25" t="str">
        <f>IFERROR(VLOOKUP(tbl_clean_sales[[#This Row],[Employee_ID]],'02_Employee_Master'!$A$1:$C$12,3,FALSE),"Department Name Missing")</f>
        <v>Sales</v>
      </c>
      <c r="M585" s="25" t="str">
        <f>IF('03_Clean_data'!D585="","Missing",IFERROR(IF(VLOOKUP(D585,'03_Product_Master'!$A$1:$D$14,1,FALSE)='03_Clean_data'!D585,"Valid","Invalid"),"Invalid"))</f>
        <v>Valid</v>
      </c>
      <c r="N585" s="25" t="str">
        <f>IFERROR(VLOOKUP(tbl_clean_sales[[#This Row],[Product_ID]],'03_Product_Master'!$A$1:$D$14,2,FALSE),"Missing")</f>
        <v>Dish Wash</v>
      </c>
      <c r="O585" s="25" t="str">
        <f>IFERROR(VLOOKUP(tbl_clean_sales[[#This Row],[Product_ID]],'03_Product_Master'!$A$1:$D$14,3,FALSE),"Missing")</f>
        <v>Home Care</v>
      </c>
      <c r="P585" s="25">
        <f>IFERROR(VLOOKUP(tbl_clean_sales[[#This Row],[Product_ID]],'03_Product_Master'!$A$1:$D$14,4,FALSE),"Missing")</f>
        <v>190</v>
      </c>
      <c r="Q585" s="25" t="str">
        <f>IF('03_Clean_data'!E585="","Missing",IFERROR(IF(VLOOKUP(E585,'04_Branch_Master'!$A$1:$C$7,1,FALSE)='03_Clean_data'!E585,"Valid","Invalid"),"Invalid"))</f>
        <v>Valid</v>
      </c>
      <c r="R585" s="25" t="str">
        <f>IFERROR(VLOOKUP(tbl_clean_sales[[#This Row],[Branch_ID]],'04_Branch_Master'!$A$1:$C$7,2,FALSE),"Missing")</f>
        <v>Palladam</v>
      </c>
      <c r="S585" s="25" t="str">
        <f>IFERROR(VLOOKUP(tbl_clean_sales[[#This Row],[Branch_ID]],'04_Branch_Master'!$A$1:$C$7,3,FALSE),"Missing")</f>
        <v>South</v>
      </c>
      <c r="T585" s="25" t="str">
        <f>C585&amp;"|"&amp;TEXT(tbl_clean_sales[[#This Row],[Date]],"yyyymm")</f>
        <v>E006|202604</v>
      </c>
      <c r="U585" s="25">
        <f>IFERROR(INDEX('05_Target_Master'!$A$1:$F$32,MATCH(tbl_clean_sales[[#This Row],[target key]],'05_Target_Master'!$F$1:$F$32,0),3),"Missing")</f>
        <v>131000</v>
      </c>
    </row>
    <row r="586" spans="1:21" x14ac:dyDescent="0.3">
      <c r="A586" s="21">
        <v>46135</v>
      </c>
      <c r="B586" s="22" t="s">
        <v>620</v>
      </c>
      <c r="C586" s="22" t="s">
        <v>40</v>
      </c>
      <c r="D586" s="22" t="s">
        <v>25</v>
      </c>
      <c r="E586" s="22" t="s">
        <v>26</v>
      </c>
      <c r="F586" s="22">
        <v>10</v>
      </c>
      <c r="G586" s="23">
        <v>3844.83</v>
      </c>
      <c r="H586" s="25" t="str">
        <f>IF(COUNTIF(tbl_clean_sales[Invoice_ID],tbl_clean_sales[[#This Row],[Invoice_ID]])&gt;1,"Duplicate","Unique")</f>
        <v>Unique</v>
      </c>
      <c r="I586" s="25"/>
      <c r="J58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6" s="25" t="str">
        <f>IFERROR(VLOOKUP(tbl_clean_sales[[#This Row],[Employee_ID]],'02_Employee_Master'!$A$1:$C$12,2,FALSE),"Employee Name Missing")</f>
        <v>Meena V</v>
      </c>
      <c r="L586" s="25" t="str">
        <f>IFERROR(VLOOKUP(tbl_clean_sales[[#This Row],[Employee_ID]],'02_Employee_Master'!$A$1:$C$12,3,FALSE),"Department Name Missing")</f>
        <v>Sales</v>
      </c>
      <c r="M586" s="25" t="str">
        <f>IF('03_Clean_data'!D586="","Missing",IFERROR(IF(VLOOKUP(D586,'03_Product_Master'!$A$1:$D$14,1,FALSE)='03_Clean_data'!D586,"Valid","Invalid"),"Invalid"))</f>
        <v>Valid</v>
      </c>
      <c r="N586" s="25" t="str">
        <f>IFERROR(VLOOKUP(tbl_clean_sales[[#This Row],[Product_ID]],'03_Product_Master'!$A$1:$D$14,2,FALSE),"Missing")</f>
        <v>Premium Coffee</v>
      </c>
      <c r="O586" s="25" t="str">
        <f>IFERROR(VLOOKUP(tbl_clean_sales[[#This Row],[Product_ID]],'03_Product_Master'!$A$1:$D$14,3,FALSE),"Missing")</f>
        <v>Beverages</v>
      </c>
      <c r="P586" s="25">
        <f>IFERROR(VLOOKUP(tbl_clean_sales[[#This Row],[Product_ID]],'03_Product_Master'!$A$1:$D$14,4,FALSE),"Missing")</f>
        <v>420</v>
      </c>
      <c r="Q586" s="25" t="str">
        <f>IF('03_Clean_data'!E586="","Missing",IFERROR(IF(VLOOKUP(E586,'04_Branch_Master'!$A$1:$C$7,1,FALSE)='03_Clean_data'!E586,"Valid","Invalid"),"Invalid"))</f>
        <v>Valid</v>
      </c>
      <c r="R586" s="25" t="str">
        <f>IFERROR(VLOOKUP(tbl_clean_sales[[#This Row],[Branch_ID]],'04_Branch_Master'!$A$1:$C$7,2,FALSE),"Missing")</f>
        <v>Palladam</v>
      </c>
      <c r="S586" s="25" t="str">
        <f>IFERROR(VLOOKUP(tbl_clean_sales[[#This Row],[Branch_ID]],'04_Branch_Master'!$A$1:$C$7,3,FALSE),"Missing")</f>
        <v>South</v>
      </c>
      <c r="T586" s="25" t="str">
        <f>C586&amp;"|"&amp;TEXT(tbl_clean_sales[[#This Row],[Date]],"yyyymm")</f>
        <v>E006|202604</v>
      </c>
      <c r="U586" s="25">
        <f>IFERROR(INDEX('05_Target_Master'!$A$1:$F$32,MATCH(tbl_clean_sales[[#This Row],[target key]],'05_Target_Master'!$F$1:$F$32,0),3),"Missing")</f>
        <v>131000</v>
      </c>
    </row>
    <row r="587" spans="1:21" x14ac:dyDescent="0.3">
      <c r="A587" s="21">
        <v>46131</v>
      </c>
      <c r="B587" s="22" t="s">
        <v>621</v>
      </c>
      <c r="C587" s="22" t="s">
        <v>21</v>
      </c>
      <c r="D587" s="22" t="s">
        <v>13</v>
      </c>
      <c r="E587" s="22" t="s">
        <v>22</v>
      </c>
      <c r="F587" s="22">
        <v>6</v>
      </c>
      <c r="G587" s="23">
        <v>2142.17</v>
      </c>
      <c r="H587" s="25" t="str">
        <f>IF(COUNTIF(tbl_clean_sales[Invoice_ID],tbl_clean_sales[[#This Row],[Invoice_ID]])&gt;1,"Duplicate","Unique")</f>
        <v>Unique</v>
      </c>
      <c r="I587" s="25"/>
      <c r="J58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7" s="25" t="str">
        <f>IFERROR(VLOOKUP(tbl_clean_sales[[#This Row],[Employee_ID]],'02_Employee_Master'!$A$1:$C$12,2,FALSE),"Employee Name Missing")</f>
        <v>Priya S</v>
      </c>
      <c r="L587" s="25" t="str">
        <f>IFERROR(VLOOKUP(tbl_clean_sales[[#This Row],[Employee_ID]],'02_Employee_Master'!$A$1:$C$12,3,FALSE),"Department Name Missing")</f>
        <v>Sales</v>
      </c>
      <c r="M587" s="25" t="str">
        <f>IF('03_Clean_data'!D587="","Missing",IFERROR(IF(VLOOKUP(D587,'03_Product_Master'!$A$1:$D$14,1,FALSE)='03_Clean_data'!D587,"Valid","Invalid"),"Invalid"))</f>
        <v>Valid</v>
      </c>
      <c r="N587" s="25" t="str">
        <f>IFERROR(VLOOKUP(tbl_clean_sales[[#This Row],[Product_ID]],'03_Product_Master'!$A$1:$D$14,2,FALSE),"Missing")</f>
        <v>Body Lotion</v>
      </c>
      <c r="O587" s="25" t="str">
        <f>IFERROR(VLOOKUP(tbl_clean_sales[[#This Row],[Product_ID]],'03_Product_Master'!$A$1:$D$14,3,FALSE),"Missing")</f>
        <v>Personal Care</v>
      </c>
      <c r="P587" s="25">
        <f>IFERROR(VLOOKUP(tbl_clean_sales[[#This Row],[Product_ID]],'03_Product_Master'!$A$1:$D$14,4,FALSE),"Missing")</f>
        <v>390</v>
      </c>
      <c r="Q587" s="25" t="str">
        <f>IF('03_Clean_data'!E587="","Missing",IFERROR(IF(VLOOKUP(E587,'04_Branch_Master'!$A$1:$C$7,1,FALSE)='03_Clean_data'!E587,"Valid","Invalid"),"Invalid"))</f>
        <v>Valid</v>
      </c>
      <c r="R587" s="25" t="str">
        <f>IFERROR(VLOOKUP(tbl_clean_sales[[#This Row],[Branch_ID]],'04_Branch_Master'!$A$1:$C$7,2,FALSE),"Missing")</f>
        <v>Tirupur Central</v>
      </c>
      <c r="S587" s="25" t="str">
        <f>IFERROR(VLOOKUP(tbl_clean_sales[[#This Row],[Branch_ID]],'04_Branch_Master'!$A$1:$C$7,3,FALSE),"Missing")</f>
        <v>North</v>
      </c>
      <c r="T587" s="25" t="str">
        <f>C587&amp;"|"&amp;TEXT(tbl_clean_sales[[#This Row],[Date]],"yyyymm")</f>
        <v>E002|202604</v>
      </c>
      <c r="U587" s="25">
        <f>IFERROR(INDEX('05_Target_Master'!$A$1:$F$32,MATCH(tbl_clean_sales[[#This Row],[target key]],'05_Target_Master'!$F$1:$F$32,0),3),"Missing")</f>
        <v>122300</v>
      </c>
    </row>
    <row r="588" spans="1:21" x14ac:dyDescent="0.3">
      <c r="A588" s="21">
        <v>46197</v>
      </c>
      <c r="B588" s="22" t="s">
        <v>622</v>
      </c>
      <c r="C588" s="22" t="s">
        <v>46</v>
      </c>
      <c r="D588" s="22" t="s">
        <v>36</v>
      </c>
      <c r="E588" s="22" t="s">
        <v>32</v>
      </c>
      <c r="F588" s="22">
        <v>5</v>
      </c>
      <c r="G588" s="23">
        <v>913.22</v>
      </c>
      <c r="H588" s="25" t="str">
        <f>IF(COUNTIF(tbl_clean_sales[Invoice_ID],tbl_clean_sales[[#This Row],[Invoice_ID]])&gt;1,"Duplicate","Unique")</f>
        <v>Unique</v>
      </c>
      <c r="I588" s="25"/>
      <c r="J58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8" s="25" t="str">
        <f>IFERROR(VLOOKUP(tbl_clean_sales[[#This Row],[Employee_ID]],'02_Employee_Master'!$A$1:$C$12,2,FALSE),"Employee Name Missing")</f>
        <v>Suresh B</v>
      </c>
      <c r="L588" s="25" t="str">
        <f>IFERROR(VLOOKUP(tbl_clean_sales[[#This Row],[Employee_ID]],'02_Employee_Master'!$A$1:$C$12,3,FALSE),"Department Name Missing")</f>
        <v>Sales</v>
      </c>
      <c r="M588" s="25" t="str">
        <f>IF('03_Clean_data'!D588="","Missing",IFERROR(IF(VLOOKUP(D588,'03_Product_Master'!$A$1:$D$14,1,FALSE)='03_Clean_data'!D588,"Valid","Invalid"),"Invalid"))</f>
        <v>Valid</v>
      </c>
      <c r="N588" s="25" t="str">
        <f>IFERROR(VLOOKUP(tbl_clean_sales[[#This Row],[Product_ID]],'03_Product_Master'!$A$1:$D$14,2,FALSE),"Missing")</f>
        <v>Dish Wash</v>
      </c>
      <c r="O588" s="25" t="str">
        <f>IFERROR(VLOOKUP(tbl_clean_sales[[#This Row],[Product_ID]],'03_Product_Master'!$A$1:$D$14,3,FALSE),"Missing")</f>
        <v>Home Care</v>
      </c>
      <c r="P588" s="25">
        <f>IFERROR(VLOOKUP(tbl_clean_sales[[#This Row],[Product_ID]],'03_Product_Master'!$A$1:$D$14,4,FALSE),"Missing")</f>
        <v>190</v>
      </c>
      <c r="Q588" s="25" t="str">
        <f>IF('03_Clean_data'!E588="","Missing",IFERROR(IF(VLOOKUP(E588,'04_Branch_Master'!$A$1:$C$7,1,FALSE)='03_Clean_data'!E588,"Valid","Invalid"),"Invalid"))</f>
        <v>Valid</v>
      </c>
      <c r="R588" s="25" t="str">
        <f>IFERROR(VLOOKUP(tbl_clean_sales[[#This Row],[Branch_ID]],'04_Branch_Master'!$A$1:$C$7,2,FALSE),"Missing")</f>
        <v>Kangeyam</v>
      </c>
      <c r="S588" s="25" t="str">
        <f>IFERROR(VLOOKUP(tbl_clean_sales[[#This Row],[Branch_ID]],'04_Branch_Master'!$A$1:$C$7,3,FALSE),"Missing")</f>
        <v>East</v>
      </c>
      <c r="T588" s="25" t="str">
        <f>C588&amp;"|"&amp;TEXT(tbl_clean_sales[[#This Row],[Date]],"yyyymm")</f>
        <v>E007|202606</v>
      </c>
      <c r="U588" s="25">
        <f>IFERROR(INDEX('05_Target_Master'!$A$1:$F$32,MATCH(tbl_clean_sales[[#This Row],[target key]],'05_Target_Master'!$F$1:$F$32,0),3),"Missing")</f>
        <v>124400</v>
      </c>
    </row>
    <row r="589" spans="1:21" x14ac:dyDescent="0.3">
      <c r="A589" s="21">
        <v>46133</v>
      </c>
      <c r="B589" s="22" t="s">
        <v>623</v>
      </c>
      <c r="C589" s="22" t="s">
        <v>46</v>
      </c>
      <c r="D589" s="22" t="s">
        <v>43</v>
      </c>
      <c r="E589" s="22" t="s">
        <v>26</v>
      </c>
      <c r="F589" s="22">
        <v>3</v>
      </c>
      <c r="G589" s="23">
        <v>933.44</v>
      </c>
      <c r="H589" s="25" t="str">
        <f>IF(COUNTIF(tbl_clean_sales[Invoice_ID],tbl_clean_sales[[#This Row],[Invoice_ID]])&gt;1,"Duplicate","Unique")</f>
        <v>Unique</v>
      </c>
      <c r="I589" s="25"/>
      <c r="J58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89" s="25" t="str">
        <f>IFERROR(VLOOKUP(tbl_clean_sales[[#This Row],[Employee_ID]],'02_Employee_Master'!$A$1:$C$12,2,FALSE),"Employee Name Missing")</f>
        <v>Suresh B</v>
      </c>
      <c r="L589" s="25" t="str">
        <f>IFERROR(VLOOKUP(tbl_clean_sales[[#This Row],[Employee_ID]],'02_Employee_Master'!$A$1:$C$12,3,FALSE),"Department Name Missing")</f>
        <v>Sales</v>
      </c>
      <c r="M589" s="25" t="str">
        <f>IF('03_Clean_data'!D589="","Missing",IFERROR(IF(VLOOKUP(D589,'03_Product_Master'!$A$1:$D$14,1,FALSE)='03_Clean_data'!D589,"Valid","Invalid"),"Invalid"))</f>
        <v>Valid</v>
      </c>
      <c r="N589" s="25" t="str">
        <f>IFERROR(VLOOKUP(tbl_clean_sales[[#This Row],[Product_ID]],'03_Product_Master'!$A$1:$D$14,2,FALSE),"Missing")</f>
        <v>Laundry Liquid</v>
      </c>
      <c r="O589" s="25" t="str">
        <f>IFERROR(VLOOKUP(tbl_clean_sales[[#This Row],[Product_ID]],'03_Product_Master'!$A$1:$D$14,3,FALSE),"Missing")</f>
        <v>Home Care</v>
      </c>
      <c r="P589" s="25">
        <f>IFERROR(VLOOKUP(tbl_clean_sales[[#This Row],[Product_ID]],'03_Product_Master'!$A$1:$D$14,4,FALSE),"Missing")</f>
        <v>340</v>
      </c>
      <c r="Q589" s="25" t="str">
        <f>IF('03_Clean_data'!E589="","Missing",IFERROR(IF(VLOOKUP(E589,'04_Branch_Master'!$A$1:$C$7,1,FALSE)='03_Clean_data'!E589,"Valid","Invalid"),"Invalid"))</f>
        <v>Valid</v>
      </c>
      <c r="R589" s="25" t="str">
        <f>IFERROR(VLOOKUP(tbl_clean_sales[[#This Row],[Branch_ID]],'04_Branch_Master'!$A$1:$C$7,2,FALSE),"Missing")</f>
        <v>Palladam</v>
      </c>
      <c r="S589" s="25" t="str">
        <f>IFERROR(VLOOKUP(tbl_clean_sales[[#This Row],[Branch_ID]],'04_Branch_Master'!$A$1:$C$7,3,FALSE),"Missing")</f>
        <v>South</v>
      </c>
      <c r="T589" s="25" t="str">
        <f>C589&amp;"|"&amp;TEXT(tbl_clean_sales[[#This Row],[Date]],"yyyymm")</f>
        <v>E007|202604</v>
      </c>
      <c r="U589" s="25">
        <f>IFERROR(INDEX('05_Target_Master'!$A$1:$F$32,MATCH(tbl_clean_sales[[#This Row],[target key]],'05_Target_Master'!$F$1:$F$32,0),3),"Missing")</f>
        <v>129600</v>
      </c>
    </row>
    <row r="590" spans="1:21" x14ac:dyDescent="0.3">
      <c r="A590" s="21">
        <v>46184</v>
      </c>
      <c r="B590" s="22" t="s">
        <v>624</v>
      </c>
      <c r="C590" s="22" t="s">
        <v>29</v>
      </c>
      <c r="D590" s="22" t="s">
        <v>34</v>
      </c>
      <c r="E590" s="22" t="s">
        <v>10</v>
      </c>
      <c r="F590" s="22">
        <v>10</v>
      </c>
      <c r="G590" s="23">
        <v>992.49</v>
      </c>
      <c r="H590" s="25" t="str">
        <f>IF(COUNTIF(tbl_clean_sales[Invoice_ID],tbl_clean_sales[[#This Row],[Invoice_ID]])&gt;1,"Duplicate","Unique")</f>
        <v>Unique</v>
      </c>
      <c r="I590" s="25"/>
      <c r="J59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0" s="25" t="str">
        <f>IFERROR(VLOOKUP(tbl_clean_sales[[#This Row],[Employee_ID]],'02_Employee_Master'!$A$1:$C$12,2,FALSE),"Employee Name Missing")</f>
        <v>Swetha L</v>
      </c>
      <c r="L590" s="25" t="str">
        <f>IFERROR(VLOOKUP(tbl_clean_sales[[#This Row],[Employee_ID]],'02_Employee_Master'!$A$1:$C$12,3,FALSE),"Department Name Missing")</f>
        <v>Sales</v>
      </c>
      <c r="M590" s="25" t="str">
        <f>IF('03_Clean_data'!D590="","Missing",IFERROR(IF(VLOOKUP(D590,'03_Product_Master'!$A$1:$D$14,1,FALSE)='03_Clean_data'!D590,"Valid","Invalid"),"Invalid"))</f>
        <v>Valid</v>
      </c>
      <c r="N590" s="25" t="str">
        <f>IFERROR(VLOOKUP(tbl_clean_sales[[#This Row],[Product_ID]],'03_Product_Master'!$A$1:$D$14,2,FALSE),"Missing")</f>
        <v>Potato Chips</v>
      </c>
      <c r="O590" s="25" t="str">
        <f>IFERROR(VLOOKUP(tbl_clean_sales[[#This Row],[Product_ID]],'03_Product_Master'!$A$1:$D$14,3,FALSE),"Missing")</f>
        <v>Snacks</v>
      </c>
      <c r="P590" s="25">
        <f>IFERROR(VLOOKUP(tbl_clean_sales[[#This Row],[Product_ID]],'03_Product_Master'!$A$1:$D$14,4,FALSE),"Missing")</f>
        <v>110</v>
      </c>
      <c r="Q590" s="25" t="str">
        <f>IF('03_Clean_data'!E590="","Missing",IFERROR(IF(VLOOKUP(E590,'04_Branch_Master'!$A$1:$C$7,1,FALSE)='03_Clean_data'!E590,"Valid","Invalid"),"Invalid"))</f>
        <v>Valid</v>
      </c>
      <c r="R590" s="25" t="str">
        <f>IFERROR(VLOOKUP(tbl_clean_sales[[#This Row],[Branch_ID]],'04_Branch_Master'!$A$1:$C$7,2,FALSE),"Missing")</f>
        <v>Dharapuram</v>
      </c>
      <c r="S590" s="25" t="str">
        <f>IFERROR(VLOOKUP(tbl_clean_sales[[#This Row],[Branch_ID]],'04_Branch_Master'!$A$1:$C$7,3,FALSE),"Missing")</f>
        <v>South</v>
      </c>
      <c r="T590" s="25" t="str">
        <f>C590&amp;"|"&amp;TEXT(tbl_clean_sales[[#This Row],[Date]],"yyyymm")</f>
        <v>E010|202606</v>
      </c>
      <c r="U590" s="25">
        <f>IFERROR(INDEX('05_Target_Master'!$A$1:$F$32,MATCH(tbl_clean_sales[[#This Row],[target key]],'05_Target_Master'!$F$1:$F$32,0),3),"Missing")</f>
        <v>116800</v>
      </c>
    </row>
    <row r="591" spans="1:21" x14ac:dyDescent="0.3">
      <c r="A591" s="21">
        <v>46161</v>
      </c>
      <c r="B591" s="22" t="s">
        <v>625</v>
      </c>
      <c r="C591" s="22" t="s">
        <v>24</v>
      </c>
      <c r="D591" s="22" t="s">
        <v>19</v>
      </c>
      <c r="E591" s="22" t="s">
        <v>26</v>
      </c>
      <c r="F591" s="22">
        <v>3</v>
      </c>
      <c r="G591" s="23">
        <v>675.29</v>
      </c>
      <c r="H591" s="25" t="str">
        <f>IF(COUNTIF(tbl_clean_sales[Invoice_ID],tbl_clean_sales[[#This Row],[Invoice_ID]])&gt;1,"Duplicate","Unique")</f>
        <v>Unique</v>
      </c>
      <c r="I591" s="25"/>
      <c r="J59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1" s="25" t="str">
        <f>IFERROR(VLOOKUP(tbl_clean_sales[[#This Row],[Employee_ID]],'02_Employee_Master'!$A$1:$C$12,2,FALSE),"Employee Name Missing")</f>
        <v>Karthik P</v>
      </c>
      <c r="L591" s="25" t="str">
        <f>IFERROR(VLOOKUP(tbl_clean_sales[[#This Row],[Employee_ID]],'02_Employee_Master'!$A$1:$C$12,3,FALSE),"Department Name Missing")</f>
        <v>Sales</v>
      </c>
      <c r="M591" s="25" t="str">
        <f>IF('03_Clean_data'!D591="","Missing",IFERROR(IF(VLOOKUP(D591,'03_Product_Master'!$A$1:$D$14,1,FALSE)='03_Clean_data'!D591,"Valid","Invalid"),"Invalid"))</f>
        <v>Valid</v>
      </c>
      <c r="N591" s="25" t="str">
        <f>IFERROR(VLOOKUP(tbl_clean_sales[[#This Row],[Product_ID]],'03_Product_Master'!$A$1:$D$14,2,FALSE),"Missing")</f>
        <v>Floor Cleaner</v>
      </c>
      <c r="O591" s="25" t="str">
        <f>IFERROR(VLOOKUP(tbl_clean_sales[[#This Row],[Product_ID]],'03_Product_Master'!$A$1:$D$14,3,FALSE),"Missing")</f>
        <v>Home Care</v>
      </c>
      <c r="P591" s="25">
        <f>IFERROR(VLOOKUP(tbl_clean_sales[[#This Row],[Product_ID]],'03_Product_Master'!$A$1:$D$14,4,FALSE),"Missing")</f>
        <v>230</v>
      </c>
      <c r="Q591" s="25" t="str">
        <f>IF('03_Clean_data'!E591="","Missing",IFERROR(IF(VLOOKUP(E591,'04_Branch_Master'!$A$1:$C$7,1,FALSE)='03_Clean_data'!E591,"Valid","Invalid"),"Invalid"))</f>
        <v>Valid</v>
      </c>
      <c r="R591" s="25" t="str">
        <f>IFERROR(VLOOKUP(tbl_clean_sales[[#This Row],[Branch_ID]],'04_Branch_Master'!$A$1:$C$7,2,FALSE),"Missing")</f>
        <v>Palladam</v>
      </c>
      <c r="S591" s="25" t="str">
        <f>IFERROR(VLOOKUP(tbl_clean_sales[[#This Row],[Branch_ID]],'04_Branch_Master'!$A$1:$C$7,3,FALSE),"Missing")</f>
        <v>South</v>
      </c>
      <c r="T591" s="25" t="str">
        <f>C591&amp;"|"&amp;TEXT(tbl_clean_sales[[#This Row],[Date]],"yyyymm")</f>
        <v>E005|202605</v>
      </c>
      <c r="U591" s="25">
        <f>IFERROR(INDEX('05_Target_Master'!$A$1:$F$32,MATCH(tbl_clean_sales[[#This Row],[target key]],'05_Target_Master'!$F$1:$F$32,0),3),"Missing")</f>
        <v>143700</v>
      </c>
    </row>
    <row r="592" spans="1:21" x14ac:dyDescent="0.3">
      <c r="A592" s="21">
        <v>46113</v>
      </c>
      <c r="B592" s="22" t="s">
        <v>626</v>
      </c>
      <c r="C592" s="22" t="s">
        <v>29</v>
      </c>
      <c r="D592" s="22" t="s">
        <v>16</v>
      </c>
      <c r="E592" s="22" t="s">
        <v>10</v>
      </c>
      <c r="F592" s="22">
        <v>1</v>
      </c>
      <c r="G592" s="23">
        <v>303.23</v>
      </c>
      <c r="H592" s="25" t="str">
        <f>IF(COUNTIF(tbl_clean_sales[Invoice_ID],tbl_clean_sales[[#This Row],[Invoice_ID]])&gt;1,"Duplicate","Unique")</f>
        <v>Unique</v>
      </c>
      <c r="I592" s="25"/>
      <c r="J59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2" s="25" t="str">
        <f>IFERROR(VLOOKUP(tbl_clean_sales[[#This Row],[Employee_ID]],'02_Employee_Master'!$A$1:$C$12,2,FALSE),"Employee Name Missing")</f>
        <v>Swetha L</v>
      </c>
      <c r="L592" s="25" t="str">
        <f>IFERROR(VLOOKUP(tbl_clean_sales[[#This Row],[Employee_ID]],'02_Employee_Master'!$A$1:$C$12,3,FALSE),"Department Name Missing")</f>
        <v>Sales</v>
      </c>
      <c r="M592" s="25" t="str">
        <f>IF('03_Clean_data'!D592="","Missing",IFERROR(IF(VLOOKUP(D592,'03_Product_Master'!$A$1:$D$14,1,FALSE)='03_Clean_data'!D592,"Valid","Invalid"),"Invalid"))</f>
        <v>Valid</v>
      </c>
      <c r="N592" s="25" t="str">
        <f>IFERROR(VLOOKUP(tbl_clean_sales[[#This Row],[Product_ID]],'03_Product_Master'!$A$1:$D$14,2,FALSE),"Missing")</f>
        <v>Shampoo</v>
      </c>
      <c r="O592" s="25" t="str">
        <f>IFERROR(VLOOKUP(tbl_clean_sales[[#This Row],[Product_ID]],'03_Product_Master'!$A$1:$D$14,3,FALSE),"Missing")</f>
        <v>Personal Care</v>
      </c>
      <c r="P592" s="25">
        <f>IFERROR(VLOOKUP(tbl_clean_sales[[#This Row],[Product_ID]],'03_Product_Master'!$A$1:$D$14,4,FALSE),"Missing")</f>
        <v>310</v>
      </c>
      <c r="Q592" s="25" t="str">
        <f>IF('03_Clean_data'!E592="","Missing",IFERROR(IF(VLOOKUP(E592,'04_Branch_Master'!$A$1:$C$7,1,FALSE)='03_Clean_data'!E592,"Valid","Invalid"),"Invalid"))</f>
        <v>Valid</v>
      </c>
      <c r="R592" s="25" t="str">
        <f>IFERROR(VLOOKUP(tbl_clean_sales[[#This Row],[Branch_ID]],'04_Branch_Master'!$A$1:$C$7,2,FALSE),"Missing")</f>
        <v>Dharapuram</v>
      </c>
      <c r="S592" s="25" t="str">
        <f>IFERROR(VLOOKUP(tbl_clean_sales[[#This Row],[Branch_ID]],'04_Branch_Master'!$A$1:$C$7,3,FALSE),"Missing")</f>
        <v>South</v>
      </c>
      <c r="T592" s="25" t="str">
        <f>C592&amp;"|"&amp;TEXT(tbl_clean_sales[[#This Row],[Date]],"yyyymm")</f>
        <v>E010|202604</v>
      </c>
      <c r="U592" s="25">
        <f>IFERROR(INDEX('05_Target_Master'!$A$1:$F$32,MATCH(tbl_clean_sales[[#This Row],[target key]],'05_Target_Master'!$F$1:$F$32,0),3),"Missing")</f>
        <v>121700</v>
      </c>
    </row>
    <row r="593" spans="1:21" x14ac:dyDescent="0.3">
      <c r="A593" s="21">
        <v>46153</v>
      </c>
      <c r="B593" s="22" t="s">
        <v>627</v>
      </c>
      <c r="C593" s="22" t="s">
        <v>29</v>
      </c>
      <c r="D593" s="22" t="s">
        <v>30</v>
      </c>
      <c r="E593" s="22" t="s">
        <v>10</v>
      </c>
      <c r="F593" s="22">
        <v>2</v>
      </c>
      <c r="G593" s="23">
        <v>284.02999999999997</v>
      </c>
      <c r="H593" s="25" t="str">
        <f>IF(COUNTIF(tbl_clean_sales[Invoice_ID],tbl_clean_sales[[#This Row],[Invoice_ID]])&gt;1,"Duplicate","Unique")</f>
        <v>Unique</v>
      </c>
      <c r="I593" s="25"/>
      <c r="J59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3" s="25" t="str">
        <f>IFERROR(VLOOKUP(tbl_clean_sales[[#This Row],[Employee_ID]],'02_Employee_Master'!$A$1:$C$12,2,FALSE),"Employee Name Missing")</f>
        <v>Swetha L</v>
      </c>
      <c r="L593" s="25" t="str">
        <f>IFERROR(VLOOKUP(tbl_clean_sales[[#This Row],[Employee_ID]],'02_Employee_Master'!$A$1:$C$12,3,FALSE),"Department Name Missing")</f>
        <v>Sales</v>
      </c>
      <c r="M593" s="25" t="str">
        <f>IF('03_Clean_data'!D593="","Missing",IFERROR(IF(VLOOKUP(D593,'03_Product_Master'!$A$1:$D$14,1,FALSE)='03_Clean_data'!D593,"Valid","Invalid"),"Invalid"))</f>
        <v>Valid</v>
      </c>
      <c r="N593" s="25" t="str">
        <f>IFERROR(VLOOKUP(tbl_clean_sales[[#This Row],[Product_ID]],'03_Product_Master'!$A$1:$D$14,2,FALSE),"Missing")</f>
        <v>Cookies Pack</v>
      </c>
      <c r="O593" s="25" t="str">
        <f>IFERROR(VLOOKUP(tbl_clean_sales[[#This Row],[Product_ID]],'03_Product_Master'!$A$1:$D$14,3,FALSE),"Missing")</f>
        <v>Snacks</v>
      </c>
      <c r="P593" s="25">
        <f>IFERROR(VLOOKUP(tbl_clean_sales[[#This Row],[Product_ID]],'03_Product_Master'!$A$1:$D$14,4,FALSE),"Missing")</f>
        <v>160</v>
      </c>
      <c r="Q593" s="25" t="str">
        <f>IF('03_Clean_data'!E593="","Missing",IFERROR(IF(VLOOKUP(E593,'04_Branch_Master'!$A$1:$C$7,1,FALSE)='03_Clean_data'!E593,"Valid","Invalid"),"Invalid"))</f>
        <v>Valid</v>
      </c>
      <c r="R593" s="25" t="str">
        <f>IFERROR(VLOOKUP(tbl_clean_sales[[#This Row],[Branch_ID]],'04_Branch_Master'!$A$1:$C$7,2,FALSE),"Missing")</f>
        <v>Dharapuram</v>
      </c>
      <c r="S593" s="25" t="str">
        <f>IFERROR(VLOOKUP(tbl_clean_sales[[#This Row],[Branch_ID]],'04_Branch_Master'!$A$1:$C$7,3,FALSE),"Missing")</f>
        <v>South</v>
      </c>
      <c r="T593" s="25" t="str">
        <f>C593&amp;"|"&amp;TEXT(tbl_clean_sales[[#This Row],[Date]],"yyyymm")</f>
        <v>E010|202605</v>
      </c>
      <c r="U593" s="25">
        <f>IFERROR(INDEX('05_Target_Master'!$A$1:$F$32,MATCH(tbl_clean_sales[[#This Row],[target key]],'05_Target_Master'!$F$1:$F$32,0),3),"Missing")</f>
        <v>131500</v>
      </c>
    </row>
    <row r="594" spans="1:21" x14ac:dyDescent="0.3">
      <c r="A594" s="21">
        <v>46131</v>
      </c>
      <c r="B594" s="22" t="s">
        <v>628</v>
      </c>
      <c r="C594" s="22" t="s">
        <v>40</v>
      </c>
      <c r="D594" s="22" t="s">
        <v>19</v>
      </c>
      <c r="E594" s="22" t="s">
        <v>26</v>
      </c>
      <c r="F594" s="22">
        <v>6</v>
      </c>
      <c r="G594" s="23">
        <v>1217.32</v>
      </c>
      <c r="H594" s="25" t="str">
        <f>IF(COUNTIF(tbl_clean_sales[Invoice_ID],tbl_clean_sales[[#This Row],[Invoice_ID]])&gt;1,"Duplicate","Unique")</f>
        <v>Unique</v>
      </c>
      <c r="I594" s="25"/>
      <c r="J59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4" s="25" t="str">
        <f>IFERROR(VLOOKUP(tbl_clean_sales[[#This Row],[Employee_ID]],'02_Employee_Master'!$A$1:$C$12,2,FALSE),"Employee Name Missing")</f>
        <v>Meena V</v>
      </c>
      <c r="L594" s="25" t="str">
        <f>IFERROR(VLOOKUP(tbl_clean_sales[[#This Row],[Employee_ID]],'02_Employee_Master'!$A$1:$C$12,3,FALSE),"Department Name Missing")</f>
        <v>Sales</v>
      </c>
      <c r="M594" s="25" t="str">
        <f>IF('03_Clean_data'!D594="","Missing",IFERROR(IF(VLOOKUP(D594,'03_Product_Master'!$A$1:$D$14,1,FALSE)='03_Clean_data'!D594,"Valid","Invalid"),"Invalid"))</f>
        <v>Valid</v>
      </c>
      <c r="N594" s="25" t="str">
        <f>IFERROR(VLOOKUP(tbl_clean_sales[[#This Row],[Product_ID]],'03_Product_Master'!$A$1:$D$14,2,FALSE),"Missing")</f>
        <v>Floor Cleaner</v>
      </c>
      <c r="O594" s="25" t="str">
        <f>IFERROR(VLOOKUP(tbl_clean_sales[[#This Row],[Product_ID]],'03_Product_Master'!$A$1:$D$14,3,FALSE),"Missing")</f>
        <v>Home Care</v>
      </c>
      <c r="P594" s="25">
        <f>IFERROR(VLOOKUP(tbl_clean_sales[[#This Row],[Product_ID]],'03_Product_Master'!$A$1:$D$14,4,FALSE),"Missing")</f>
        <v>230</v>
      </c>
      <c r="Q594" s="25" t="str">
        <f>IF('03_Clean_data'!E594="","Missing",IFERROR(IF(VLOOKUP(E594,'04_Branch_Master'!$A$1:$C$7,1,FALSE)='03_Clean_data'!E594,"Valid","Invalid"),"Invalid"))</f>
        <v>Valid</v>
      </c>
      <c r="R594" s="25" t="str">
        <f>IFERROR(VLOOKUP(tbl_clean_sales[[#This Row],[Branch_ID]],'04_Branch_Master'!$A$1:$C$7,2,FALSE),"Missing")</f>
        <v>Palladam</v>
      </c>
      <c r="S594" s="25" t="str">
        <f>IFERROR(VLOOKUP(tbl_clean_sales[[#This Row],[Branch_ID]],'04_Branch_Master'!$A$1:$C$7,3,FALSE),"Missing")</f>
        <v>South</v>
      </c>
      <c r="T594" s="25" t="str">
        <f>C594&amp;"|"&amp;TEXT(tbl_clean_sales[[#This Row],[Date]],"yyyymm")</f>
        <v>E006|202604</v>
      </c>
      <c r="U594" s="25">
        <f>IFERROR(INDEX('05_Target_Master'!$A$1:$F$32,MATCH(tbl_clean_sales[[#This Row],[target key]],'05_Target_Master'!$F$1:$F$32,0),3),"Missing")</f>
        <v>131000</v>
      </c>
    </row>
    <row r="595" spans="1:21" x14ac:dyDescent="0.3">
      <c r="A595" s="21">
        <v>46134</v>
      </c>
      <c r="B595" s="22" t="s">
        <v>629</v>
      </c>
      <c r="C595" s="22" t="s">
        <v>21</v>
      </c>
      <c r="D595" s="22" t="s">
        <v>19</v>
      </c>
      <c r="E595" s="22" t="s">
        <v>22</v>
      </c>
      <c r="F595" s="22">
        <v>12</v>
      </c>
      <c r="G595" s="23">
        <v>2466.34</v>
      </c>
      <c r="H595" s="25" t="str">
        <f>IF(COUNTIF(tbl_clean_sales[Invoice_ID],tbl_clean_sales[[#This Row],[Invoice_ID]])&gt;1,"Duplicate","Unique")</f>
        <v>Unique</v>
      </c>
      <c r="I595" s="25"/>
      <c r="J59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5" s="25" t="str">
        <f>IFERROR(VLOOKUP(tbl_clean_sales[[#This Row],[Employee_ID]],'02_Employee_Master'!$A$1:$C$12,2,FALSE),"Employee Name Missing")</f>
        <v>Priya S</v>
      </c>
      <c r="L595" s="25" t="str">
        <f>IFERROR(VLOOKUP(tbl_clean_sales[[#This Row],[Employee_ID]],'02_Employee_Master'!$A$1:$C$12,3,FALSE),"Department Name Missing")</f>
        <v>Sales</v>
      </c>
      <c r="M595" s="25" t="str">
        <f>IF('03_Clean_data'!D595="","Missing",IFERROR(IF(VLOOKUP(D595,'03_Product_Master'!$A$1:$D$14,1,FALSE)='03_Clean_data'!D595,"Valid","Invalid"),"Invalid"))</f>
        <v>Valid</v>
      </c>
      <c r="N595" s="25" t="str">
        <f>IFERROR(VLOOKUP(tbl_clean_sales[[#This Row],[Product_ID]],'03_Product_Master'!$A$1:$D$14,2,FALSE),"Missing")</f>
        <v>Floor Cleaner</v>
      </c>
      <c r="O595" s="25" t="str">
        <f>IFERROR(VLOOKUP(tbl_clean_sales[[#This Row],[Product_ID]],'03_Product_Master'!$A$1:$D$14,3,FALSE),"Missing")</f>
        <v>Home Care</v>
      </c>
      <c r="P595" s="25">
        <f>IFERROR(VLOOKUP(tbl_clean_sales[[#This Row],[Product_ID]],'03_Product_Master'!$A$1:$D$14,4,FALSE),"Missing")</f>
        <v>230</v>
      </c>
      <c r="Q595" s="25" t="str">
        <f>IF('03_Clean_data'!E595="","Missing",IFERROR(IF(VLOOKUP(E595,'04_Branch_Master'!$A$1:$C$7,1,FALSE)='03_Clean_data'!E595,"Valid","Invalid"),"Invalid"))</f>
        <v>Valid</v>
      </c>
      <c r="R595" s="25" t="str">
        <f>IFERROR(VLOOKUP(tbl_clean_sales[[#This Row],[Branch_ID]],'04_Branch_Master'!$A$1:$C$7,2,FALSE),"Missing")</f>
        <v>Tirupur Central</v>
      </c>
      <c r="S595" s="25" t="str">
        <f>IFERROR(VLOOKUP(tbl_clean_sales[[#This Row],[Branch_ID]],'04_Branch_Master'!$A$1:$C$7,3,FALSE),"Missing")</f>
        <v>North</v>
      </c>
      <c r="T595" s="25" t="str">
        <f>C595&amp;"|"&amp;TEXT(tbl_clean_sales[[#This Row],[Date]],"yyyymm")</f>
        <v>E002|202604</v>
      </c>
      <c r="U595" s="25">
        <f>IFERROR(INDEX('05_Target_Master'!$A$1:$F$32,MATCH(tbl_clean_sales[[#This Row],[target key]],'05_Target_Master'!$F$1:$F$32,0),3),"Missing")</f>
        <v>122300</v>
      </c>
    </row>
    <row r="596" spans="1:21" x14ac:dyDescent="0.3">
      <c r="A596" s="21">
        <v>46170</v>
      </c>
      <c r="B596" s="22" t="s">
        <v>630</v>
      </c>
      <c r="C596" s="22" t="s">
        <v>74</v>
      </c>
      <c r="D596" s="22" t="s">
        <v>82</v>
      </c>
      <c r="E596" s="22" t="s">
        <v>22</v>
      </c>
      <c r="F596" s="22">
        <v>12</v>
      </c>
      <c r="G596" s="23">
        <v>1428.29</v>
      </c>
      <c r="H596" s="25" t="str">
        <f>IF(COUNTIF(tbl_clean_sales[Invoice_ID],tbl_clean_sales[[#This Row],[Invoice_ID]])&gt;1,"Duplicate","Unique")</f>
        <v>Unique</v>
      </c>
      <c r="I596" s="25"/>
      <c r="J59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6" s="25" t="str">
        <f>IFERROR(VLOOKUP(tbl_clean_sales[[#This Row],[Employee_ID]],'02_Employee_Master'!$A$1:$C$12,2,FALSE),"Employee Name Missing")</f>
        <v>Arun Kumar</v>
      </c>
      <c r="L596" s="25" t="str">
        <f>IFERROR(VLOOKUP(tbl_clean_sales[[#This Row],[Employee_ID]],'02_Employee_Master'!$A$1:$C$12,3,FALSE),"Department Name Missing")</f>
        <v>Sales</v>
      </c>
      <c r="M596" s="25" t="str">
        <f>IF('03_Clean_data'!D596="","Missing",IFERROR(IF(VLOOKUP(D596,'03_Product_Master'!$A$1:$D$14,1,FALSE)='03_Clean_data'!D596,"Valid","Invalid"),"Invalid"))</f>
        <v>Valid</v>
      </c>
      <c r="N596" s="25" t="str">
        <f>IFERROR(VLOOKUP(tbl_clean_sales[[#This Row],[Product_ID]],'03_Product_Master'!$A$1:$D$14,2,FALSE),"Missing")</f>
        <v>Chocolate Bar</v>
      </c>
      <c r="O596" s="25" t="str">
        <f>IFERROR(VLOOKUP(tbl_clean_sales[[#This Row],[Product_ID]],'03_Product_Master'!$A$1:$D$14,3,FALSE),"Missing")</f>
        <v>Snacks</v>
      </c>
      <c r="P596" s="25">
        <f>IFERROR(VLOOKUP(tbl_clean_sales[[#This Row],[Product_ID]],'03_Product_Master'!$A$1:$D$14,4,FALSE),"Missing")</f>
        <v>120</v>
      </c>
      <c r="Q596" s="25" t="str">
        <f>IF('03_Clean_data'!E596="","Missing",IFERROR(IF(VLOOKUP(E596,'04_Branch_Master'!$A$1:$C$7,1,FALSE)='03_Clean_data'!E596,"Valid","Invalid"),"Invalid"))</f>
        <v>Valid</v>
      </c>
      <c r="R596" s="25" t="str">
        <f>IFERROR(VLOOKUP(tbl_clean_sales[[#This Row],[Branch_ID]],'04_Branch_Master'!$A$1:$C$7,2,FALSE),"Missing")</f>
        <v>Tirupur Central</v>
      </c>
      <c r="S596" s="25" t="str">
        <f>IFERROR(VLOOKUP(tbl_clean_sales[[#This Row],[Branch_ID]],'04_Branch_Master'!$A$1:$C$7,3,FALSE),"Missing")</f>
        <v>North</v>
      </c>
      <c r="T596" s="25" t="str">
        <f>C596&amp;"|"&amp;TEXT(tbl_clean_sales[[#This Row],[Date]],"yyyymm")</f>
        <v>E001|202605</v>
      </c>
      <c r="U596" s="25">
        <f>IFERROR(INDEX('05_Target_Master'!$A$1:$F$32,MATCH(tbl_clean_sales[[#This Row],[target key]],'05_Target_Master'!$F$1:$F$32,0),3),"Missing")</f>
        <v>169500</v>
      </c>
    </row>
    <row r="597" spans="1:21" x14ac:dyDescent="0.3">
      <c r="A597" s="21">
        <v>46145</v>
      </c>
      <c r="B597" s="22" t="s">
        <v>631</v>
      </c>
      <c r="C597" s="22" t="s">
        <v>21</v>
      </c>
      <c r="D597" s="22" t="s">
        <v>19</v>
      </c>
      <c r="E597" s="22" t="s">
        <v>22</v>
      </c>
      <c r="F597" s="22">
        <v>7</v>
      </c>
      <c r="G597" s="23">
        <v>1525.34</v>
      </c>
      <c r="H597" s="25" t="str">
        <f>IF(COUNTIF(tbl_clean_sales[Invoice_ID],tbl_clean_sales[[#This Row],[Invoice_ID]])&gt;1,"Duplicate","Unique")</f>
        <v>Unique</v>
      </c>
      <c r="I597" s="25"/>
      <c r="J59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7" s="25" t="str">
        <f>IFERROR(VLOOKUP(tbl_clean_sales[[#This Row],[Employee_ID]],'02_Employee_Master'!$A$1:$C$12,2,FALSE),"Employee Name Missing")</f>
        <v>Priya S</v>
      </c>
      <c r="L597" s="25" t="str">
        <f>IFERROR(VLOOKUP(tbl_clean_sales[[#This Row],[Employee_ID]],'02_Employee_Master'!$A$1:$C$12,3,FALSE),"Department Name Missing")</f>
        <v>Sales</v>
      </c>
      <c r="M597" s="25" t="str">
        <f>IF('03_Clean_data'!D597="","Missing",IFERROR(IF(VLOOKUP(D597,'03_Product_Master'!$A$1:$D$14,1,FALSE)='03_Clean_data'!D597,"Valid","Invalid"),"Invalid"))</f>
        <v>Valid</v>
      </c>
      <c r="N597" s="25" t="str">
        <f>IFERROR(VLOOKUP(tbl_clean_sales[[#This Row],[Product_ID]],'03_Product_Master'!$A$1:$D$14,2,FALSE),"Missing")</f>
        <v>Floor Cleaner</v>
      </c>
      <c r="O597" s="25" t="str">
        <f>IFERROR(VLOOKUP(tbl_clean_sales[[#This Row],[Product_ID]],'03_Product_Master'!$A$1:$D$14,3,FALSE),"Missing")</f>
        <v>Home Care</v>
      </c>
      <c r="P597" s="25">
        <f>IFERROR(VLOOKUP(tbl_clean_sales[[#This Row],[Product_ID]],'03_Product_Master'!$A$1:$D$14,4,FALSE),"Missing")</f>
        <v>230</v>
      </c>
      <c r="Q597" s="25" t="str">
        <f>IF('03_Clean_data'!E597="","Missing",IFERROR(IF(VLOOKUP(E597,'04_Branch_Master'!$A$1:$C$7,1,FALSE)='03_Clean_data'!E597,"Valid","Invalid"),"Invalid"))</f>
        <v>Valid</v>
      </c>
      <c r="R597" s="25" t="str">
        <f>IFERROR(VLOOKUP(tbl_clean_sales[[#This Row],[Branch_ID]],'04_Branch_Master'!$A$1:$C$7,2,FALSE),"Missing")</f>
        <v>Tirupur Central</v>
      </c>
      <c r="S597" s="25" t="str">
        <f>IFERROR(VLOOKUP(tbl_clean_sales[[#This Row],[Branch_ID]],'04_Branch_Master'!$A$1:$C$7,3,FALSE),"Missing")</f>
        <v>North</v>
      </c>
      <c r="T597" s="25" t="str">
        <f>C597&amp;"|"&amp;TEXT(tbl_clean_sales[[#This Row],[Date]],"yyyymm")</f>
        <v>E002|202605</v>
      </c>
      <c r="U597" s="25">
        <f>IFERROR(INDEX('05_Target_Master'!$A$1:$F$32,MATCH(tbl_clean_sales[[#This Row],[target key]],'05_Target_Master'!$F$1:$F$32,0),3),"Missing")</f>
        <v>132100</v>
      </c>
    </row>
    <row r="598" spans="1:21" x14ac:dyDescent="0.3">
      <c r="A598" s="21">
        <v>46166</v>
      </c>
      <c r="B598" s="22" t="s">
        <v>632</v>
      </c>
      <c r="C598" s="22" t="s">
        <v>18</v>
      </c>
      <c r="D598" s="22" t="s">
        <v>16</v>
      </c>
      <c r="E598" s="22" t="s">
        <v>14</v>
      </c>
      <c r="F598" s="22">
        <v>7</v>
      </c>
      <c r="G598" s="23">
        <v>2078.54</v>
      </c>
      <c r="H598" s="25" t="str">
        <f>IF(COUNTIF(tbl_clean_sales[Invoice_ID],tbl_clean_sales[[#This Row],[Invoice_ID]])&gt;1,"Duplicate","Unique")</f>
        <v>Unique</v>
      </c>
      <c r="I598" s="25"/>
      <c r="J59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8" s="25" t="str">
        <f>IFERROR(VLOOKUP(tbl_clean_sales[[#This Row],[Employee_ID]],'02_Employee_Master'!$A$1:$C$12,2,FALSE),"Employee Name Missing")</f>
        <v>Rahul M</v>
      </c>
      <c r="L598" s="25" t="str">
        <f>IFERROR(VLOOKUP(tbl_clean_sales[[#This Row],[Employee_ID]],'02_Employee_Master'!$A$1:$C$12,3,FALSE),"Department Name Missing")</f>
        <v>Sales</v>
      </c>
      <c r="M598" s="25" t="str">
        <f>IF('03_Clean_data'!D598="","Missing",IFERROR(IF(VLOOKUP(D598,'03_Product_Master'!$A$1:$D$14,1,FALSE)='03_Clean_data'!D598,"Valid","Invalid"),"Invalid"))</f>
        <v>Valid</v>
      </c>
      <c r="N598" s="25" t="str">
        <f>IFERROR(VLOOKUP(tbl_clean_sales[[#This Row],[Product_ID]],'03_Product_Master'!$A$1:$D$14,2,FALSE),"Missing")</f>
        <v>Shampoo</v>
      </c>
      <c r="O598" s="25" t="str">
        <f>IFERROR(VLOOKUP(tbl_clean_sales[[#This Row],[Product_ID]],'03_Product_Master'!$A$1:$D$14,3,FALSE),"Missing")</f>
        <v>Personal Care</v>
      </c>
      <c r="P598" s="25">
        <f>IFERROR(VLOOKUP(tbl_clean_sales[[#This Row],[Product_ID]],'03_Product_Master'!$A$1:$D$14,4,FALSE),"Missing")</f>
        <v>310</v>
      </c>
      <c r="Q598" s="25" t="str">
        <f>IF('03_Clean_data'!E598="","Missing",IFERROR(IF(VLOOKUP(E598,'04_Branch_Master'!$A$1:$C$7,1,FALSE)='03_Clean_data'!E598,"Valid","Invalid"),"Invalid"))</f>
        <v>Valid</v>
      </c>
      <c r="R598" s="25" t="str">
        <f>IFERROR(VLOOKUP(tbl_clean_sales[[#This Row],[Branch_ID]],'04_Branch_Master'!$A$1:$C$7,2,FALSE),"Missing")</f>
        <v>Avinashi Road</v>
      </c>
      <c r="S598" s="25" t="str">
        <f>IFERROR(VLOOKUP(tbl_clean_sales[[#This Row],[Branch_ID]],'04_Branch_Master'!$A$1:$C$7,3,FALSE),"Missing")</f>
        <v>North</v>
      </c>
      <c r="T598" s="25" t="str">
        <f>C598&amp;"|"&amp;TEXT(tbl_clean_sales[[#This Row],[Date]],"yyyymm")</f>
        <v>E003|202605</v>
      </c>
      <c r="U598" s="25">
        <f>IFERROR(INDEX('05_Target_Master'!$A$1:$F$32,MATCH(tbl_clean_sales[[#This Row],[target key]],'05_Target_Master'!$F$1:$F$32,0),3),"Missing")</f>
        <v>126000</v>
      </c>
    </row>
    <row r="599" spans="1:21" x14ac:dyDescent="0.3">
      <c r="A599" s="21">
        <v>46161</v>
      </c>
      <c r="B599" s="22" t="s">
        <v>633</v>
      </c>
      <c r="C599" s="22" t="s">
        <v>21</v>
      </c>
      <c r="D599" s="22" t="s">
        <v>48</v>
      </c>
      <c r="E599" s="22" t="s">
        <v>10</v>
      </c>
      <c r="F599" s="22">
        <v>11</v>
      </c>
      <c r="G599" s="23">
        <v>2599.77</v>
      </c>
      <c r="H599" s="25" t="str">
        <f>IF(COUNTIF(tbl_clean_sales[Invoice_ID],tbl_clean_sales[[#This Row],[Invoice_ID]])&gt;1,"Duplicate","Unique")</f>
        <v>Unique</v>
      </c>
      <c r="I599" s="25"/>
      <c r="J59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599" s="25" t="str">
        <f>IFERROR(VLOOKUP(tbl_clean_sales[[#This Row],[Employee_ID]],'02_Employee_Master'!$A$1:$C$12,2,FALSE),"Employee Name Missing")</f>
        <v>Priya S</v>
      </c>
      <c r="L599" s="25" t="str">
        <f>IFERROR(VLOOKUP(tbl_clean_sales[[#This Row],[Employee_ID]],'02_Employee_Master'!$A$1:$C$12,3,FALSE),"Department Name Missing")</f>
        <v>Sales</v>
      </c>
      <c r="M599" s="25" t="str">
        <f>IF('03_Clean_data'!D599="","Missing",IFERROR(IF(VLOOKUP(D599,'03_Product_Master'!$A$1:$D$14,1,FALSE)='03_Clean_data'!D599,"Valid","Invalid"),"Invalid"))</f>
        <v>Valid</v>
      </c>
      <c r="N599" s="25" t="str">
        <f>IFERROR(VLOOKUP(tbl_clean_sales[[#This Row],[Product_ID]],'03_Product_Master'!$A$1:$D$14,2,FALSE),"Missing")</f>
        <v>Face Wash</v>
      </c>
      <c r="O599" s="25" t="str">
        <f>IFERROR(VLOOKUP(tbl_clean_sales[[#This Row],[Product_ID]],'03_Product_Master'!$A$1:$D$14,3,FALSE),"Missing")</f>
        <v>Personal Care</v>
      </c>
      <c r="P599" s="25">
        <f>IFERROR(VLOOKUP(tbl_clean_sales[[#This Row],[Product_ID]],'03_Product_Master'!$A$1:$D$14,4,FALSE),"Missing")</f>
        <v>260</v>
      </c>
      <c r="Q599" s="25" t="str">
        <f>IF('03_Clean_data'!E599="","Missing",IFERROR(IF(VLOOKUP(E599,'04_Branch_Master'!$A$1:$C$7,1,FALSE)='03_Clean_data'!E599,"Valid","Invalid"),"Invalid"))</f>
        <v>Valid</v>
      </c>
      <c r="R599" s="25" t="str">
        <f>IFERROR(VLOOKUP(tbl_clean_sales[[#This Row],[Branch_ID]],'04_Branch_Master'!$A$1:$C$7,2,FALSE),"Missing")</f>
        <v>Dharapuram</v>
      </c>
      <c r="S599" s="25" t="str">
        <f>IFERROR(VLOOKUP(tbl_clean_sales[[#This Row],[Branch_ID]],'04_Branch_Master'!$A$1:$C$7,3,FALSE),"Missing")</f>
        <v>South</v>
      </c>
      <c r="T599" s="25" t="str">
        <f>C599&amp;"|"&amp;TEXT(tbl_clean_sales[[#This Row],[Date]],"yyyymm")</f>
        <v>E002|202605</v>
      </c>
      <c r="U599" s="25">
        <f>IFERROR(INDEX('05_Target_Master'!$A$1:$F$32,MATCH(tbl_clean_sales[[#This Row],[target key]],'05_Target_Master'!$F$1:$F$32,0),3),"Missing")</f>
        <v>132100</v>
      </c>
    </row>
    <row r="600" spans="1:21" x14ac:dyDescent="0.3">
      <c r="A600" s="21">
        <v>46141</v>
      </c>
      <c r="B600" s="22" t="s">
        <v>634</v>
      </c>
      <c r="C600" s="22" t="s">
        <v>18</v>
      </c>
      <c r="D600" s="22" t="s">
        <v>48</v>
      </c>
      <c r="E600" s="22" t="s">
        <v>14</v>
      </c>
      <c r="F600" s="22">
        <v>1</v>
      </c>
      <c r="G600" s="23">
        <v>250.8</v>
      </c>
      <c r="H600" s="25" t="str">
        <f>IF(COUNTIF(tbl_clean_sales[Invoice_ID],tbl_clean_sales[[#This Row],[Invoice_ID]])&gt;1,"Duplicate","Unique")</f>
        <v>Unique</v>
      </c>
      <c r="I600" s="25"/>
      <c r="J60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0" s="25" t="str">
        <f>IFERROR(VLOOKUP(tbl_clean_sales[[#This Row],[Employee_ID]],'02_Employee_Master'!$A$1:$C$12,2,FALSE),"Employee Name Missing")</f>
        <v>Rahul M</v>
      </c>
      <c r="L600" s="25" t="str">
        <f>IFERROR(VLOOKUP(tbl_clean_sales[[#This Row],[Employee_ID]],'02_Employee_Master'!$A$1:$C$12,3,FALSE),"Department Name Missing")</f>
        <v>Sales</v>
      </c>
      <c r="M600" s="25" t="str">
        <f>IF('03_Clean_data'!D600="","Missing",IFERROR(IF(VLOOKUP(D600,'03_Product_Master'!$A$1:$D$14,1,FALSE)='03_Clean_data'!D600,"Valid","Invalid"),"Invalid"))</f>
        <v>Valid</v>
      </c>
      <c r="N600" s="25" t="str">
        <f>IFERROR(VLOOKUP(tbl_clean_sales[[#This Row],[Product_ID]],'03_Product_Master'!$A$1:$D$14,2,FALSE),"Missing")</f>
        <v>Face Wash</v>
      </c>
      <c r="O600" s="25" t="str">
        <f>IFERROR(VLOOKUP(tbl_clean_sales[[#This Row],[Product_ID]],'03_Product_Master'!$A$1:$D$14,3,FALSE),"Missing")</f>
        <v>Personal Care</v>
      </c>
      <c r="P600" s="25">
        <f>IFERROR(VLOOKUP(tbl_clean_sales[[#This Row],[Product_ID]],'03_Product_Master'!$A$1:$D$14,4,FALSE),"Missing")</f>
        <v>260</v>
      </c>
      <c r="Q600" s="25" t="str">
        <f>IF('03_Clean_data'!E600="","Missing",IFERROR(IF(VLOOKUP(E600,'04_Branch_Master'!$A$1:$C$7,1,FALSE)='03_Clean_data'!E600,"Valid","Invalid"),"Invalid"))</f>
        <v>Valid</v>
      </c>
      <c r="R600" s="25" t="str">
        <f>IFERROR(VLOOKUP(tbl_clean_sales[[#This Row],[Branch_ID]],'04_Branch_Master'!$A$1:$C$7,2,FALSE),"Missing")</f>
        <v>Avinashi Road</v>
      </c>
      <c r="S600" s="25" t="str">
        <f>IFERROR(VLOOKUP(tbl_clean_sales[[#This Row],[Branch_ID]],'04_Branch_Master'!$A$1:$C$7,3,FALSE),"Missing")</f>
        <v>North</v>
      </c>
      <c r="T600" s="25" t="str">
        <f>C600&amp;"|"&amp;TEXT(tbl_clean_sales[[#This Row],[Date]],"yyyymm")</f>
        <v>E003|202604</v>
      </c>
      <c r="U600" s="25">
        <f>IFERROR(INDEX('05_Target_Master'!$A$1:$F$32,MATCH(tbl_clean_sales[[#This Row],[target key]],'05_Target_Master'!$F$1:$F$32,0),3),"Missing")</f>
        <v>116600</v>
      </c>
    </row>
    <row r="601" spans="1:21" x14ac:dyDescent="0.3">
      <c r="A601" s="21">
        <v>46153</v>
      </c>
      <c r="B601" s="22" t="s">
        <v>635</v>
      </c>
      <c r="C601" s="22" t="s">
        <v>24</v>
      </c>
      <c r="D601" s="22" t="s">
        <v>9</v>
      </c>
      <c r="E601" s="22" t="s">
        <v>26</v>
      </c>
      <c r="F601" s="22">
        <v>3</v>
      </c>
      <c r="G601" s="23">
        <v>750.5</v>
      </c>
      <c r="H601" s="25" t="str">
        <f>IF(COUNTIF(tbl_clean_sales[Invoice_ID],tbl_clean_sales[[#This Row],[Invoice_ID]])&gt;1,"Duplicate","Unique")</f>
        <v>Unique</v>
      </c>
      <c r="I601" s="25"/>
      <c r="J60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1" s="25" t="str">
        <f>IFERROR(VLOOKUP(tbl_clean_sales[[#This Row],[Employee_ID]],'02_Employee_Master'!$A$1:$C$12,2,FALSE),"Employee Name Missing")</f>
        <v>Karthik P</v>
      </c>
      <c r="L601" s="25" t="str">
        <f>IFERROR(VLOOKUP(tbl_clean_sales[[#This Row],[Employee_ID]],'02_Employee_Master'!$A$1:$C$12,3,FALSE),"Department Name Missing")</f>
        <v>Sales</v>
      </c>
      <c r="M601" s="25" t="str">
        <f>IF('03_Clean_data'!D601="","Missing",IFERROR(IF(VLOOKUP(D601,'03_Product_Master'!$A$1:$D$14,1,FALSE)='03_Clean_data'!D601,"Valid","Invalid"),"Invalid"))</f>
        <v>Valid</v>
      </c>
      <c r="N601" s="25" t="str">
        <f>IFERROR(VLOOKUP(tbl_clean_sales[[#This Row],[Product_ID]],'03_Product_Master'!$A$1:$D$14,2,FALSE),"Missing")</f>
        <v>Green Tea</v>
      </c>
      <c r="O601" s="25" t="str">
        <f>IFERROR(VLOOKUP(tbl_clean_sales[[#This Row],[Product_ID]],'03_Product_Master'!$A$1:$D$14,3,FALSE),"Missing")</f>
        <v>Beverages</v>
      </c>
      <c r="P601" s="25">
        <f>IFERROR(VLOOKUP(tbl_clean_sales[[#This Row],[Product_ID]],'03_Product_Master'!$A$1:$D$14,4,FALSE),"Missing")</f>
        <v>280</v>
      </c>
      <c r="Q601" s="25" t="str">
        <f>IF('03_Clean_data'!E601="","Missing",IFERROR(IF(VLOOKUP(E601,'04_Branch_Master'!$A$1:$C$7,1,FALSE)='03_Clean_data'!E601,"Valid","Invalid"),"Invalid"))</f>
        <v>Valid</v>
      </c>
      <c r="R601" s="25" t="str">
        <f>IFERROR(VLOOKUP(tbl_clean_sales[[#This Row],[Branch_ID]],'04_Branch_Master'!$A$1:$C$7,2,FALSE),"Missing")</f>
        <v>Palladam</v>
      </c>
      <c r="S601" s="25" t="str">
        <f>IFERROR(VLOOKUP(tbl_clean_sales[[#This Row],[Branch_ID]],'04_Branch_Master'!$A$1:$C$7,3,FALSE),"Missing")</f>
        <v>South</v>
      </c>
      <c r="T601" s="25" t="str">
        <f>C601&amp;"|"&amp;TEXT(tbl_clean_sales[[#This Row],[Date]],"yyyymm")</f>
        <v>E005|202605</v>
      </c>
      <c r="U601" s="25">
        <f>IFERROR(INDEX('05_Target_Master'!$A$1:$F$32,MATCH(tbl_clean_sales[[#This Row],[target key]],'05_Target_Master'!$F$1:$F$32,0),3),"Missing")</f>
        <v>143700</v>
      </c>
    </row>
    <row r="602" spans="1:21" x14ac:dyDescent="0.3">
      <c r="A602" s="21">
        <v>46133</v>
      </c>
      <c r="B602" s="22" t="s">
        <v>636</v>
      </c>
      <c r="C602" s="22" t="s">
        <v>21</v>
      </c>
      <c r="D602" s="22" t="s">
        <v>13</v>
      </c>
      <c r="E602" s="22" t="s">
        <v>22</v>
      </c>
      <c r="F602" s="22">
        <v>6</v>
      </c>
      <c r="G602" s="23">
        <v>2173.1999999999998</v>
      </c>
      <c r="H602" s="25" t="str">
        <f>IF(COUNTIF(tbl_clean_sales[Invoice_ID],tbl_clean_sales[[#This Row],[Invoice_ID]])&gt;1,"Duplicate","Unique")</f>
        <v>Unique</v>
      </c>
      <c r="I602" s="25"/>
      <c r="J60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2" s="25" t="str">
        <f>IFERROR(VLOOKUP(tbl_clean_sales[[#This Row],[Employee_ID]],'02_Employee_Master'!$A$1:$C$12,2,FALSE),"Employee Name Missing")</f>
        <v>Priya S</v>
      </c>
      <c r="L602" s="25" t="str">
        <f>IFERROR(VLOOKUP(tbl_clean_sales[[#This Row],[Employee_ID]],'02_Employee_Master'!$A$1:$C$12,3,FALSE),"Department Name Missing")</f>
        <v>Sales</v>
      </c>
      <c r="M602" s="25" t="str">
        <f>IF('03_Clean_data'!D602="","Missing",IFERROR(IF(VLOOKUP(D602,'03_Product_Master'!$A$1:$D$14,1,FALSE)='03_Clean_data'!D602,"Valid","Invalid"),"Invalid"))</f>
        <v>Valid</v>
      </c>
      <c r="N602" s="25" t="str">
        <f>IFERROR(VLOOKUP(tbl_clean_sales[[#This Row],[Product_ID]],'03_Product_Master'!$A$1:$D$14,2,FALSE),"Missing")</f>
        <v>Body Lotion</v>
      </c>
      <c r="O602" s="25" t="str">
        <f>IFERROR(VLOOKUP(tbl_clean_sales[[#This Row],[Product_ID]],'03_Product_Master'!$A$1:$D$14,3,FALSE),"Missing")</f>
        <v>Personal Care</v>
      </c>
      <c r="P602" s="25">
        <f>IFERROR(VLOOKUP(tbl_clean_sales[[#This Row],[Product_ID]],'03_Product_Master'!$A$1:$D$14,4,FALSE),"Missing")</f>
        <v>390</v>
      </c>
      <c r="Q602" s="25" t="str">
        <f>IF('03_Clean_data'!E602="","Missing",IFERROR(IF(VLOOKUP(E602,'04_Branch_Master'!$A$1:$C$7,1,FALSE)='03_Clean_data'!E602,"Valid","Invalid"),"Invalid"))</f>
        <v>Valid</v>
      </c>
      <c r="R602" s="25" t="str">
        <f>IFERROR(VLOOKUP(tbl_clean_sales[[#This Row],[Branch_ID]],'04_Branch_Master'!$A$1:$C$7,2,FALSE),"Missing")</f>
        <v>Tirupur Central</v>
      </c>
      <c r="S602" s="25" t="str">
        <f>IFERROR(VLOOKUP(tbl_clean_sales[[#This Row],[Branch_ID]],'04_Branch_Master'!$A$1:$C$7,3,FALSE),"Missing")</f>
        <v>North</v>
      </c>
      <c r="T602" s="25" t="str">
        <f>C602&amp;"|"&amp;TEXT(tbl_clean_sales[[#This Row],[Date]],"yyyymm")</f>
        <v>E002|202604</v>
      </c>
      <c r="U602" s="25">
        <f>IFERROR(INDEX('05_Target_Master'!$A$1:$F$32,MATCH(tbl_clean_sales[[#This Row],[target key]],'05_Target_Master'!$F$1:$F$32,0),3),"Missing")</f>
        <v>122300</v>
      </c>
    </row>
    <row r="603" spans="1:21" x14ac:dyDescent="0.3">
      <c r="A603" s="21">
        <v>46191</v>
      </c>
      <c r="B603" s="22" t="s">
        <v>637</v>
      </c>
      <c r="C603" s="22" t="s">
        <v>38</v>
      </c>
      <c r="D603" s="22" t="s">
        <v>19</v>
      </c>
      <c r="E603" s="22" t="s">
        <v>32</v>
      </c>
      <c r="F603" s="22">
        <v>11</v>
      </c>
      <c r="G603" s="23">
        <v>2479.91</v>
      </c>
      <c r="H603" s="25" t="str">
        <f>IF(COUNTIF(tbl_clean_sales[Invoice_ID],tbl_clean_sales[[#This Row],[Invoice_ID]])&gt;1,"Duplicate","Unique")</f>
        <v>Unique</v>
      </c>
      <c r="I603" s="25"/>
      <c r="J60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3" s="25" t="str">
        <f>IFERROR(VLOOKUP(tbl_clean_sales[[#This Row],[Employee_ID]],'02_Employee_Master'!$A$1:$C$12,2,FALSE),"Employee Name Missing")</f>
        <v>Nandhini K</v>
      </c>
      <c r="L603" s="25" t="str">
        <f>IFERROR(VLOOKUP(tbl_clean_sales[[#This Row],[Employee_ID]],'02_Employee_Master'!$A$1:$C$12,3,FALSE),"Department Name Missing")</f>
        <v>Sales</v>
      </c>
      <c r="M603" s="25" t="str">
        <f>IF('03_Clean_data'!D603="","Missing",IFERROR(IF(VLOOKUP(D603,'03_Product_Master'!$A$1:$D$14,1,FALSE)='03_Clean_data'!D603,"Valid","Invalid"),"Invalid"))</f>
        <v>Valid</v>
      </c>
      <c r="N603" s="25" t="str">
        <f>IFERROR(VLOOKUP(tbl_clean_sales[[#This Row],[Product_ID]],'03_Product_Master'!$A$1:$D$14,2,FALSE),"Missing")</f>
        <v>Floor Cleaner</v>
      </c>
      <c r="O603" s="25" t="str">
        <f>IFERROR(VLOOKUP(tbl_clean_sales[[#This Row],[Product_ID]],'03_Product_Master'!$A$1:$D$14,3,FALSE),"Missing")</f>
        <v>Home Care</v>
      </c>
      <c r="P603" s="25">
        <f>IFERROR(VLOOKUP(tbl_clean_sales[[#This Row],[Product_ID]],'03_Product_Master'!$A$1:$D$14,4,FALSE),"Missing")</f>
        <v>230</v>
      </c>
      <c r="Q603" s="25" t="str">
        <f>IF('03_Clean_data'!E603="","Missing",IFERROR(IF(VLOOKUP(E603,'04_Branch_Master'!$A$1:$C$7,1,FALSE)='03_Clean_data'!E603,"Valid","Invalid"),"Invalid"))</f>
        <v>Valid</v>
      </c>
      <c r="R603" s="25" t="str">
        <f>IFERROR(VLOOKUP(tbl_clean_sales[[#This Row],[Branch_ID]],'04_Branch_Master'!$A$1:$C$7,2,FALSE),"Missing")</f>
        <v>Kangeyam</v>
      </c>
      <c r="S603" s="25" t="str">
        <f>IFERROR(VLOOKUP(tbl_clean_sales[[#This Row],[Branch_ID]],'04_Branch_Master'!$A$1:$C$7,3,FALSE),"Missing")</f>
        <v>East</v>
      </c>
      <c r="T603" s="25" t="str">
        <f>C603&amp;"|"&amp;TEXT(tbl_clean_sales[[#This Row],[Date]],"yyyymm")</f>
        <v>E008|202606</v>
      </c>
      <c r="U603" s="25">
        <f>IFERROR(INDEX('05_Target_Master'!$A$1:$F$32,MATCH(tbl_clean_sales[[#This Row],[target key]],'05_Target_Master'!$F$1:$F$32,0),3),"Missing")</f>
        <v>119200</v>
      </c>
    </row>
    <row r="604" spans="1:21" x14ac:dyDescent="0.3">
      <c r="A604" s="21">
        <v>46168</v>
      </c>
      <c r="B604" s="22" t="s">
        <v>638</v>
      </c>
      <c r="C604" s="22" t="s">
        <v>18</v>
      </c>
      <c r="D604" s="22" t="s">
        <v>25</v>
      </c>
      <c r="E604" s="22" t="s">
        <v>14</v>
      </c>
      <c r="F604" s="22">
        <v>4</v>
      </c>
      <c r="G604" s="23">
        <v>1483.56</v>
      </c>
      <c r="H604" s="25" t="str">
        <f>IF(COUNTIF(tbl_clean_sales[Invoice_ID],tbl_clean_sales[[#This Row],[Invoice_ID]])&gt;1,"Duplicate","Unique")</f>
        <v>Unique</v>
      </c>
      <c r="I604" s="25"/>
      <c r="J60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4" s="25" t="str">
        <f>IFERROR(VLOOKUP(tbl_clean_sales[[#This Row],[Employee_ID]],'02_Employee_Master'!$A$1:$C$12,2,FALSE),"Employee Name Missing")</f>
        <v>Rahul M</v>
      </c>
      <c r="L604" s="25" t="str">
        <f>IFERROR(VLOOKUP(tbl_clean_sales[[#This Row],[Employee_ID]],'02_Employee_Master'!$A$1:$C$12,3,FALSE),"Department Name Missing")</f>
        <v>Sales</v>
      </c>
      <c r="M604" s="25" t="str">
        <f>IF('03_Clean_data'!D604="","Missing",IFERROR(IF(VLOOKUP(D604,'03_Product_Master'!$A$1:$D$14,1,FALSE)='03_Clean_data'!D604,"Valid","Invalid"),"Invalid"))</f>
        <v>Valid</v>
      </c>
      <c r="N604" s="25" t="str">
        <f>IFERROR(VLOOKUP(tbl_clean_sales[[#This Row],[Product_ID]],'03_Product_Master'!$A$1:$D$14,2,FALSE),"Missing")</f>
        <v>Premium Coffee</v>
      </c>
      <c r="O604" s="25" t="str">
        <f>IFERROR(VLOOKUP(tbl_clean_sales[[#This Row],[Product_ID]],'03_Product_Master'!$A$1:$D$14,3,FALSE),"Missing")</f>
        <v>Beverages</v>
      </c>
      <c r="P604" s="25">
        <f>IFERROR(VLOOKUP(tbl_clean_sales[[#This Row],[Product_ID]],'03_Product_Master'!$A$1:$D$14,4,FALSE),"Missing")</f>
        <v>420</v>
      </c>
      <c r="Q604" s="25" t="str">
        <f>IF('03_Clean_data'!E604="","Missing",IFERROR(IF(VLOOKUP(E604,'04_Branch_Master'!$A$1:$C$7,1,FALSE)='03_Clean_data'!E604,"Valid","Invalid"),"Invalid"))</f>
        <v>Valid</v>
      </c>
      <c r="R604" s="25" t="str">
        <f>IFERROR(VLOOKUP(tbl_clean_sales[[#This Row],[Branch_ID]],'04_Branch_Master'!$A$1:$C$7,2,FALSE),"Missing")</f>
        <v>Avinashi Road</v>
      </c>
      <c r="S604" s="25" t="str">
        <f>IFERROR(VLOOKUP(tbl_clean_sales[[#This Row],[Branch_ID]],'04_Branch_Master'!$A$1:$C$7,3,FALSE),"Missing")</f>
        <v>North</v>
      </c>
      <c r="T604" s="25" t="str">
        <f>C604&amp;"|"&amp;TEXT(tbl_clean_sales[[#This Row],[Date]],"yyyymm")</f>
        <v>E003|202605</v>
      </c>
      <c r="U604" s="25">
        <f>IFERROR(INDEX('05_Target_Master'!$A$1:$F$32,MATCH(tbl_clean_sales[[#This Row],[target key]],'05_Target_Master'!$F$1:$F$32,0),3),"Missing")</f>
        <v>126000</v>
      </c>
    </row>
    <row r="605" spans="1:21" x14ac:dyDescent="0.3">
      <c r="A605" s="21">
        <v>46165</v>
      </c>
      <c r="B605" s="22" t="s">
        <v>639</v>
      </c>
      <c r="C605" s="22" t="s">
        <v>8</v>
      </c>
      <c r="D605" s="22" t="s">
        <v>19</v>
      </c>
      <c r="E605" s="22" t="s">
        <v>10</v>
      </c>
      <c r="F605" s="22">
        <v>5</v>
      </c>
      <c r="G605" s="23">
        <v>1058.8399999999999</v>
      </c>
      <c r="H605" s="25" t="str">
        <f>IF(COUNTIF(tbl_clean_sales[Invoice_ID],tbl_clean_sales[[#This Row],[Invoice_ID]])&gt;1,"Duplicate","Unique")</f>
        <v>Unique</v>
      </c>
      <c r="I605" s="25"/>
      <c r="J60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5" s="25" t="str">
        <f>IFERROR(VLOOKUP(tbl_clean_sales[[#This Row],[Employee_ID]],'02_Employee_Master'!$A$1:$C$12,2,FALSE),"Employee Name Missing")</f>
        <v>Vignesh R</v>
      </c>
      <c r="L605" s="25" t="str">
        <f>IFERROR(VLOOKUP(tbl_clean_sales[[#This Row],[Employee_ID]],'02_Employee_Master'!$A$1:$C$12,3,FALSE),"Department Name Missing")</f>
        <v>Sales</v>
      </c>
      <c r="M605" s="25" t="str">
        <f>IF('03_Clean_data'!D605="","Missing",IFERROR(IF(VLOOKUP(D605,'03_Product_Master'!$A$1:$D$14,1,FALSE)='03_Clean_data'!D605,"Valid","Invalid"),"Invalid"))</f>
        <v>Valid</v>
      </c>
      <c r="N605" s="25" t="str">
        <f>IFERROR(VLOOKUP(tbl_clean_sales[[#This Row],[Product_ID]],'03_Product_Master'!$A$1:$D$14,2,FALSE),"Missing")</f>
        <v>Floor Cleaner</v>
      </c>
      <c r="O605" s="25" t="str">
        <f>IFERROR(VLOOKUP(tbl_clean_sales[[#This Row],[Product_ID]],'03_Product_Master'!$A$1:$D$14,3,FALSE),"Missing")</f>
        <v>Home Care</v>
      </c>
      <c r="P605" s="25">
        <f>IFERROR(VLOOKUP(tbl_clean_sales[[#This Row],[Product_ID]],'03_Product_Master'!$A$1:$D$14,4,FALSE),"Missing")</f>
        <v>230</v>
      </c>
      <c r="Q605" s="25" t="str">
        <f>IF('03_Clean_data'!E605="","Missing",IFERROR(IF(VLOOKUP(E605,'04_Branch_Master'!$A$1:$C$7,1,FALSE)='03_Clean_data'!E605,"Valid","Invalid"),"Invalid"))</f>
        <v>Valid</v>
      </c>
      <c r="R605" s="25" t="str">
        <f>IFERROR(VLOOKUP(tbl_clean_sales[[#This Row],[Branch_ID]],'04_Branch_Master'!$A$1:$C$7,2,FALSE),"Missing")</f>
        <v>Dharapuram</v>
      </c>
      <c r="S605" s="25" t="str">
        <f>IFERROR(VLOOKUP(tbl_clean_sales[[#This Row],[Branch_ID]],'04_Branch_Master'!$A$1:$C$7,3,FALSE),"Missing")</f>
        <v>South</v>
      </c>
      <c r="T605" s="25" t="str">
        <f>C605&amp;"|"&amp;TEXT(tbl_clean_sales[[#This Row],[Date]],"yyyymm")</f>
        <v>E009|202605</v>
      </c>
      <c r="U605" s="25">
        <f>IFERROR(INDEX('05_Target_Master'!$A$1:$F$32,MATCH(tbl_clean_sales[[#This Row],[target key]],'05_Target_Master'!$F$1:$F$32,0),3),"Missing")</f>
        <v>176300</v>
      </c>
    </row>
    <row r="606" spans="1:21" x14ac:dyDescent="0.3">
      <c r="A606" s="21">
        <v>46151</v>
      </c>
      <c r="B606" s="22" t="s">
        <v>640</v>
      </c>
      <c r="C606" s="22" t="s">
        <v>12</v>
      </c>
      <c r="D606" s="22" t="s">
        <v>9</v>
      </c>
      <c r="E606" s="22" t="s">
        <v>14</v>
      </c>
      <c r="F606" s="22">
        <v>10</v>
      </c>
      <c r="G606" s="23">
        <v>2615.31</v>
      </c>
      <c r="H606" s="25" t="str">
        <f>IF(COUNTIF(tbl_clean_sales[Invoice_ID],tbl_clean_sales[[#This Row],[Invoice_ID]])&gt;1,"Duplicate","Unique")</f>
        <v>Unique</v>
      </c>
      <c r="I606" s="25"/>
      <c r="J60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6" s="25" t="str">
        <f>IFERROR(VLOOKUP(tbl_clean_sales[[#This Row],[Employee_ID]],'02_Employee_Master'!$A$1:$C$12,2,FALSE),"Employee Name Missing")</f>
        <v>Divya R</v>
      </c>
      <c r="L606" s="25" t="str">
        <f>IFERROR(VLOOKUP(tbl_clean_sales[[#This Row],[Employee_ID]],'02_Employee_Master'!$A$1:$C$12,3,FALSE),"Department Name Missing")</f>
        <v>Sales</v>
      </c>
      <c r="M606" s="25" t="str">
        <f>IF('03_Clean_data'!D606="","Missing",IFERROR(IF(VLOOKUP(D606,'03_Product_Master'!$A$1:$D$14,1,FALSE)='03_Clean_data'!D606,"Valid","Invalid"),"Invalid"))</f>
        <v>Valid</v>
      </c>
      <c r="N606" s="25" t="str">
        <f>IFERROR(VLOOKUP(tbl_clean_sales[[#This Row],[Product_ID]],'03_Product_Master'!$A$1:$D$14,2,FALSE),"Missing")</f>
        <v>Green Tea</v>
      </c>
      <c r="O606" s="25" t="str">
        <f>IFERROR(VLOOKUP(tbl_clean_sales[[#This Row],[Product_ID]],'03_Product_Master'!$A$1:$D$14,3,FALSE),"Missing")</f>
        <v>Beverages</v>
      </c>
      <c r="P606" s="25">
        <f>IFERROR(VLOOKUP(tbl_clean_sales[[#This Row],[Product_ID]],'03_Product_Master'!$A$1:$D$14,4,FALSE),"Missing")</f>
        <v>280</v>
      </c>
      <c r="Q606" s="25" t="str">
        <f>IF('03_Clean_data'!E606="","Missing",IFERROR(IF(VLOOKUP(E606,'04_Branch_Master'!$A$1:$C$7,1,FALSE)='03_Clean_data'!E606,"Valid","Invalid"),"Invalid"))</f>
        <v>Valid</v>
      </c>
      <c r="R606" s="25" t="str">
        <f>IFERROR(VLOOKUP(tbl_clean_sales[[#This Row],[Branch_ID]],'04_Branch_Master'!$A$1:$C$7,2,FALSE),"Missing")</f>
        <v>Avinashi Road</v>
      </c>
      <c r="S606" s="25" t="str">
        <f>IFERROR(VLOOKUP(tbl_clean_sales[[#This Row],[Branch_ID]],'04_Branch_Master'!$A$1:$C$7,3,FALSE),"Missing")</f>
        <v>North</v>
      </c>
      <c r="T606" s="25" t="str">
        <f>C606&amp;"|"&amp;TEXT(tbl_clean_sales[[#This Row],[Date]],"yyyymm")</f>
        <v>E004|202605</v>
      </c>
      <c r="U606" s="25">
        <f>IFERROR(INDEX('05_Target_Master'!$A$1:$F$32,MATCH(tbl_clean_sales[[#This Row],[target key]],'05_Target_Master'!$F$1:$F$32,0),3),"Missing")</f>
        <v>176700</v>
      </c>
    </row>
    <row r="607" spans="1:21" x14ac:dyDescent="0.3">
      <c r="A607" s="21">
        <v>46175</v>
      </c>
      <c r="B607" s="22" t="s">
        <v>641</v>
      </c>
      <c r="C607" s="22" t="s">
        <v>18</v>
      </c>
      <c r="D607" s="22" t="s">
        <v>25</v>
      </c>
      <c r="E607" s="22" t="s">
        <v>14</v>
      </c>
      <c r="F607" s="22">
        <v>7</v>
      </c>
      <c r="G607" s="23">
        <v>2909.08</v>
      </c>
      <c r="H607" s="25" t="str">
        <f>IF(COUNTIF(tbl_clean_sales[Invoice_ID],tbl_clean_sales[[#This Row],[Invoice_ID]])&gt;1,"Duplicate","Unique")</f>
        <v>Unique</v>
      </c>
      <c r="I607" s="25"/>
      <c r="J60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7" s="25" t="str">
        <f>IFERROR(VLOOKUP(tbl_clean_sales[[#This Row],[Employee_ID]],'02_Employee_Master'!$A$1:$C$12,2,FALSE),"Employee Name Missing")</f>
        <v>Rahul M</v>
      </c>
      <c r="L607" s="25" t="str">
        <f>IFERROR(VLOOKUP(tbl_clean_sales[[#This Row],[Employee_ID]],'02_Employee_Master'!$A$1:$C$12,3,FALSE),"Department Name Missing")</f>
        <v>Sales</v>
      </c>
      <c r="M607" s="25" t="str">
        <f>IF('03_Clean_data'!D607="","Missing",IFERROR(IF(VLOOKUP(D607,'03_Product_Master'!$A$1:$D$14,1,FALSE)='03_Clean_data'!D607,"Valid","Invalid"),"Invalid"))</f>
        <v>Valid</v>
      </c>
      <c r="N607" s="25" t="str">
        <f>IFERROR(VLOOKUP(tbl_clean_sales[[#This Row],[Product_ID]],'03_Product_Master'!$A$1:$D$14,2,FALSE),"Missing")</f>
        <v>Premium Coffee</v>
      </c>
      <c r="O607" s="25" t="str">
        <f>IFERROR(VLOOKUP(tbl_clean_sales[[#This Row],[Product_ID]],'03_Product_Master'!$A$1:$D$14,3,FALSE),"Missing")</f>
        <v>Beverages</v>
      </c>
      <c r="P607" s="25">
        <f>IFERROR(VLOOKUP(tbl_clean_sales[[#This Row],[Product_ID]],'03_Product_Master'!$A$1:$D$14,4,FALSE),"Missing")</f>
        <v>420</v>
      </c>
      <c r="Q607" s="25" t="str">
        <f>IF('03_Clean_data'!E607="","Missing",IFERROR(IF(VLOOKUP(E607,'04_Branch_Master'!$A$1:$C$7,1,FALSE)='03_Clean_data'!E607,"Valid","Invalid"),"Invalid"))</f>
        <v>Valid</v>
      </c>
      <c r="R607" s="25" t="str">
        <f>IFERROR(VLOOKUP(tbl_clean_sales[[#This Row],[Branch_ID]],'04_Branch_Master'!$A$1:$C$7,2,FALSE),"Missing")</f>
        <v>Avinashi Road</v>
      </c>
      <c r="S607" s="25" t="str">
        <f>IFERROR(VLOOKUP(tbl_clean_sales[[#This Row],[Branch_ID]],'04_Branch_Master'!$A$1:$C$7,3,FALSE),"Missing")</f>
        <v>North</v>
      </c>
      <c r="T607" s="25" t="str">
        <f>C607&amp;"|"&amp;TEXT(tbl_clean_sales[[#This Row],[Date]],"yyyymm")</f>
        <v>E003|202606</v>
      </c>
      <c r="U607" s="25">
        <f>IFERROR(INDEX('05_Target_Master'!$A$1:$F$32,MATCH(tbl_clean_sales[[#This Row],[target key]],'05_Target_Master'!$F$1:$F$32,0),3),"Missing")</f>
        <v>112000</v>
      </c>
    </row>
    <row r="608" spans="1:21" x14ac:dyDescent="0.3">
      <c r="A608" s="21">
        <v>46197</v>
      </c>
      <c r="B608" s="22" t="s">
        <v>642</v>
      </c>
      <c r="C608" s="22" t="s">
        <v>29</v>
      </c>
      <c r="D608" s="22" t="s">
        <v>48</v>
      </c>
      <c r="E608" s="22" t="s">
        <v>10</v>
      </c>
      <c r="F608" s="22">
        <v>1</v>
      </c>
      <c r="G608" s="23">
        <v>253.54</v>
      </c>
      <c r="H608" s="25" t="str">
        <f>IF(COUNTIF(tbl_clean_sales[Invoice_ID],tbl_clean_sales[[#This Row],[Invoice_ID]])&gt;1,"Duplicate","Unique")</f>
        <v>Unique</v>
      </c>
      <c r="I608" s="25"/>
      <c r="J60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8" s="25" t="str">
        <f>IFERROR(VLOOKUP(tbl_clean_sales[[#This Row],[Employee_ID]],'02_Employee_Master'!$A$1:$C$12,2,FALSE),"Employee Name Missing")</f>
        <v>Swetha L</v>
      </c>
      <c r="L608" s="25" t="str">
        <f>IFERROR(VLOOKUP(tbl_clean_sales[[#This Row],[Employee_ID]],'02_Employee_Master'!$A$1:$C$12,3,FALSE),"Department Name Missing")</f>
        <v>Sales</v>
      </c>
      <c r="M608" s="25" t="str">
        <f>IF('03_Clean_data'!D608="","Missing",IFERROR(IF(VLOOKUP(D608,'03_Product_Master'!$A$1:$D$14,1,FALSE)='03_Clean_data'!D608,"Valid","Invalid"),"Invalid"))</f>
        <v>Valid</v>
      </c>
      <c r="N608" s="25" t="str">
        <f>IFERROR(VLOOKUP(tbl_clean_sales[[#This Row],[Product_ID]],'03_Product_Master'!$A$1:$D$14,2,FALSE),"Missing")</f>
        <v>Face Wash</v>
      </c>
      <c r="O608" s="25" t="str">
        <f>IFERROR(VLOOKUP(tbl_clean_sales[[#This Row],[Product_ID]],'03_Product_Master'!$A$1:$D$14,3,FALSE),"Missing")</f>
        <v>Personal Care</v>
      </c>
      <c r="P608" s="25">
        <f>IFERROR(VLOOKUP(tbl_clean_sales[[#This Row],[Product_ID]],'03_Product_Master'!$A$1:$D$14,4,FALSE),"Missing")</f>
        <v>260</v>
      </c>
      <c r="Q608" s="25" t="str">
        <f>IF('03_Clean_data'!E608="","Missing",IFERROR(IF(VLOOKUP(E608,'04_Branch_Master'!$A$1:$C$7,1,FALSE)='03_Clean_data'!E608,"Valid","Invalid"),"Invalid"))</f>
        <v>Valid</v>
      </c>
      <c r="R608" s="25" t="str">
        <f>IFERROR(VLOOKUP(tbl_clean_sales[[#This Row],[Branch_ID]],'04_Branch_Master'!$A$1:$C$7,2,FALSE),"Missing")</f>
        <v>Dharapuram</v>
      </c>
      <c r="S608" s="25" t="str">
        <f>IFERROR(VLOOKUP(tbl_clean_sales[[#This Row],[Branch_ID]],'04_Branch_Master'!$A$1:$C$7,3,FALSE),"Missing")</f>
        <v>South</v>
      </c>
      <c r="T608" s="25" t="str">
        <f>C608&amp;"|"&amp;TEXT(tbl_clean_sales[[#This Row],[Date]],"yyyymm")</f>
        <v>E010|202606</v>
      </c>
      <c r="U608" s="25">
        <f>IFERROR(INDEX('05_Target_Master'!$A$1:$F$32,MATCH(tbl_clean_sales[[#This Row],[target key]],'05_Target_Master'!$F$1:$F$32,0),3),"Missing")</f>
        <v>116800</v>
      </c>
    </row>
    <row r="609" spans="1:21" x14ac:dyDescent="0.3">
      <c r="A609" s="21">
        <v>46194</v>
      </c>
      <c r="B609" s="22" t="s">
        <v>643</v>
      </c>
      <c r="C609" s="22" t="s">
        <v>24</v>
      </c>
      <c r="D609" s="22" t="s">
        <v>9</v>
      </c>
      <c r="E609" s="22" t="s">
        <v>26</v>
      </c>
      <c r="F609" s="22">
        <v>2</v>
      </c>
      <c r="G609" s="23">
        <v>539.28</v>
      </c>
      <c r="H609" s="25" t="str">
        <f>IF(COUNTIF(tbl_clean_sales[Invoice_ID],tbl_clean_sales[[#This Row],[Invoice_ID]])&gt;1,"Duplicate","Unique")</f>
        <v>Unique</v>
      </c>
      <c r="I609" s="25"/>
      <c r="J60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09" s="25" t="str">
        <f>IFERROR(VLOOKUP(tbl_clean_sales[[#This Row],[Employee_ID]],'02_Employee_Master'!$A$1:$C$12,2,FALSE),"Employee Name Missing")</f>
        <v>Karthik P</v>
      </c>
      <c r="L609" s="25" t="str">
        <f>IFERROR(VLOOKUP(tbl_clean_sales[[#This Row],[Employee_ID]],'02_Employee_Master'!$A$1:$C$12,3,FALSE),"Department Name Missing")</f>
        <v>Sales</v>
      </c>
      <c r="M609" s="25" t="str">
        <f>IF('03_Clean_data'!D609="","Missing",IFERROR(IF(VLOOKUP(D609,'03_Product_Master'!$A$1:$D$14,1,FALSE)='03_Clean_data'!D609,"Valid","Invalid"),"Invalid"))</f>
        <v>Valid</v>
      </c>
      <c r="N609" s="25" t="str">
        <f>IFERROR(VLOOKUP(tbl_clean_sales[[#This Row],[Product_ID]],'03_Product_Master'!$A$1:$D$14,2,FALSE),"Missing")</f>
        <v>Green Tea</v>
      </c>
      <c r="O609" s="25" t="str">
        <f>IFERROR(VLOOKUP(tbl_clean_sales[[#This Row],[Product_ID]],'03_Product_Master'!$A$1:$D$14,3,FALSE),"Missing")</f>
        <v>Beverages</v>
      </c>
      <c r="P609" s="25">
        <f>IFERROR(VLOOKUP(tbl_clean_sales[[#This Row],[Product_ID]],'03_Product_Master'!$A$1:$D$14,4,FALSE),"Missing")</f>
        <v>280</v>
      </c>
      <c r="Q609" s="25" t="str">
        <f>IF('03_Clean_data'!E609="","Missing",IFERROR(IF(VLOOKUP(E609,'04_Branch_Master'!$A$1:$C$7,1,FALSE)='03_Clean_data'!E609,"Valid","Invalid"),"Invalid"))</f>
        <v>Valid</v>
      </c>
      <c r="R609" s="25" t="str">
        <f>IFERROR(VLOOKUP(tbl_clean_sales[[#This Row],[Branch_ID]],'04_Branch_Master'!$A$1:$C$7,2,FALSE),"Missing")</f>
        <v>Palladam</v>
      </c>
      <c r="S609" s="25" t="str">
        <f>IFERROR(VLOOKUP(tbl_clean_sales[[#This Row],[Branch_ID]],'04_Branch_Master'!$A$1:$C$7,3,FALSE),"Missing")</f>
        <v>South</v>
      </c>
      <c r="T609" s="25" t="str">
        <f>C609&amp;"|"&amp;TEXT(tbl_clean_sales[[#This Row],[Date]],"yyyymm")</f>
        <v>E005|202606</v>
      </c>
      <c r="U609" s="25">
        <f>IFERROR(INDEX('05_Target_Master'!$A$1:$F$32,MATCH(tbl_clean_sales[[#This Row],[target key]],'05_Target_Master'!$F$1:$F$32,0),3),"Missing")</f>
        <v>127700</v>
      </c>
    </row>
    <row r="610" spans="1:21" x14ac:dyDescent="0.3">
      <c r="A610" s="21">
        <v>46163</v>
      </c>
      <c r="B610" s="22" t="s">
        <v>644</v>
      </c>
      <c r="C610" s="22" t="s">
        <v>38</v>
      </c>
      <c r="D610" s="22" t="s">
        <v>48</v>
      </c>
      <c r="E610" s="22" t="s">
        <v>26</v>
      </c>
      <c r="F610" s="22">
        <v>2</v>
      </c>
      <c r="G610" s="23">
        <v>479.95</v>
      </c>
      <c r="H610" s="25" t="str">
        <f>IF(COUNTIF(tbl_clean_sales[Invoice_ID],tbl_clean_sales[[#This Row],[Invoice_ID]])&gt;1,"Duplicate","Unique")</f>
        <v>Unique</v>
      </c>
      <c r="I610" s="25"/>
      <c r="J6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0" s="25" t="str">
        <f>IFERROR(VLOOKUP(tbl_clean_sales[[#This Row],[Employee_ID]],'02_Employee_Master'!$A$1:$C$12,2,FALSE),"Employee Name Missing")</f>
        <v>Nandhini K</v>
      </c>
      <c r="L610" s="25" t="str">
        <f>IFERROR(VLOOKUP(tbl_clean_sales[[#This Row],[Employee_ID]],'02_Employee_Master'!$A$1:$C$12,3,FALSE),"Department Name Missing")</f>
        <v>Sales</v>
      </c>
      <c r="M610" s="25" t="str">
        <f>IF('03_Clean_data'!D610="","Missing",IFERROR(IF(VLOOKUP(D610,'03_Product_Master'!$A$1:$D$14,1,FALSE)='03_Clean_data'!D610,"Valid","Invalid"),"Invalid"))</f>
        <v>Valid</v>
      </c>
      <c r="N610" s="25" t="str">
        <f>IFERROR(VLOOKUP(tbl_clean_sales[[#This Row],[Product_ID]],'03_Product_Master'!$A$1:$D$14,2,FALSE),"Missing")</f>
        <v>Face Wash</v>
      </c>
      <c r="O610" s="25" t="str">
        <f>IFERROR(VLOOKUP(tbl_clean_sales[[#This Row],[Product_ID]],'03_Product_Master'!$A$1:$D$14,3,FALSE),"Missing")</f>
        <v>Personal Care</v>
      </c>
      <c r="P610" s="25">
        <f>IFERROR(VLOOKUP(tbl_clean_sales[[#This Row],[Product_ID]],'03_Product_Master'!$A$1:$D$14,4,FALSE),"Missing")</f>
        <v>260</v>
      </c>
      <c r="Q610" s="25" t="str">
        <f>IF('03_Clean_data'!E610="","Missing",IFERROR(IF(VLOOKUP(E610,'04_Branch_Master'!$A$1:$C$7,1,FALSE)='03_Clean_data'!E610,"Valid","Invalid"),"Invalid"))</f>
        <v>Valid</v>
      </c>
      <c r="R610" s="25" t="str">
        <f>IFERROR(VLOOKUP(tbl_clean_sales[[#This Row],[Branch_ID]],'04_Branch_Master'!$A$1:$C$7,2,FALSE),"Missing")</f>
        <v>Palladam</v>
      </c>
      <c r="S610" s="25" t="str">
        <f>IFERROR(VLOOKUP(tbl_clean_sales[[#This Row],[Branch_ID]],'04_Branch_Master'!$A$1:$C$7,3,FALSE),"Missing")</f>
        <v>South</v>
      </c>
      <c r="T610" s="25" t="str">
        <f>C610&amp;"|"&amp;TEXT(tbl_clean_sales[[#This Row],[Date]],"yyyymm")</f>
        <v>E008|202605</v>
      </c>
      <c r="U610" s="25">
        <f>IFERROR(INDEX('05_Target_Master'!$A$1:$F$32,MATCH(tbl_clean_sales[[#This Row],[target key]],'05_Target_Master'!$F$1:$F$32,0),3),"Missing")</f>
        <v>134100</v>
      </c>
    </row>
    <row r="611" spans="1:21" x14ac:dyDescent="0.3">
      <c r="A611" s="21">
        <v>46162</v>
      </c>
      <c r="B611" s="22" t="s">
        <v>645</v>
      </c>
      <c r="C611" s="22" t="s">
        <v>18</v>
      </c>
      <c r="D611" s="22" t="s">
        <v>34</v>
      </c>
      <c r="E611" s="22" t="s">
        <v>26</v>
      </c>
      <c r="F611" s="22">
        <v>3</v>
      </c>
      <c r="G611" s="23">
        <v>312.35000000000002</v>
      </c>
      <c r="H611" s="25" t="str">
        <f>IF(COUNTIF(tbl_clean_sales[Invoice_ID],tbl_clean_sales[[#This Row],[Invoice_ID]])&gt;1,"Duplicate","Unique")</f>
        <v>Unique</v>
      </c>
      <c r="I611" s="25"/>
      <c r="J6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1" s="25" t="str">
        <f>IFERROR(VLOOKUP(tbl_clean_sales[[#This Row],[Employee_ID]],'02_Employee_Master'!$A$1:$C$12,2,FALSE),"Employee Name Missing")</f>
        <v>Rahul M</v>
      </c>
      <c r="L611" s="25" t="str">
        <f>IFERROR(VLOOKUP(tbl_clean_sales[[#This Row],[Employee_ID]],'02_Employee_Master'!$A$1:$C$12,3,FALSE),"Department Name Missing")</f>
        <v>Sales</v>
      </c>
      <c r="M611" s="25" t="str">
        <f>IF('03_Clean_data'!D611="","Missing",IFERROR(IF(VLOOKUP(D611,'03_Product_Master'!$A$1:$D$14,1,FALSE)='03_Clean_data'!D611,"Valid","Invalid"),"Invalid"))</f>
        <v>Valid</v>
      </c>
      <c r="N611" s="25" t="str">
        <f>IFERROR(VLOOKUP(tbl_clean_sales[[#This Row],[Product_ID]],'03_Product_Master'!$A$1:$D$14,2,FALSE),"Missing")</f>
        <v>Potato Chips</v>
      </c>
      <c r="O611" s="25" t="str">
        <f>IFERROR(VLOOKUP(tbl_clean_sales[[#This Row],[Product_ID]],'03_Product_Master'!$A$1:$D$14,3,FALSE),"Missing")</f>
        <v>Snacks</v>
      </c>
      <c r="P611" s="25">
        <f>IFERROR(VLOOKUP(tbl_clean_sales[[#This Row],[Product_ID]],'03_Product_Master'!$A$1:$D$14,4,FALSE),"Missing")</f>
        <v>110</v>
      </c>
      <c r="Q611" s="25" t="str">
        <f>IF('03_Clean_data'!E611="","Missing",IFERROR(IF(VLOOKUP(E611,'04_Branch_Master'!$A$1:$C$7,1,FALSE)='03_Clean_data'!E611,"Valid","Invalid"),"Invalid"))</f>
        <v>Valid</v>
      </c>
      <c r="R611" s="25" t="str">
        <f>IFERROR(VLOOKUP(tbl_clean_sales[[#This Row],[Branch_ID]],'04_Branch_Master'!$A$1:$C$7,2,FALSE),"Missing")</f>
        <v>Palladam</v>
      </c>
      <c r="S611" s="25" t="str">
        <f>IFERROR(VLOOKUP(tbl_clean_sales[[#This Row],[Branch_ID]],'04_Branch_Master'!$A$1:$C$7,3,FALSE),"Missing")</f>
        <v>South</v>
      </c>
      <c r="T611" s="25" t="str">
        <f>C611&amp;"|"&amp;TEXT(tbl_clean_sales[[#This Row],[Date]],"yyyymm")</f>
        <v>E003|202605</v>
      </c>
      <c r="U611" s="25">
        <f>IFERROR(INDEX('05_Target_Master'!$A$1:$F$32,MATCH(tbl_clean_sales[[#This Row],[target key]],'05_Target_Master'!$F$1:$F$32,0),3),"Missing")</f>
        <v>126000</v>
      </c>
    </row>
    <row r="612" spans="1:21" x14ac:dyDescent="0.3">
      <c r="A612" s="21">
        <v>46146</v>
      </c>
      <c r="B612" s="22" t="s">
        <v>646</v>
      </c>
      <c r="C612" s="22" t="s">
        <v>38</v>
      </c>
      <c r="D612" s="22" t="s">
        <v>48</v>
      </c>
      <c r="E612" s="22" t="s">
        <v>32</v>
      </c>
      <c r="F612" s="22">
        <v>5</v>
      </c>
      <c r="G612" s="23">
        <v>1211.98</v>
      </c>
      <c r="H612" s="25" t="str">
        <f>IF(COUNTIF(tbl_clean_sales[Invoice_ID],tbl_clean_sales[[#This Row],[Invoice_ID]])&gt;1,"Duplicate","Unique")</f>
        <v>Unique</v>
      </c>
      <c r="I612" s="25"/>
      <c r="J6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2" s="25" t="str">
        <f>IFERROR(VLOOKUP(tbl_clean_sales[[#This Row],[Employee_ID]],'02_Employee_Master'!$A$1:$C$12,2,FALSE),"Employee Name Missing")</f>
        <v>Nandhini K</v>
      </c>
      <c r="L612" s="25" t="str">
        <f>IFERROR(VLOOKUP(tbl_clean_sales[[#This Row],[Employee_ID]],'02_Employee_Master'!$A$1:$C$12,3,FALSE),"Department Name Missing")</f>
        <v>Sales</v>
      </c>
      <c r="M612" s="25" t="str">
        <f>IF('03_Clean_data'!D612="","Missing",IFERROR(IF(VLOOKUP(D612,'03_Product_Master'!$A$1:$D$14,1,FALSE)='03_Clean_data'!D612,"Valid","Invalid"),"Invalid"))</f>
        <v>Valid</v>
      </c>
      <c r="N612" s="25" t="str">
        <f>IFERROR(VLOOKUP(tbl_clean_sales[[#This Row],[Product_ID]],'03_Product_Master'!$A$1:$D$14,2,FALSE),"Missing")</f>
        <v>Face Wash</v>
      </c>
      <c r="O612" s="25" t="str">
        <f>IFERROR(VLOOKUP(tbl_clean_sales[[#This Row],[Product_ID]],'03_Product_Master'!$A$1:$D$14,3,FALSE),"Missing")</f>
        <v>Personal Care</v>
      </c>
      <c r="P612" s="25">
        <f>IFERROR(VLOOKUP(tbl_clean_sales[[#This Row],[Product_ID]],'03_Product_Master'!$A$1:$D$14,4,FALSE),"Missing")</f>
        <v>260</v>
      </c>
      <c r="Q612" s="25" t="str">
        <f>IF('03_Clean_data'!E612="","Missing",IFERROR(IF(VLOOKUP(E612,'04_Branch_Master'!$A$1:$C$7,1,FALSE)='03_Clean_data'!E612,"Valid","Invalid"),"Invalid"))</f>
        <v>Valid</v>
      </c>
      <c r="R612" s="25" t="str">
        <f>IFERROR(VLOOKUP(tbl_clean_sales[[#This Row],[Branch_ID]],'04_Branch_Master'!$A$1:$C$7,2,FALSE),"Missing")</f>
        <v>Kangeyam</v>
      </c>
      <c r="S612" s="25" t="str">
        <f>IFERROR(VLOOKUP(tbl_clean_sales[[#This Row],[Branch_ID]],'04_Branch_Master'!$A$1:$C$7,3,FALSE),"Missing")</f>
        <v>East</v>
      </c>
      <c r="T612" s="25" t="str">
        <f>C612&amp;"|"&amp;TEXT(tbl_clean_sales[[#This Row],[Date]],"yyyymm")</f>
        <v>E008|202605</v>
      </c>
      <c r="U612" s="25">
        <f>IFERROR(INDEX('05_Target_Master'!$A$1:$F$32,MATCH(tbl_clean_sales[[#This Row],[target key]],'05_Target_Master'!$F$1:$F$32,0),3),"Missing")</f>
        <v>134100</v>
      </c>
    </row>
    <row r="613" spans="1:21" x14ac:dyDescent="0.3">
      <c r="A613" s="21">
        <v>46132</v>
      </c>
      <c r="B613" s="22" t="s">
        <v>647</v>
      </c>
      <c r="C613" s="22" t="s">
        <v>21</v>
      </c>
      <c r="D613" s="22" t="s">
        <v>9</v>
      </c>
      <c r="E613" s="22" t="s">
        <v>22</v>
      </c>
      <c r="F613" s="22">
        <v>9</v>
      </c>
      <c r="G613" s="23">
        <v>2394.81</v>
      </c>
      <c r="H613" s="25" t="str">
        <f>IF(COUNTIF(tbl_clean_sales[Invoice_ID],tbl_clean_sales[[#This Row],[Invoice_ID]])&gt;1,"Duplicate","Unique")</f>
        <v>Unique</v>
      </c>
      <c r="I613" s="25"/>
      <c r="J6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3" s="25" t="str">
        <f>IFERROR(VLOOKUP(tbl_clean_sales[[#This Row],[Employee_ID]],'02_Employee_Master'!$A$1:$C$12,2,FALSE),"Employee Name Missing")</f>
        <v>Priya S</v>
      </c>
      <c r="L613" s="25" t="str">
        <f>IFERROR(VLOOKUP(tbl_clean_sales[[#This Row],[Employee_ID]],'02_Employee_Master'!$A$1:$C$12,3,FALSE),"Department Name Missing")</f>
        <v>Sales</v>
      </c>
      <c r="M613" s="25" t="str">
        <f>IF('03_Clean_data'!D613="","Missing",IFERROR(IF(VLOOKUP(D613,'03_Product_Master'!$A$1:$D$14,1,FALSE)='03_Clean_data'!D613,"Valid","Invalid"),"Invalid"))</f>
        <v>Valid</v>
      </c>
      <c r="N613" s="25" t="str">
        <f>IFERROR(VLOOKUP(tbl_clean_sales[[#This Row],[Product_ID]],'03_Product_Master'!$A$1:$D$14,2,FALSE),"Missing")</f>
        <v>Green Tea</v>
      </c>
      <c r="O613" s="25" t="str">
        <f>IFERROR(VLOOKUP(tbl_clean_sales[[#This Row],[Product_ID]],'03_Product_Master'!$A$1:$D$14,3,FALSE),"Missing")</f>
        <v>Beverages</v>
      </c>
      <c r="P613" s="25">
        <f>IFERROR(VLOOKUP(tbl_clean_sales[[#This Row],[Product_ID]],'03_Product_Master'!$A$1:$D$14,4,FALSE),"Missing")</f>
        <v>280</v>
      </c>
      <c r="Q613" s="25" t="str">
        <f>IF('03_Clean_data'!E613="","Missing",IFERROR(IF(VLOOKUP(E613,'04_Branch_Master'!$A$1:$C$7,1,FALSE)='03_Clean_data'!E613,"Valid","Invalid"),"Invalid"))</f>
        <v>Valid</v>
      </c>
      <c r="R613" s="25" t="str">
        <f>IFERROR(VLOOKUP(tbl_clean_sales[[#This Row],[Branch_ID]],'04_Branch_Master'!$A$1:$C$7,2,FALSE),"Missing")</f>
        <v>Tirupur Central</v>
      </c>
      <c r="S613" s="25" t="str">
        <f>IFERROR(VLOOKUP(tbl_clean_sales[[#This Row],[Branch_ID]],'04_Branch_Master'!$A$1:$C$7,3,FALSE),"Missing")</f>
        <v>North</v>
      </c>
      <c r="T613" s="25" t="str">
        <f>C613&amp;"|"&amp;TEXT(tbl_clean_sales[[#This Row],[Date]],"yyyymm")</f>
        <v>E002|202604</v>
      </c>
      <c r="U613" s="25">
        <f>IFERROR(INDEX('05_Target_Master'!$A$1:$F$32,MATCH(tbl_clean_sales[[#This Row],[target key]],'05_Target_Master'!$F$1:$F$32,0),3),"Missing")</f>
        <v>122300</v>
      </c>
    </row>
    <row r="614" spans="1:21" x14ac:dyDescent="0.3">
      <c r="A614" s="21">
        <v>46188</v>
      </c>
      <c r="B614" s="22" t="s">
        <v>648</v>
      </c>
      <c r="C614" s="22" t="s">
        <v>649</v>
      </c>
      <c r="D614" s="22" t="s">
        <v>13</v>
      </c>
      <c r="E614" s="22" t="s">
        <v>14</v>
      </c>
      <c r="F614" s="22">
        <v>7</v>
      </c>
      <c r="G614" s="23">
        <v>2461.89</v>
      </c>
      <c r="H614" s="25" t="str">
        <f>IF(COUNTIF(tbl_clean_sales[Invoice_ID],tbl_clean_sales[[#This Row],[Invoice_ID]])&gt;1,"Duplicate","Unique")</f>
        <v>Unique</v>
      </c>
      <c r="I614" s="25"/>
      <c r="J6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Invalid</v>
      </c>
      <c r="K614" s="25" t="str">
        <f>IFERROR(VLOOKUP(tbl_clean_sales[[#This Row],[Employee_ID]],'02_Employee_Master'!$A$1:$C$12,2,FALSE),"Employee Name Missing")</f>
        <v>Employee Name Missing</v>
      </c>
      <c r="L614" s="25" t="str">
        <f>IFERROR(VLOOKUP(tbl_clean_sales[[#This Row],[Employee_ID]],'02_Employee_Master'!$A$1:$C$12,3,FALSE),"Department Name Missing")</f>
        <v>Department Name Missing</v>
      </c>
      <c r="M614" s="25" t="str">
        <f>IF('03_Clean_data'!D614="","Missing",IFERROR(IF(VLOOKUP(D614,'03_Product_Master'!$A$1:$D$14,1,FALSE)='03_Clean_data'!D614,"Valid","Invalid"),"Invalid"))</f>
        <v>Valid</v>
      </c>
      <c r="N614" s="25" t="str">
        <f>IFERROR(VLOOKUP(tbl_clean_sales[[#This Row],[Product_ID]],'03_Product_Master'!$A$1:$D$14,2,FALSE),"Missing")</f>
        <v>Body Lotion</v>
      </c>
      <c r="O614" s="25" t="str">
        <f>IFERROR(VLOOKUP(tbl_clean_sales[[#This Row],[Product_ID]],'03_Product_Master'!$A$1:$D$14,3,FALSE),"Missing")</f>
        <v>Personal Care</v>
      </c>
      <c r="P614" s="25">
        <f>IFERROR(VLOOKUP(tbl_clean_sales[[#This Row],[Product_ID]],'03_Product_Master'!$A$1:$D$14,4,FALSE),"Missing")</f>
        <v>390</v>
      </c>
      <c r="Q614" s="25" t="str">
        <f>IF('03_Clean_data'!E614="","Missing",IFERROR(IF(VLOOKUP(E614,'04_Branch_Master'!$A$1:$C$7,1,FALSE)='03_Clean_data'!E614,"Valid","Invalid"),"Invalid"))</f>
        <v>Valid</v>
      </c>
      <c r="R614" s="25" t="str">
        <f>IFERROR(VLOOKUP(tbl_clean_sales[[#This Row],[Branch_ID]],'04_Branch_Master'!$A$1:$C$7,2,FALSE),"Missing")</f>
        <v>Avinashi Road</v>
      </c>
      <c r="S614" s="25" t="str">
        <f>IFERROR(VLOOKUP(tbl_clean_sales[[#This Row],[Branch_ID]],'04_Branch_Master'!$A$1:$C$7,3,FALSE),"Missing")</f>
        <v>North</v>
      </c>
      <c r="T614" s="25" t="str">
        <f>C614&amp;"|"&amp;TEXT(tbl_clean_sales[[#This Row],[Date]],"yyyymm")</f>
        <v>E000|202606</v>
      </c>
      <c r="U614" s="25" t="str">
        <f>IFERROR(INDEX('05_Target_Master'!$A$1:$F$32,MATCH(tbl_clean_sales[[#This Row],[target key]],'05_Target_Master'!$F$1:$F$32,0),3),"Missing")</f>
        <v>Missing</v>
      </c>
    </row>
    <row r="615" spans="1:21" x14ac:dyDescent="0.3">
      <c r="A615" s="21">
        <v>46166</v>
      </c>
      <c r="B615" s="22" t="s">
        <v>650</v>
      </c>
      <c r="C615" s="22" t="s">
        <v>8</v>
      </c>
      <c r="D615" s="22" t="s">
        <v>43</v>
      </c>
      <c r="E615" s="22" t="s">
        <v>32</v>
      </c>
      <c r="F615" s="22">
        <v>10</v>
      </c>
      <c r="G615" s="23">
        <v>3040.29</v>
      </c>
      <c r="H615" s="25" t="str">
        <f>IF(COUNTIF(tbl_clean_sales[Invoice_ID],tbl_clean_sales[[#This Row],[Invoice_ID]])&gt;1,"Duplicate","Unique")</f>
        <v>Unique</v>
      </c>
      <c r="I615" s="25"/>
      <c r="J6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5" s="25" t="str">
        <f>IFERROR(VLOOKUP(tbl_clean_sales[[#This Row],[Employee_ID]],'02_Employee_Master'!$A$1:$C$12,2,FALSE),"Employee Name Missing")</f>
        <v>Vignesh R</v>
      </c>
      <c r="L615" s="25" t="str">
        <f>IFERROR(VLOOKUP(tbl_clean_sales[[#This Row],[Employee_ID]],'02_Employee_Master'!$A$1:$C$12,3,FALSE),"Department Name Missing")</f>
        <v>Sales</v>
      </c>
      <c r="M615" s="25" t="str">
        <f>IF('03_Clean_data'!D615="","Missing",IFERROR(IF(VLOOKUP(D615,'03_Product_Master'!$A$1:$D$14,1,FALSE)='03_Clean_data'!D615,"Valid","Invalid"),"Invalid"))</f>
        <v>Valid</v>
      </c>
      <c r="N615" s="25" t="str">
        <f>IFERROR(VLOOKUP(tbl_clean_sales[[#This Row],[Product_ID]],'03_Product_Master'!$A$1:$D$14,2,FALSE),"Missing")</f>
        <v>Laundry Liquid</v>
      </c>
      <c r="O615" s="25" t="str">
        <f>IFERROR(VLOOKUP(tbl_clean_sales[[#This Row],[Product_ID]],'03_Product_Master'!$A$1:$D$14,3,FALSE),"Missing")</f>
        <v>Home Care</v>
      </c>
      <c r="P615" s="25">
        <f>IFERROR(VLOOKUP(tbl_clean_sales[[#This Row],[Product_ID]],'03_Product_Master'!$A$1:$D$14,4,FALSE),"Missing")</f>
        <v>340</v>
      </c>
      <c r="Q615" s="25" t="str">
        <f>IF('03_Clean_data'!E615="","Missing",IFERROR(IF(VLOOKUP(E615,'04_Branch_Master'!$A$1:$C$7,1,FALSE)='03_Clean_data'!E615,"Valid","Invalid"),"Invalid"))</f>
        <v>Valid</v>
      </c>
      <c r="R615" s="25" t="str">
        <f>IFERROR(VLOOKUP(tbl_clean_sales[[#This Row],[Branch_ID]],'04_Branch_Master'!$A$1:$C$7,2,FALSE),"Missing")</f>
        <v>Kangeyam</v>
      </c>
      <c r="S615" s="25" t="str">
        <f>IFERROR(VLOOKUP(tbl_clean_sales[[#This Row],[Branch_ID]],'04_Branch_Master'!$A$1:$C$7,3,FALSE),"Missing")</f>
        <v>East</v>
      </c>
      <c r="T615" s="25" t="str">
        <f>C615&amp;"|"&amp;TEXT(tbl_clean_sales[[#This Row],[Date]],"yyyymm")</f>
        <v>E009|202605</v>
      </c>
      <c r="U615" s="25">
        <f>IFERROR(INDEX('05_Target_Master'!$A$1:$F$32,MATCH(tbl_clean_sales[[#This Row],[target key]],'05_Target_Master'!$F$1:$F$32,0),3),"Missing")</f>
        <v>176300</v>
      </c>
    </row>
    <row r="616" spans="1:21" x14ac:dyDescent="0.3">
      <c r="A616" s="21">
        <v>46173</v>
      </c>
      <c r="B616" s="22" t="s">
        <v>651</v>
      </c>
      <c r="C616" s="22" t="s">
        <v>24</v>
      </c>
      <c r="D616" s="22" t="s">
        <v>9</v>
      </c>
      <c r="E616" s="22" t="s">
        <v>26</v>
      </c>
      <c r="F616" s="22">
        <v>12</v>
      </c>
      <c r="G616" s="23">
        <v>3346</v>
      </c>
      <c r="H616" s="25" t="str">
        <f>IF(COUNTIF(tbl_clean_sales[Invoice_ID],tbl_clean_sales[[#This Row],[Invoice_ID]])&gt;1,"Duplicate","Unique")</f>
        <v>Unique</v>
      </c>
      <c r="I616" s="25"/>
      <c r="J6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6" s="25" t="str">
        <f>IFERROR(VLOOKUP(tbl_clean_sales[[#This Row],[Employee_ID]],'02_Employee_Master'!$A$1:$C$12,2,FALSE),"Employee Name Missing")</f>
        <v>Karthik P</v>
      </c>
      <c r="L616" s="25" t="str">
        <f>IFERROR(VLOOKUP(tbl_clean_sales[[#This Row],[Employee_ID]],'02_Employee_Master'!$A$1:$C$12,3,FALSE),"Department Name Missing")</f>
        <v>Sales</v>
      </c>
      <c r="M616" s="25" t="str">
        <f>IF('03_Clean_data'!D616="","Missing",IFERROR(IF(VLOOKUP(D616,'03_Product_Master'!$A$1:$D$14,1,FALSE)='03_Clean_data'!D616,"Valid","Invalid"),"Invalid"))</f>
        <v>Valid</v>
      </c>
      <c r="N616" s="25" t="str">
        <f>IFERROR(VLOOKUP(tbl_clean_sales[[#This Row],[Product_ID]],'03_Product_Master'!$A$1:$D$14,2,FALSE),"Missing")</f>
        <v>Green Tea</v>
      </c>
      <c r="O616" s="25" t="str">
        <f>IFERROR(VLOOKUP(tbl_clean_sales[[#This Row],[Product_ID]],'03_Product_Master'!$A$1:$D$14,3,FALSE),"Missing")</f>
        <v>Beverages</v>
      </c>
      <c r="P616" s="25">
        <f>IFERROR(VLOOKUP(tbl_clean_sales[[#This Row],[Product_ID]],'03_Product_Master'!$A$1:$D$14,4,FALSE),"Missing")</f>
        <v>280</v>
      </c>
      <c r="Q616" s="25" t="str">
        <f>IF('03_Clean_data'!E616="","Missing",IFERROR(IF(VLOOKUP(E616,'04_Branch_Master'!$A$1:$C$7,1,FALSE)='03_Clean_data'!E616,"Valid","Invalid"),"Invalid"))</f>
        <v>Valid</v>
      </c>
      <c r="R616" s="25" t="str">
        <f>IFERROR(VLOOKUP(tbl_clean_sales[[#This Row],[Branch_ID]],'04_Branch_Master'!$A$1:$C$7,2,FALSE),"Missing")</f>
        <v>Palladam</v>
      </c>
      <c r="S616" s="25" t="str">
        <f>IFERROR(VLOOKUP(tbl_clean_sales[[#This Row],[Branch_ID]],'04_Branch_Master'!$A$1:$C$7,3,FALSE),"Missing")</f>
        <v>South</v>
      </c>
      <c r="T616" s="25" t="str">
        <f>C616&amp;"|"&amp;TEXT(tbl_clean_sales[[#This Row],[Date]],"yyyymm")</f>
        <v>E005|202605</v>
      </c>
      <c r="U616" s="25">
        <f>IFERROR(INDEX('05_Target_Master'!$A$1:$F$32,MATCH(tbl_clean_sales[[#This Row],[target key]],'05_Target_Master'!$F$1:$F$32,0),3),"Missing")</f>
        <v>143700</v>
      </c>
    </row>
    <row r="617" spans="1:21" x14ac:dyDescent="0.3">
      <c r="A617" s="21">
        <v>46186</v>
      </c>
      <c r="B617" s="22" t="s">
        <v>652</v>
      </c>
      <c r="C617" s="22" t="s">
        <v>8</v>
      </c>
      <c r="D617" s="22" t="s">
        <v>36</v>
      </c>
      <c r="E617" s="22" t="s">
        <v>10</v>
      </c>
      <c r="F617" s="22">
        <v>10</v>
      </c>
      <c r="G617" s="23">
        <v>1866.38</v>
      </c>
      <c r="H617" s="25" t="str">
        <f>IF(COUNTIF(tbl_clean_sales[Invoice_ID],tbl_clean_sales[[#This Row],[Invoice_ID]])&gt;1,"Duplicate","Unique")</f>
        <v>Unique</v>
      </c>
      <c r="I617" s="25"/>
      <c r="J6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7" s="25" t="str">
        <f>IFERROR(VLOOKUP(tbl_clean_sales[[#This Row],[Employee_ID]],'02_Employee_Master'!$A$1:$C$12,2,FALSE),"Employee Name Missing")</f>
        <v>Vignesh R</v>
      </c>
      <c r="L617" s="25" t="str">
        <f>IFERROR(VLOOKUP(tbl_clean_sales[[#This Row],[Employee_ID]],'02_Employee_Master'!$A$1:$C$12,3,FALSE),"Department Name Missing")</f>
        <v>Sales</v>
      </c>
      <c r="M617" s="25" t="str">
        <f>IF('03_Clean_data'!D617="","Missing",IFERROR(IF(VLOOKUP(D617,'03_Product_Master'!$A$1:$D$14,1,FALSE)='03_Clean_data'!D617,"Valid","Invalid"),"Invalid"))</f>
        <v>Valid</v>
      </c>
      <c r="N617" s="25" t="str">
        <f>IFERROR(VLOOKUP(tbl_clean_sales[[#This Row],[Product_ID]],'03_Product_Master'!$A$1:$D$14,2,FALSE),"Missing")</f>
        <v>Dish Wash</v>
      </c>
      <c r="O617" s="25" t="str">
        <f>IFERROR(VLOOKUP(tbl_clean_sales[[#This Row],[Product_ID]],'03_Product_Master'!$A$1:$D$14,3,FALSE),"Missing")</f>
        <v>Home Care</v>
      </c>
      <c r="P617" s="25">
        <f>IFERROR(VLOOKUP(tbl_clean_sales[[#This Row],[Product_ID]],'03_Product_Master'!$A$1:$D$14,4,FALSE),"Missing")</f>
        <v>190</v>
      </c>
      <c r="Q617" s="25" t="str">
        <f>IF('03_Clean_data'!E617="","Missing",IFERROR(IF(VLOOKUP(E617,'04_Branch_Master'!$A$1:$C$7,1,FALSE)='03_Clean_data'!E617,"Valid","Invalid"),"Invalid"))</f>
        <v>Valid</v>
      </c>
      <c r="R617" s="25" t="str">
        <f>IFERROR(VLOOKUP(tbl_clean_sales[[#This Row],[Branch_ID]],'04_Branch_Master'!$A$1:$C$7,2,FALSE),"Missing")</f>
        <v>Dharapuram</v>
      </c>
      <c r="S617" s="25" t="str">
        <f>IFERROR(VLOOKUP(tbl_clean_sales[[#This Row],[Branch_ID]],'04_Branch_Master'!$A$1:$C$7,3,FALSE),"Missing")</f>
        <v>South</v>
      </c>
      <c r="T617" s="25" t="str">
        <f>C617&amp;"|"&amp;TEXT(tbl_clean_sales[[#This Row],[Date]],"yyyymm")</f>
        <v>E009|202606</v>
      </c>
      <c r="U617" s="25">
        <f>IFERROR(INDEX('05_Target_Master'!$A$1:$F$32,MATCH(tbl_clean_sales[[#This Row],[target key]],'05_Target_Master'!$F$1:$F$32,0),3),"Missing")</f>
        <v>156700</v>
      </c>
    </row>
    <row r="618" spans="1:21" x14ac:dyDescent="0.3">
      <c r="A618" s="21">
        <v>46170</v>
      </c>
      <c r="B618" s="22" t="s">
        <v>653</v>
      </c>
      <c r="C618" s="22" t="s">
        <v>18</v>
      </c>
      <c r="D618" s="22" t="s">
        <v>53</v>
      </c>
      <c r="E618" s="22" t="s">
        <v>14</v>
      </c>
      <c r="F618" s="22">
        <v>3</v>
      </c>
      <c r="G618" s="23">
        <v>1044.6199999999999</v>
      </c>
      <c r="H618" s="25" t="str">
        <f>IF(COUNTIF(tbl_clean_sales[Invoice_ID],tbl_clean_sales[[#This Row],[Invoice_ID]])&gt;1,"Duplicate","Unique")</f>
        <v>Unique</v>
      </c>
      <c r="I618" s="25"/>
      <c r="J6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8" s="25" t="str">
        <f>IFERROR(VLOOKUP(tbl_clean_sales[[#This Row],[Employee_ID]],'02_Employee_Master'!$A$1:$C$12,2,FALSE),"Employee Name Missing")</f>
        <v>Rahul M</v>
      </c>
      <c r="L618" s="25" t="str">
        <f>IFERROR(VLOOKUP(tbl_clean_sales[[#This Row],[Employee_ID]],'02_Employee_Master'!$A$1:$C$12,3,FALSE),"Department Name Missing")</f>
        <v>Sales</v>
      </c>
      <c r="M618" s="25" t="str">
        <f>IF('03_Clean_data'!D618="","Missing",IFERROR(IF(VLOOKUP(D618,'03_Product_Master'!$A$1:$D$14,1,FALSE)='03_Clean_data'!D618,"Valid","Invalid"),"Invalid"))</f>
        <v>Valid</v>
      </c>
      <c r="N618" s="25" t="str">
        <f>IFERROR(VLOOKUP(tbl_clean_sales[[#This Row],[Product_ID]],'03_Product_Master'!$A$1:$D$14,2,FALSE),"Missing")</f>
        <v>Instant Coffee</v>
      </c>
      <c r="O618" s="25" t="str">
        <f>IFERROR(VLOOKUP(tbl_clean_sales[[#This Row],[Product_ID]],'03_Product_Master'!$A$1:$D$14,3,FALSE),"Missing")</f>
        <v>Beverages</v>
      </c>
      <c r="P618" s="25">
        <f>IFERROR(VLOOKUP(tbl_clean_sales[[#This Row],[Product_ID]],'03_Product_Master'!$A$1:$D$14,4,FALSE),"Missing")</f>
        <v>350</v>
      </c>
      <c r="Q618" s="25" t="str">
        <f>IF('03_Clean_data'!E618="","Missing",IFERROR(IF(VLOOKUP(E618,'04_Branch_Master'!$A$1:$C$7,1,FALSE)='03_Clean_data'!E618,"Valid","Invalid"),"Invalid"))</f>
        <v>Valid</v>
      </c>
      <c r="R618" s="25" t="str">
        <f>IFERROR(VLOOKUP(tbl_clean_sales[[#This Row],[Branch_ID]],'04_Branch_Master'!$A$1:$C$7,2,FALSE),"Missing")</f>
        <v>Avinashi Road</v>
      </c>
      <c r="S618" s="25" t="str">
        <f>IFERROR(VLOOKUP(tbl_clean_sales[[#This Row],[Branch_ID]],'04_Branch_Master'!$A$1:$C$7,3,FALSE),"Missing")</f>
        <v>North</v>
      </c>
      <c r="T618" s="25" t="str">
        <f>C618&amp;"|"&amp;TEXT(tbl_clean_sales[[#This Row],[Date]],"yyyymm")</f>
        <v>E003|202605</v>
      </c>
      <c r="U618" s="25">
        <f>IFERROR(INDEX('05_Target_Master'!$A$1:$F$32,MATCH(tbl_clean_sales[[#This Row],[target key]],'05_Target_Master'!$F$1:$F$32,0),3),"Missing")</f>
        <v>126000</v>
      </c>
    </row>
    <row r="619" spans="1:21" x14ac:dyDescent="0.3">
      <c r="A619" s="21">
        <v>46123</v>
      </c>
      <c r="B619" s="22" t="s">
        <v>654</v>
      </c>
      <c r="C619" s="22" t="s">
        <v>46</v>
      </c>
      <c r="D619" s="22" t="s">
        <v>30</v>
      </c>
      <c r="E619" s="22" t="s">
        <v>14</v>
      </c>
      <c r="F619" s="22">
        <v>10</v>
      </c>
      <c r="G619" s="23">
        <v>1550.49</v>
      </c>
      <c r="H619" s="25" t="str">
        <f>IF(COUNTIF(tbl_clean_sales[Invoice_ID],tbl_clean_sales[[#This Row],[Invoice_ID]])&gt;1,"Duplicate","Unique")</f>
        <v>Unique</v>
      </c>
      <c r="I619" s="25"/>
      <c r="J6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19" s="25" t="str">
        <f>IFERROR(VLOOKUP(tbl_clean_sales[[#This Row],[Employee_ID]],'02_Employee_Master'!$A$1:$C$12,2,FALSE),"Employee Name Missing")</f>
        <v>Suresh B</v>
      </c>
      <c r="L619" s="25" t="str">
        <f>IFERROR(VLOOKUP(tbl_clean_sales[[#This Row],[Employee_ID]],'02_Employee_Master'!$A$1:$C$12,3,FALSE),"Department Name Missing")</f>
        <v>Sales</v>
      </c>
      <c r="M619" s="25" t="str">
        <f>IF('03_Clean_data'!D619="","Missing",IFERROR(IF(VLOOKUP(D619,'03_Product_Master'!$A$1:$D$14,1,FALSE)='03_Clean_data'!D619,"Valid","Invalid"),"Invalid"))</f>
        <v>Valid</v>
      </c>
      <c r="N619" s="25" t="str">
        <f>IFERROR(VLOOKUP(tbl_clean_sales[[#This Row],[Product_ID]],'03_Product_Master'!$A$1:$D$14,2,FALSE),"Missing")</f>
        <v>Cookies Pack</v>
      </c>
      <c r="O619" s="25" t="str">
        <f>IFERROR(VLOOKUP(tbl_clean_sales[[#This Row],[Product_ID]],'03_Product_Master'!$A$1:$D$14,3,FALSE),"Missing")</f>
        <v>Snacks</v>
      </c>
      <c r="P619" s="25">
        <f>IFERROR(VLOOKUP(tbl_clean_sales[[#This Row],[Product_ID]],'03_Product_Master'!$A$1:$D$14,4,FALSE),"Missing")</f>
        <v>160</v>
      </c>
      <c r="Q619" s="25" t="str">
        <f>IF('03_Clean_data'!E619="","Missing",IFERROR(IF(VLOOKUP(E619,'04_Branch_Master'!$A$1:$C$7,1,FALSE)='03_Clean_data'!E619,"Valid","Invalid"),"Invalid"))</f>
        <v>Valid</v>
      </c>
      <c r="R619" s="25" t="str">
        <f>IFERROR(VLOOKUP(tbl_clean_sales[[#This Row],[Branch_ID]],'04_Branch_Master'!$A$1:$C$7,2,FALSE),"Missing")</f>
        <v>Avinashi Road</v>
      </c>
      <c r="S619" s="25" t="str">
        <f>IFERROR(VLOOKUP(tbl_clean_sales[[#This Row],[Branch_ID]],'04_Branch_Master'!$A$1:$C$7,3,FALSE),"Missing")</f>
        <v>North</v>
      </c>
      <c r="T619" s="25" t="str">
        <f>C619&amp;"|"&amp;TEXT(tbl_clean_sales[[#This Row],[Date]],"yyyymm")</f>
        <v>E007|202604</v>
      </c>
      <c r="U619" s="25">
        <f>IFERROR(INDEX('05_Target_Master'!$A$1:$F$32,MATCH(tbl_clean_sales[[#This Row],[target key]],'05_Target_Master'!$F$1:$F$32,0),3),"Missing")</f>
        <v>129600</v>
      </c>
    </row>
    <row r="620" spans="1:21" x14ac:dyDescent="0.3">
      <c r="A620" s="21">
        <v>46121</v>
      </c>
      <c r="B620" s="22" t="s">
        <v>655</v>
      </c>
      <c r="C620" s="22" t="s">
        <v>21</v>
      </c>
      <c r="D620" s="22" t="s">
        <v>16</v>
      </c>
      <c r="E620" s="22" t="s">
        <v>22</v>
      </c>
      <c r="F620" s="22">
        <v>9</v>
      </c>
      <c r="G620" s="23">
        <v>2680.81</v>
      </c>
      <c r="H620" s="25" t="str">
        <f>IF(COUNTIF(tbl_clean_sales[Invoice_ID],tbl_clean_sales[[#This Row],[Invoice_ID]])&gt;1,"Duplicate","Unique")</f>
        <v>Unique</v>
      </c>
      <c r="I620" s="25"/>
      <c r="J6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0" s="25" t="str">
        <f>IFERROR(VLOOKUP(tbl_clean_sales[[#This Row],[Employee_ID]],'02_Employee_Master'!$A$1:$C$12,2,FALSE),"Employee Name Missing")</f>
        <v>Priya S</v>
      </c>
      <c r="L620" s="25" t="str">
        <f>IFERROR(VLOOKUP(tbl_clean_sales[[#This Row],[Employee_ID]],'02_Employee_Master'!$A$1:$C$12,3,FALSE),"Department Name Missing")</f>
        <v>Sales</v>
      </c>
      <c r="M620" s="25" t="str">
        <f>IF('03_Clean_data'!D620="","Missing",IFERROR(IF(VLOOKUP(D620,'03_Product_Master'!$A$1:$D$14,1,FALSE)='03_Clean_data'!D620,"Valid","Invalid"),"Invalid"))</f>
        <v>Valid</v>
      </c>
      <c r="N620" s="25" t="str">
        <f>IFERROR(VLOOKUP(tbl_clean_sales[[#This Row],[Product_ID]],'03_Product_Master'!$A$1:$D$14,2,FALSE),"Missing")</f>
        <v>Shampoo</v>
      </c>
      <c r="O620" s="25" t="str">
        <f>IFERROR(VLOOKUP(tbl_clean_sales[[#This Row],[Product_ID]],'03_Product_Master'!$A$1:$D$14,3,FALSE),"Missing")</f>
        <v>Personal Care</v>
      </c>
      <c r="P620" s="25">
        <f>IFERROR(VLOOKUP(tbl_clean_sales[[#This Row],[Product_ID]],'03_Product_Master'!$A$1:$D$14,4,FALSE),"Missing")</f>
        <v>310</v>
      </c>
      <c r="Q620" s="25" t="str">
        <f>IF('03_Clean_data'!E620="","Missing",IFERROR(IF(VLOOKUP(E620,'04_Branch_Master'!$A$1:$C$7,1,FALSE)='03_Clean_data'!E620,"Valid","Invalid"),"Invalid"))</f>
        <v>Valid</v>
      </c>
      <c r="R620" s="25" t="str">
        <f>IFERROR(VLOOKUP(tbl_clean_sales[[#This Row],[Branch_ID]],'04_Branch_Master'!$A$1:$C$7,2,FALSE),"Missing")</f>
        <v>Tirupur Central</v>
      </c>
      <c r="S620" s="25" t="str">
        <f>IFERROR(VLOOKUP(tbl_clean_sales[[#This Row],[Branch_ID]],'04_Branch_Master'!$A$1:$C$7,3,FALSE),"Missing")</f>
        <v>North</v>
      </c>
      <c r="T620" s="25" t="str">
        <f>C620&amp;"|"&amp;TEXT(tbl_clean_sales[[#This Row],[Date]],"yyyymm")</f>
        <v>E002|202604</v>
      </c>
      <c r="U620" s="25">
        <f>IFERROR(INDEX('05_Target_Master'!$A$1:$F$32,MATCH(tbl_clean_sales[[#This Row],[target key]],'05_Target_Master'!$F$1:$F$32,0),3),"Missing")</f>
        <v>122300</v>
      </c>
    </row>
    <row r="621" spans="1:21" x14ac:dyDescent="0.3">
      <c r="A621" s="21">
        <v>46148</v>
      </c>
      <c r="B621" s="22" t="s">
        <v>656</v>
      </c>
      <c r="C621" s="22" t="s">
        <v>8</v>
      </c>
      <c r="D621" s="22" t="s">
        <v>48</v>
      </c>
      <c r="E621" s="22" t="s">
        <v>22</v>
      </c>
      <c r="F621" s="22">
        <v>12</v>
      </c>
      <c r="G621" s="23">
        <v>2886.73</v>
      </c>
      <c r="H621" s="25" t="str">
        <f>IF(COUNTIF(tbl_clean_sales[Invoice_ID],tbl_clean_sales[[#This Row],[Invoice_ID]])&gt;1,"Duplicate","Unique")</f>
        <v>Unique</v>
      </c>
      <c r="I621" s="25"/>
      <c r="J6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1" s="25" t="str">
        <f>IFERROR(VLOOKUP(tbl_clean_sales[[#This Row],[Employee_ID]],'02_Employee_Master'!$A$1:$C$12,2,FALSE),"Employee Name Missing")</f>
        <v>Vignesh R</v>
      </c>
      <c r="L621" s="25" t="str">
        <f>IFERROR(VLOOKUP(tbl_clean_sales[[#This Row],[Employee_ID]],'02_Employee_Master'!$A$1:$C$12,3,FALSE),"Department Name Missing")</f>
        <v>Sales</v>
      </c>
      <c r="M621" s="25" t="str">
        <f>IF('03_Clean_data'!D621="","Missing",IFERROR(IF(VLOOKUP(D621,'03_Product_Master'!$A$1:$D$14,1,FALSE)='03_Clean_data'!D621,"Valid","Invalid"),"Invalid"))</f>
        <v>Valid</v>
      </c>
      <c r="N621" s="25" t="str">
        <f>IFERROR(VLOOKUP(tbl_clean_sales[[#This Row],[Product_ID]],'03_Product_Master'!$A$1:$D$14,2,FALSE),"Missing")</f>
        <v>Face Wash</v>
      </c>
      <c r="O621" s="25" t="str">
        <f>IFERROR(VLOOKUP(tbl_clean_sales[[#This Row],[Product_ID]],'03_Product_Master'!$A$1:$D$14,3,FALSE),"Missing")</f>
        <v>Personal Care</v>
      </c>
      <c r="P621" s="25">
        <f>IFERROR(VLOOKUP(tbl_clean_sales[[#This Row],[Product_ID]],'03_Product_Master'!$A$1:$D$14,4,FALSE),"Missing")</f>
        <v>260</v>
      </c>
      <c r="Q621" s="25" t="str">
        <f>IF('03_Clean_data'!E621="","Missing",IFERROR(IF(VLOOKUP(E621,'04_Branch_Master'!$A$1:$C$7,1,FALSE)='03_Clean_data'!E621,"Valid","Invalid"),"Invalid"))</f>
        <v>Valid</v>
      </c>
      <c r="R621" s="25" t="str">
        <f>IFERROR(VLOOKUP(tbl_clean_sales[[#This Row],[Branch_ID]],'04_Branch_Master'!$A$1:$C$7,2,FALSE),"Missing")</f>
        <v>Tirupur Central</v>
      </c>
      <c r="S621" s="25" t="str">
        <f>IFERROR(VLOOKUP(tbl_clean_sales[[#This Row],[Branch_ID]],'04_Branch_Master'!$A$1:$C$7,3,FALSE),"Missing")</f>
        <v>North</v>
      </c>
      <c r="T621" s="25" t="str">
        <f>C621&amp;"|"&amp;TEXT(tbl_clean_sales[[#This Row],[Date]],"yyyymm")</f>
        <v>E009|202605</v>
      </c>
      <c r="U621" s="25">
        <f>IFERROR(INDEX('05_Target_Master'!$A$1:$F$32,MATCH(tbl_clean_sales[[#This Row],[target key]],'05_Target_Master'!$F$1:$F$32,0),3),"Missing")</f>
        <v>176300</v>
      </c>
    </row>
    <row r="622" spans="1:21" x14ac:dyDescent="0.3">
      <c r="A622" s="21">
        <v>46179</v>
      </c>
      <c r="B622" s="22" t="s">
        <v>657</v>
      </c>
      <c r="C622" s="22" t="s">
        <v>46</v>
      </c>
      <c r="D622" s="22" t="s">
        <v>9</v>
      </c>
      <c r="E622" s="22" t="s">
        <v>32</v>
      </c>
      <c r="F622" s="22">
        <v>3</v>
      </c>
      <c r="G622" s="23">
        <v>782.89</v>
      </c>
      <c r="H622" s="25" t="str">
        <f>IF(COUNTIF(tbl_clean_sales[Invoice_ID],tbl_clean_sales[[#This Row],[Invoice_ID]])&gt;1,"Duplicate","Unique")</f>
        <v>Unique</v>
      </c>
      <c r="I622" s="25"/>
      <c r="J6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2" s="25" t="str">
        <f>IFERROR(VLOOKUP(tbl_clean_sales[[#This Row],[Employee_ID]],'02_Employee_Master'!$A$1:$C$12,2,FALSE),"Employee Name Missing")</f>
        <v>Suresh B</v>
      </c>
      <c r="L622" s="25" t="str">
        <f>IFERROR(VLOOKUP(tbl_clean_sales[[#This Row],[Employee_ID]],'02_Employee_Master'!$A$1:$C$12,3,FALSE),"Department Name Missing")</f>
        <v>Sales</v>
      </c>
      <c r="M622" s="25" t="str">
        <f>IF('03_Clean_data'!D622="","Missing",IFERROR(IF(VLOOKUP(D622,'03_Product_Master'!$A$1:$D$14,1,FALSE)='03_Clean_data'!D622,"Valid","Invalid"),"Invalid"))</f>
        <v>Valid</v>
      </c>
      <c r="N622" s="25" t="str">
        <f>IFERROR(VLOOKUP(tbl_clean_sales[[#This Row],[Product_ID]],'03_Product_Master'!$A$1:$D$14,2,FALSE),"Missing")</f>
        <v>Green Tea</v>
      </c>
      <c r="O622" s="25" t="str">
        <f>IFERROR(VLOOKUP(tbl_clean_sales[[#This Row],[Product_ID]],'03_Product_Master'!$A$1:$D$14,3,FALSE),"Missing")</f>
        <v>Beverages</v>
      </c>
      <c r="P622" s="25">
        <f>IFERROR(VLOOKUP(tbl_clean_sales[[#This Row],[Product_ID]],'03_Product_Master'!$A$1:$D$14,4,FALSE),"Missing")</f>
        <v>280</v>
      </c>
      <c r="Q622" s="25" t="str">
        <f>IF('03_Clean_data'!E622="","Missing",IFERROR(IF(VLOOKUP(E622,'04_Branch_Master'!$A$1:$C$7,1,FALSE)='03_Clean_data'!E622,"Valid","Invalid"),"Invalid"))</f>
        <v>Valid</v>
      </c>
      <c r="R622" s="25" t="str">
        <f>IFERROR(VLOOKUP(tbl_clean_sales[[#This Row],[Branch_ID]],'04_Branch_Master'!$A$1:$C$7,2,FALSE),"Missing")</f>
        <v>Kangeyam</v>
      </c>
      <c r="S622" s="25" t="str">
        <f>IFERROR(VLOOKUP(tbl_clean_sales[[#This Row],[Branch_ID]],'04_Branch_Master'!$A$1:$C$7,3,FALSE),"Missing")</f>
        <v>East</v>
      </c>
      <c r="T622" s="25" t="str">
        <f>C622&amp;"|"&amp;TEXT(tbl_clean_sales[[#This Row],[Date]],"yyyymm")</f>
        <v>E007|202606</v>
      </c>
      <c r="U622" s="25">
        <f>IFERROR(INDEX('05_Target_Master'!$A$1:$F$32,MATCH(tbl_clean_sales[[#This Row],[target key]],'05_Target_Master'!$F$1:$F$32,0),3),"Missing")</f>
        <v>124400</v>
      </c>
    </row>
    <row r="623" spans="1:21" x14ac:dyDescent="0.3">
      <c r="A623" s="21">
        <v>46187</v>
      </c>
      <c r="B623" s="22" t="s">
        <v>658</v>
      </c>
      <c r="C623" s="22" t="s">
        <v>21</v>
      </c>
      <c r="D623" s="22" t="s">
        <v>9</v>
      </c>
      <c r="E623" s="22" t="s">
        <v>22</v>
      </c>
      <c r="F623" s="22">
        <v>2</v>
      </c>
      <c r="G623" s="23">
        <v>507.2</v>
      </c>
      <c r="H623" s="25" t="str">
        <f>IF(COUNTIF(tbl_clean_sales[Invoice_ID],tbl_clean_sales[[#This Row],[Invoice_ID]])&gt;1,"Duplicate","Unique")</f>
        <v>Unique</v>
      </c>
      <c r="I623" s="25"/>
      <c r="J6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3" s="25" t="str">
        <f>IFERROR(VLOOKUP(tbl_clean_sales[[#This Row],[Employee_ID]],'02_Employee_Master'!$A$1:$C$12,2,FALSE),"Employee Name Missing")</f>
        <v>Priya S</v>
      </c>
      <c r="L623" s="25" t="str">
        <f>IFERROR(VLOOKUP(tbl_clean_sales[[#This Row],[Employee_ID]],'02_Employee_Master'!$A$1:$C$12,3,FALSE),"Department Name Missing")</f>
        <v>Sales</v>
      </c>
      <c r="M623" s="25" t="str">
        <f>IF('03_Clean_data'!D623="","Missing",IFERROR(IF(VLOOKUP(D623,'03_Product_Master'!$A$1:$D$14,1,FALSE)='03_Clean_data'!D623,"Valid","Invalid"),"Invalid"))</f>
        <v>Valid</v>
      </c>
      <c r="N623" s="25" t="str">
        <f>IFERROR(VLOOKUP(tbl_clean_sales[[#This Row],[Product_ID]],'03_Product_Master'!$A$1:$D$14,2,FALSE),"Missing")</f>
        <v>Green Tea</v>
      </c>
      <c r="O623" s="25" t="str">
        <f>IFERROR(VLOOKUP(tbl_clean_sales[[#This Row],[Product_ID]],'03_Product_Master'!$A$1:$D$14,3,FALSE),"Missing")</f>
        <v>Beverages</v>
      </c>
      <c r="P623" s="25">
        <f>IFERROR(VLOOKUP(tbl_clean_sales[[#This Row],[Product_ID]],'03_Product_Master'!$A$1:$D$14,4,FALSE),"Missing")</f>
        <v>280</v>
      </c>
      <c r="Q623" s="25" t="str">
        <f>IF('03_Clean_data'!E623="","Missing",IFERROR(IF(VLOOKUP(E623,'04_Branch_Master'!$A$1:$C$7,1,FALSE)='03_Clean_data'!E623,"Valid","Invalid"),"Invalid"))</f>
        <v>Valid</v>
      </c>
      <c r="R623" s="25" t="str">
        <f>IFERROR(VLOOKUP(tbl_clean_sales[[#This Row],[Branch_ID]],'04_Branch_Master'!$A$1:$C$7,2,FALSE),"Missing")</f>
        <v>Tirupur Central</v>
      </c>
      <c r="S623" s="25" t="str">
        <f>IFERROR(VLOOKUP(tbl_clean_sales[[#This Row],[Branch_ID]],'04_Branch_Master'!$A$1:$C$7,3,FALSE),"Missing")</f>
        <v>North</v>
      </c>
      <c r="T623" s="25" t="str">
        <f>C623&amp;"|"&amp;TEXT(tbl_clean_sales[[#This Row],[Date]],"yyyymm")</f>
        <v>E002|202606</v>
      </c>
      <c r="U623" s="25">
        <f>IFERROR(INDEX('05_Target_Master'!$A$1:$F$32,MATCH(tbl_clean_sales[[#This Row],[target key]],'05_Target_Master'!$F$1:$F$32,0),3),"Missing")</f>
        <v>117400</v>
      </c>
    </row>
    <row r="624" spans="1:21" x14ac:dyDescent="0.3">
      <c r="A624" s="21">
        <v>46181</v>
      </c>
      <c r="B624" s="22" t="s">
        <v>659</v>
      </c>
      <c r="C624" s="22" t="s">
        <v>40</v>
      </c>
      <c r="D624" s="22" t="s">
        <v>16</v>
      </c>
      <c r="E624" s="22" t="s">
        <v>26</v>
      </c>
      <c r="F624" s="22">
        <v>11</v>
      </c>
      <c r="G624" s="23">
        <v>3211.3</v>
      </c>
      <c r="H624" s="25" t="str">
        <f>IF(COUNTIF(tbl_clean_sales[Invoice_ID],tbl_clean_sales[[#This Row],[Invoice_ID]])&gt;1,"Duplicate","Unique")</f>
        <v>Unique</v>
      </c>
      <c r="I624" s="25"/>
      <c r="J6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4" s="25" t="str">
        <f>IFERROR(VLOOKUP(tbl_clean_sales[[#This Row],[Employee_ID]],'02_Employee_Master'!$A$1:$C$12,2,FALSE),"Employee Name Missing")</f>
        <v>Meena V</v>
      </c>
      <c r="L624" s="25" t="str">
        <f>IFERROR(VLOOKUP(tbl_clean_sales[[#This Row],[Employee_ID]],'02_Employee_Master'!$A$1:$C$12,3,FALSE),"Department Name Missing")</f>
        <v>Sales</v>
      </c>
      <c r="M624" s="25" t="str">
        <f>IF('03_Clean_data'!D624="","Missing",IFERROR(IF(VLOOKUP(D624,'03_Product_Master'!$A$1:$D$14,1,FALSE)='03_Clean_data'!D624,"Valid","Invalid"),"Invalid"))</f>
        <v>Valid</v>
      </c>
      <c r="N624" s="25" t="str">
        <f>IFERROR(VLOOKUP(tbl_clean_sales[[#This Row],[Product_ID]],'03_Product_Master'!$A$1:$D$14,2,FALSE),"Missing")</f>
        <v>Shampoo</v>
      </c>
      <c r="O624" s="25" t="str">
        <f>IFERROR(VLOOKUP(tbl_clean_sales[[#This Row],[Product_ID]],'03_Product_Master'!$A$1:$D$14,3,FALSE),"Missing")</f>
        <v>Personal Care</v>
      </c>
      <c r="P624" s="25">
        <f>IFERROR(VLOOKUP(tbl_clean_sales[[#This Row],[Product_ID]],'03_Product_Master'!$A$1:$D$14,4,FALSE),"Missing")</f>
        <v>310</v>
      </c>
      <c r="Q624" s="25" t="str">
        <f>IF('03_Clean_data'!E624="","Missing",IFERROR(IF(VLOOKUP(E624,'04_Branch_Master'!$A$1:$C$7,1,FALSE)='03_Clean_data'!E624,"Valid","Invalid"),"Invalid"))</f>
        <v>Valid</v>
      </c>
      <c r="R624" s="25" t="str">
        <f>IFERROR(VLOOKUP(tbl_clean_sales[[#This Row],[Branch_ID]],'04_Branch_Master'!$A$1:$C$7,2,FALSE),"Missing")</f>
        <v>Palladam</v>
      </c>
      <c r="S624" s="25" t="str">
        <f>IFERROR(VLOOKUP(tbl_clean_sales[[#This Row],[Branch_ID]],'04_Branch_Master'!$A$1:$C$7,3,FALSE),"Missing")</f>
        <v>South</v>
      </c>
      <c r="T624" s="25" t="str">
        <f>C624&amp;"|"&amp;TEXT(tbl_clean_sales[[#This Row],[Date]],"yyyymm")</f>
        <v>E006|202606</v>
      </c>
      <c r="U624" s="25">
        <f>IFERROR(INDEX('05_Target_Master'!$A$1:$F$32,MATCH(tbl_clean_sales[[#This Row],[target key]],'05_Target_Master'!$F$1:$F$32,0),3),"Missing")</f>
        <v>125800</v>
      </c>
    </row>
    <row r="625" spans="1:21" x14ac:dyDescent="0.3">
      <c r="A625" s="21">
        <v>46190</v>
      </c>
      <c r="B625" s="22" t="s">
        <v>660</v>
      </c>
      <c r="C625" s="22" t="s">
        <v>38</v>
      </c>
      <c r="D625" s="22" t="s">
        <v>25</v>
      </c>
      <c r="E625" s="22" t="s">
        <v>32</v>
      </c>
      <c r="F625" s="22">
        <v>7</v>
      </c>
      <c r="G625" s="22"/>
      <c r="H625" s="25" t="str">
        <f>IF(COUNTIF(tbl_clean_sales[Invoice_ID],tbl_clean_sales[[#This Row],[Invoice_ID]])&gt;1,"Duplicate","Unique")</f>
        <v>Unique</v>
      </c>
      <c r="I625" s="25"/>
      <c r="J6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5" s="25" t="str">
        <f>IFERROR(VLOOKUP(tbl_clean_sales[[#This Row],[Employee_ID]],'02_Employee_Master'!$A$1:$C$12,2,FALSE),"Employee Name Missing")</f>
        <v>Nandhini K</v>
      </c>
      <c r="L625" s="25" t="str">
        <f>IFERROR(VLOOKUP(tbl_clean_sales[[#This Row],[Employee_ID]],'02_Employee_Master'!$A$1:$C$12,3,FALSE),"Department Name Missing")</f>
        <v>Sales</v>
      </c>
      <c r="M625" s="25" t="str">
        <f>IF('03_Clean_data'!D625="","Missing",IFERROR(IF(VLOOKUP(D625,'03_Product_Master'!$A$1:$D$14,1,FALSE)='03_Clean_data'!D625,"Valid","Invalid"),"Invalid"))</f>
        <v>Valid</v>
      </c>
      <c r="N625" s="25" t="str">
        <f>IFERROR(VLOOKUP(tbl_clean_sales[[#This Row],[Product_ID]],'03_Product_Master'!$A$1:$D$14,2,FALSE),"Missing")</f>
        <v>Premium Coffee</v>
      </c>
      <c r="O625" s="25" t="str">
        <f>IFERROR(VLOOKUP(tbl_clean_sales[[#This Row],[Product_ID]],'03_Product_Master'!$A$1:$D$14,3,FALSE),"Missing")</f>
        <v>Beverages</v>
      </c>
      <c r="P625" s="25">
        <f>IFERROR(VLOOKUP(tbl_clean_sales[[#This Row],[Product_ID]],'03_Product_Master'!$A$1:$D$14,4,FALSE),"Missing")</f>
        <v>420</v>
      </c>
      <c r="Q625" s="25" t="str">
        <f>IF('03_Clean_data'!E625="","Missing",IFERROR(IF(VLOOKUP(E625,'04_Branch_Master'!$A$1:$C$7,1,FALSE)='03_Clean_data'!E625,"Valid","Invalid"),"Invalid"))</f>
        <v>Valid</v>
      </c>
      <c r="R625" s="25" t="str">
        <f>IFERROR(VLOOKUP(tbl_clean_sales[[#This Row],[Branch_ID]],'04_Branch_Master'!$A$1:$C$7,2,FALSE),"Missing")</f>
        <v>Kangeyam</v>
      </c>
      <c r="S625" s="25" t="str">
        <f>IFERROR(VLOOKUP(tbl_clean_sales[[#This Row],[Branch_ID]],'04_Branch_Master'!$A$1:$C$7,3,FALSE),"Missing")</f>
        <v>East</v>
      </c>
      <c r="T625" s="25" t="str">
        <f>C625&amp;"|"&amp;TEXT(tbl_clean_sales[[#This Row],[Date]],"yyyymm")</f>
        <v>E008|202606</v>
      </c>
      <c r="U625" s="25">
        <f>IFERROR(INDEX('05_Target_Master'!$A$1:$F$32,MATCH(tbl_clean_sales[[#This Row],[target key]],'05_Target_Master'!$F$1:$F$32,0),3),"Missing")</f>
        <v>119200</v>
      </c>
    </row>
    <row r="626" spans="1:21" x14ac:dyDescent="0.3">
      <c r="A626" s="21">
        <v>46190</v>
      </c>
      <c r="B626" s="22" t="s">
        <v>661</v>
      </c>
      <c r="C626" s="22" t="s">
        <v>46</v>
      </c>
      <c r="D626" s="22" t="s">
        <v>25</v>
      </c>
      <c r="E626" s="22" t="s">
        <v>32</v>
      </c>
      <c r="F626" s="22">
        <v>6</v>
      </c>
      <c r="G626" s="23">
        <v>2311.19</v>
      </c>
      <c r="H626" s="25" t="str">
        <f>IF(COUNTIF(tbl_clean_sales[Invoice_ID],tbl_clean_sales[[#This Row],[Invoice_ID]])&gt;1,"Duplicate","Unique")</f>
        <v>Unique</v>
      </c>
      <c r="I626" s="25"/>
      <c r="J6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6" s="25" t="str">
        <f>IFERROR(VLOOKUP(tbl_clean_sales[[#This Row],[Employee_ID]],'02_Employee_Master'!$A$1:$C$12,2,FALSE),"Employee Name Missing")</f>
        <v>Suresh B</v>
      </c>
      <c r="L626" s="25" t="str">
        <f>IFERROR(VLOOKUP(tbl_clean_sales[[#This Row],[Employee_ID]],'02_Employee_Master'!$A$1:$C$12,3,FALSE),"Department Name Missing")</f>
        <v>Sales</v>
      </c>
      <c r="M626" s="25" t="str">
        <f>IF('03_Clean_data'!D626="","Missing",IFERROR(IF(VLOOKUP(D626,'03_Product_Master'!$A$1:$D$14,1,FALSE)='03_Clean_data'!D626,"Valid","Invalid"),"Invalid"))</f>
        <v>Valid</v>
      </c>
      <c r="N626" s="25" t="str">
        <f>IFERROR(VLOOKUP(tbl_clean_sales[[#This Row],[Product_ID]],'03_Product_Master'!$A$1:$D$14,2,FALSE),"Missing")</f>
        <v>Premium Coffee</v>
      </c>
      <c r="O626" s="25" t="str">
        <f>IFERROR(VLOOKUP(tbl_clean_sales[[#This Row],[Product_ID]],'03_Product_Master'!$A$1:$D$14,3,FALSE),"Missing")</f>
        <v>Beverages</v>
      </c>
      <c r="P626" s="25">
        <f>IFERROR(VLOOKUP(tbl_clean_sales[[#This Row],[Product_ID]],'03_Product_Master'!$A$1:$D$14,4,FALSE),"Missing")</f>
        <v>420</v>
      </c>
      <c r="Q626" s="25" t="str">
        <f>IF('03_Clean_data'!E626="","Missing",IFERROR(IF(VLOOKUP(E626,'04_Branch_Master'!$A$1:$C$7,1,FALSE)='03_Clean_data'!E626,"Valid","Invalid"),"Invalid"))</f>
        <v>Valid</v>
      </c>
      <c r="R626" s="25" t="str">
        <f>IFERROR(VLOOKUP(tbl_clean_sales[[#This Row],[Branch_ID]],'04_Branch_Master'!$A$1:$C$7,2,FALSE),"Missing")</f>
        <v>Kangeyam</v>
      </c>
      <c r="S626" s="25" t="str">
        <f>IFERROR(VLOOKUP(tbl_clean_sales[[#This Row],[Branch_ID]],'04_Branch_Master'!$A$1:$C$7,3,FALSE),"Missing")</f>
        <v>East</v>
      </c>
      <c r="T626" s="25" t="str">
        <f>C626&amp;"|"&amp;TEXT(tbl_clean_sales[[#This Row],[Date]],"yyyymm")</f>
        <v>E007|202606</v>
      </c>
      <c r="U626" s="25">
        <f>IFERROR(INDEX('05_Target_Master'!$A$1:$F$32,MATCH(tbl_clean_sales[[#This Row],[target key]],'05_Target_Master'!$F$1:$F$32,0),3),"Missing")</f>
        <v>124400</v>
      </c>
    </row>
    <row r="627" spans="1:21" x14ac:dyDescent="0.3">
      <c r="A627" s="21">
        <v>46119</v>
      </c>
      <c r="B627" s="22" t="s">
        <v>662</v>
      </c>
      <c r="C627" s="22" t="s">
        <v>38</v>
      </c>
      <c r="D627" s="22" t="s">
        <v>82</v>
      </c>
      <c r="E627" s="22" t="s">
        <v>22</v>
      </c>
      <c r="F627" s="22">
        <v>6</v>
      </c>
      <c r="G627" s="23">
        <v>649.38</v>
      </c>
      <c r="H627" s="25" t="str">
        <f>IF(COUNTIF(tbl_clean_sales[Invoice_ID],tbl_clean_sales[[#This Row],[Invoice_ID]])&gt;1,"Duplicate","Unique")</f>
        <v>Unique</v>
      </c>
      <c r="I627" s="25"/>
      <c r="J6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7" s="25" t="str">
        <f>IFERROR(VLOOKUP(tbl_clean_sales[[#This Row],[Employee_ID]],'02_Employee_Master'!$A$1:$C$12,2,FALSE),"Employee Name Missing")</f>
        <v>Nandhini K</v>
      </c>
      <c r="L627" s="25" t="str">
        <f>IFERROR(VLOOKUP(tbl_clean_sales[[#This Row],[Employee_ID]],'02_Employee_Master'!$A$1:$C$12,3,FALSE),"Department Name Missing")</f>
        <v>Sales</v>
      </c>
      <c r="M627" s="25" t="str">
        <f>IF('03_Clean_data'!D627="","Missing",IFERROR(IF(VLOOKUP(D627,'03_Product_Master'!$A$1:$D$14,1,FALSE)='03_Clean_data'!D627,"Valid","Invalid"),"Invalid"))</f>
        <v>Valid</v>
      </c>
      <c r="N627" s="25" t="str">
        <f>IFERROR(VLOOKUP(tbl_clean_sales[[#This Row],[Product_ID]],'03_Product_Master'!$A$1:$D$14,2,FALSE),"Missing")</f>
        <v>Chocolate Bar</v>
      </c>
      <c r="O627" s="25" t="str">
        <f>IFERROR(VLOOKUP(tbl_clean_sales[[#This Row],[Product_ID]],'03_Product_Master'!$A$1:$D$14,3,FALSE),"Missing")</f>
        <v>Snacks</v>
      </c>
      <c r="P627" s="25">
        <f>IFERROR(VLOOKUP(tbl_clean_sales[[#This Row],[Product_ID]],'03_Product_Master'!$A$1:$D$14,4,FALSE),"Missing")</f>
        <v>120</v>
      </c>
      <c r="Q627" s="25" t="str">
        <f>IF('03_Clean_data'!E627="","Missing",IFERROR(IF(VLOOKUP(E627,'04_Branch_Master'!$A$1:$C$7,1,FALSE)='03_Clean_data'!E627,"Valid","Invalid"),"Invalid"))</f>
        <v>Valid</v>
      </c>
      <c r="R627" s="25" t="str">
        <f>IFERROR(VLOOKUP(tbl_clean_sales[[#This Row],[Branch_ID]],'04_Branch_Master'!$A$1:$C$7,2,FALSE),"Missing")</f>
        <v>Tirupur Central</v>
      </c>
      <c r="S627" s="25" t="str">
        <f>IFERROR(VLOOKUP(tbl_clean_sales[[#This Row],[Branch_ID]],'04_Branch_Master'!$A$1:$C$7,3,FALSE),"Missing")</f>
        <v>North</v>
      </c>
      <c r="T627" s="25" t="str">
        <f>C627&amp;"|"&amp;TEXT(tbl_clean_sales[[#This Row],[Date]],"yyyymm")</f>
        <v>E008|202604</v>
      </c>
      <c r="U627" s="25">
        <f>IFERROR(INDEX('05_Target_Master'!$A$1:$F$32,MATCH(tbl_clean_sales[[#This Row],[target key]],'05_Target_Master'!$F$1:$F$32,0),3),"Missing")</f>
        <v>124100</v>
      </c>
    </row>
    <row r="628" spans="1:21" x14ac:dyDescent="0.3">
      <c r="A628" s="21">
        <v>46151</v>
      </c>
      <c r="B628" s="22" t="s">
        <v>663</v>
      </c>
      <c r="C628" s="22" t="s">
        <v>24</v>
      </c>
      <c r="D628" s="22" t="s">
        <v>82</v>
      </c>
      <c r="E628" s="22" t="s">
        <v>22</v>
      </c>
      <c r="F628" s="22">
        <v>4</v>
      </c>
      <c r="G628" s="23">
        <v>472.26</v>
      </c>
      <c r="H628" s="25" t="str">
        <f>IF(COUNTIF(tbl_clean_sales[Invoice_ID],tbl_clean_sales[[#This Row],[Invoice_ID]])&gt;1,"Duplicate","Unique")</f>
        <v>Unique</v>
      </c>
      <c r="I628" s="25"/>
      <c r="J6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8" s="25" t="str">
        <f>IFERROR(VLOOKUP(tbl_clean_sales[[#This Row],[Employee_ID]],'02_Employee_Master'!$A$1:$C$12,2,FALSE),"Employee Name Missing")</f>
        <v>Karthik P</v>
      </c>
      <c r="L628" s="25" t="str">
        <f>IFERROR(VLOOKUP(tbl_clean_sales[[#This Row],[Employee_ID]],'02_Employee_Master'!$A$1:$C$12,3,FALSE),"Department Name Missing")</f>
        <v>Sales</v>
      </c>
      <c r="M628" s="25" t="str">
        <f>IF('03_Clean_data'!D628="","Missing",IFERROR(IF(VLOOKUP(D628,'03_Product_Master'!$A$1:$D$14,1,FALSE)='03_Clean_data'!D628,"Valid","Invalid"),"Invalid"))</f>
        <v>Valid</v>
      </c>
      <c r="N628" s="25" t="str">
        <f>IFERROR(VLOOKUP(tbl_clean_sales[[#This Row],[Product_ID]],'03_Product_Master'!$A$1:$D$14,2,FALSE),"Missing")</f>
        <v>Chocolate Bar</v>
      </c>
      <c r="O628" s="25" t="str">
        <f>IFERROR(VLOOKUP(tbl_clean_sales[[#This Row],[Product_ID]],'03_Product_Master'!$A$1:$D$14,3,FALSE),"Missing")</f>
        <v>Snacks</v>
      </c>
      <c r="P628" s="25">
        <f>IFERROR(VLOOKUP(tbl_clean_sales[[#This Row],[Product_ID]],'03_Product_Master'!$A$1:$D$14,4,FALSE),"Missing")</f>
        <v>120</v>
      </c>
      <c r="Q628" s="25" t="str">
        <f>IF('03_Clean_data'!E628="","Missing",IFERROR(IF(VLOOKUP(E628,'04_Branch_Master'!$A$1:$C$7,1,FALSE)='03_Clean_data'!E628,"Valid","Invalid"),"Invalid"))</f>
        <v>Valid</v>
      </c>
      <c r="R628" s="25" t="str">
        <f>IFERROR(VLOOKUP(tbl_clean_sales[[#This Row],[Branch_ID]],'04_Branch_Master'!$A$1:$C$7,2,FALSE),"Missing")</f>
        <v>Tirupur Central</v>
      </c>
      <c r="S628" s="25" t="str">
        <f>IFERROR(VLOOKUP(tbl_clean_sales[[#This Row],[Branch_ID]],'04_Branch_Master'!$A$1:$C$7,3,FALSE),"Missing")</f>
        <v>North</v>
      </c>
      <c r="T628" s="25" t="str">
        <f>C628&amp;"|"&amp;TEXT(tbl_clean_sales[[#This Row],[Date]],"yyyymm")</f>
        <v>E005|202605</v>
      </c>
      <c r="U628" s="25">
        <f>IFERROR(INDEX('05_Target_Master'!$A$1:$F$32,MATCH(tbl_clean_sales[[#This Row],[target key]],'05_Target_Master'!$F$1:$F$32,0),3),"Missing")</f>
        <v>143700</v>
      </c>
    </row>
    <row r="629" spans="1:21" x14ac:dyDescent="0.3">
      <c r="A629" s="21">
        <v>46169</v>
      </c>
      <c r="B629" s="22" t="s">
        <v>664</v>
      </c>
      <c r="C629" s="22" t="s">
        <v>40</v>
      </c>
      <c r="D629" s="22" t="s">
        <v>82</v>
      </c>
      <c r="E629" s="22" t="s">
        <v>26</v>
      </c>
      <c r="F629" s="22">
        <v>10</v>
      </c>
      <c r="G629" s="23">
        <v>1107.04</v>
      </c>
      <c r="H629" s="25" t="str">
        <f>IF(COUNTIF(tbl_clean_sales[Invoice_ID],tbl_clean_sales[[#This Row],[Invoice_ID]])&gt;1,"Duplicate","Unique")</f>
        <v>Unique</v>
      </c>
      <c r="I629" s="25"/>
      <c r="J6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29" s="25" t="str">
        <f>IFERROR(VLOOKUP(tbl_clean_sales[[#This Row],[Employee_ID]],'02_Employee_Master'!$A$1:$C$12,2,FALSE),"Employee Name Missing")</f>
        <v>Meena V</v>
      </c>
      <c r="L629" s="25" t="str">
        <f>IFERROR(VLOOKUP(tbl_clean_sales[[#This Row],[Employee_ID]],'02_Employee_Master'!$A$1:$C$12,3,FALSE),"Department Name Missing")</f>
        <v>Sales</v>
      </c>
      <c r="M629" s="25" t="str">
        <f>IF('03_Clean_data'!D629="","Missing",IFERROR(IF(VLOOKUP(D629,'03_Product_Master'!$A$1:$D$14,1,FALSE)='03_Clean_data'!D629,"Valid","Invalid"),"Invalid"))</f>
        <v>Valid</v>
      </c>
      <c r="N629" s="25" t="str">
        <f>IFERROR(VLOOKUP(tbl_clean_sales[[#This Row],[Product_ID]],'03_Product_Master'!$A$1:$D$14,2,FALSE),"Missing")</f>
        <v>Chocolate Bar</v>
      </c>
      <c r="O629" s="25" t="str">
        <f>IFERROR(VLOOKUP(tbl_clean_sales[[#This Row],[Product_ID]],'03_Product_Master'!$A$1:$D$14,3,FALSE),"Missing")</f>
        <v>Snacks</v>
      </c>
      <c r="P629" s="25">
        <f>IFERROR(VLOOKUP(tbl_clean_sales[[#This Row],[Product_ID]],'03_Product_Master'!$A$1:$D$14,4,FALSE),"Missing")</f>
        <v>120</v>
      </c>
      <c r="Q629" s="25" t="str">
        <f>IF('03_Clean_data'!E629="","Missing",IFERROR(IF(VLOOKUP(E629,'04_Branch_Master'!$A$1:$C$7,1,FALSE)='03_Clean_data'!E629,"Valid","Invalid"),"Invalid"))</f>
        <v>Valid</v>
      </c>
      <c r="R629" s="25" t="str">
        <f>IFERROR(VLOOKUP(tbl_clean_sales[[#This Row],[Branch_ID]],'04_Branch_Master'!$A$1:$C$7,2,FALSE),"Missing")</f>
        <v>Palladam</v>
      </c>
      <c r="S629" s="25" t="str">
        <f>IFERROR(VLOOKUP(tbl_clean_sales[[#This Row],[Branch_ID]],'04_Branch_Master'!$A$1:$C$7,3,FALSE),"Missing")</f>
        <v>South</v>
      </c>
      <c r="T629" s="25" t="str">
        <f>C629&amp;"|"&amp;TEXT(tbl_clean_sales[[#This Row],[Date]],"yyyymm")</f>
        <v>E006|202605</v>
      </c>
      <c r="U629" s="25">
        <f>IFERROR(INDEX('05_Target_Master'!$A$1:$F$32,MATCH(tbl_clean_sales[[#This Row],[target key]],'05_Target_Master'!$F$1:$F$32,0),3),"Missing")</f>
        <v>141500</v>
      </c>
    </row>
    <row r="630" spans="1:21" x14ac:dyDescent="0.3">
      <c r="A630" s="21">
        <v>46137</v>
      </c>
      <c r="B630" s="22" t="s">
        <v>665</v>
      </c>
      <c r="C630" s="22" t="s">
        <v>38</v>
      </c>
      <c r="D630" s="22" t="s">
        <v>30</v>
      </c>
      <c r="E630" s="22" t="s">
        <v>32</v>
      </c>
      <c r="F630" s="22">
        <v>12</v>
      </c>
      <c r="G630" s="23">
        <v>1808.38</v>
      </c>
      <c r="H630" s="25" t="str">
        <f>IF(COUNTIF(tbl_clean_sales[Invoice_ID],tbl_clean_sales[[#This Row],[Invoice_ID]])&gt;1,"Duplicate","Unique")</f>
        <v>Unique</v>
      </c>
      <c r="I630" s="25"/>
      <c r="J6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0" s="25" t="str">
        <f>IFERROR(VLOOKUP(tbl_clean_sales[[#This Row],[Employee_ID]],'02_Employee_Master'!$A$1:$C$12,2,FALSE),"Employee Name Missing")</f>
        <v>Nandhini K</v>
      </c>
      <c r="L630" s="25" t="str">
        <f>IFERROR(VLOOKUP(tbl_clean_sales[[#This Row],[Employee_ID]],'02_Employee_Master'!$A$1:$C$12,3,FALSE),"Department Name Missing")</f>
        <v>Sales</v>
      </c>
      <c r="M630" s="25" t="str">
        <f>IF('03_Clean_data'!D630="","Missing",IFERROR(IF(VLOOKUP(D630,'03_Product_Master'!$A$1:$D$14,1,FALSE)='03_Clean_data'!D630,"Valid","Invalid"),"Invalid"))</f>
        <v>Valid</v>
      </c>
      <c r="N630" s="25" t="str">
        <f>IFERROR(VLOOKUP(tbl_clean_sales[[#This Row],[Product_ID]],'03_Product_Master'!$A$1:$D$14,2,FALSE),"Missing")</f>
        <v>Cookies Pack</v>
      </c>
      <c r="O630" s="25" t="str">
        <f>IFERROR(VLOOKUP(tbl_clean_sales[[#This Row],[Product_ID]],'03_Product_Master'!$A$1:$D$14,3,FALSE),"Missing")</f>
        <v>Snacks</v>
      </c>
      <c r="P630" s="25">
        <f>IFERROR(VLOOKUP(tbl_clean_sales[[#This Row],[Product_ID]],'03_Product_Master'!$A$1:$D$14,4,FALSE),"Missing")</f>
        <v>160</v>
      </c>
      <c r="Q630" s="25" t="str">
        <f>IF('03_Clean_data'!E630="","Missing",IFERROR(IF(VLOOKUP(E630,'04_Branch_Master'!$A$1:$C$7,1,FALSE)='03_Clean_data'!E630,"Valid","Invalid"),"Invalid"))</f>
        <v>Valid</v>
      </c>
      <c r="R630" s="25" t="str">
        <f>IFERROR(VLOOKUP(tbl_clean_sales[[#This Row],[Branch_ID]],'04_Branch_Master'!$A$1:$C$7,2,FALSE),"Missing")</f>
        <v>Kangeyam</v>
      </c>
      <c r="S630" s="25" t="str">
        <f>IFERROR(VLOOKUP(tbl_clean_sales[[#This Row],[Branch_ID]],'04_Branch_Master'!$A$1:$C$7,3,FALSE),"Missing")</f>
        <v>East</v>
      </c>
      <c r="T630" s="25" t="str">
        <f>C630&amp;"|"&amp;TEXT(tbl_clean_sales[[#This Row],[Date]],"yyyymm")</f>
        <v>E008|202604</v>
      </c>
      <c r="U630" s="25">
        <f>IFERROR(INDEX('05_Target_Master'!$A$1:$F$32,MATCH(tbl_clean_sales[[#This Row],[target key]],'05_Target_Master'!$F$1:$F$32,0),3),"Missing")</f>
        <v>124100</v>
      </c>
    </row>
    <row r="631" spans="1:21" x14ac:dyDescent="0.3">
      <c r="A631" s="21">
        <v>46179</v>
      </c>
      <c r="B631" s="22" t="s">
        <v>666</v>
      </c>
      <c r="C631" s="22" t="s">
        <v>40</v>
      </c>
      <c r="D631" s="22" t="s">
        <v>25</v>
      </c>
      <c r="E631" s="22" t="s">
        <v>26</v>
      </c>
      <c r="F631" s="22">
        <v>3</v>
      </c>
      <c r="G631" s="23">
        <v>1250.08</v>
      </c>
      <c r="H631" s="25" t="str">
        <f>IF(COUNTIF(tbl_clean_sales[Invoice_ID],tbl_clean_sales[[#This Row],[Invoice_ID]])&gt;1,"Duplicate","Unique")</f>
        <v>Unique</v>
      </c>
      <c r="I631" s="25"/>
      <c r="J6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1" s="25" t="str">
        <f>IFERROR(VLOOKUP(tbl_clean_sales[[#This Row],[Employee_ID]],'02_Employee_Master'!$A$1:$C$12,2,FALSE),"Employee Name Missing")</f>
        <v>Meena V</v>
      </c>
      <c r="L631" s="25" t="str">
        <f>IFERROR(VLOOKUP(tbl_clean_sales[[#This Row],[Employee_ID]],'02_Employee_Master'!$A$1:$C$12,3,FALSE),"Department Name Missing")</f>
        <v>Sales</v>
      </c>
      <c r="M631" s="25" t="str">
        <f>IF('03_Clean_data'!D631="","Missing",IFERROR(IF(VLOOKUP(D631,'03_Product_Master'!$A$1:$D$14,1,FALSE)='03_Clean_data'!D631,"Valid","Invalid"),"Invalid"))</f>
        <v>Valid</v>
      </c>
      <c r="N631" s="25" t="str">
        <f>IFERROR(VLOOKUP(tbl_clean_sales[[#This Row],[Product_ID]],'03_Product_Master'!$A$1:$D$14,2,FALSE),"Missing")</f>
        <v>Premium Coffee</v>
      </c>
      <c r="O631" s="25" t="str">
        <f>IFERROR(VLOOKUP(tbl_clean_sales[[#This Row],[Product_ID]],'03_Product_Master'!$A$1:$D$14,3,FALSE),"Missing")</f>
        <v>Beverages</v>
      </c>
      <c r="P631" s="25">
        <f>IFERROR(VLOOKUP(tbl_clean_sales[[#This Row],[Product_ID]],'03_Product_Master'!$A$1:$D$14,4,FALSE),"Missing")</f>
        <v>420</v>
      </c>
      <c r="Q631" s="25" t="str">
        <f>IF('03_Clean_data'!E631="","Missing",IFERROR(IF(VLOOKUP(E631,'04_Branch_Master'!$A$1:$C$7,1,FALSE)='03_Clean_data'!E631,"Valid","Invalid"),"Invalid"))</f>
        <v>Valid</v>
      </c>
      <c r="R631" s="25" t="str">
        <f>IFERROR(VLOOKUP(tbl_clean_sales[[#This Row],[Branch_ID]],'04_Branch_Master'!$A$1:$C$7,2,FALSE),"Missing")</f>
        <v>Palladam</v>
      </c>
      <c r="S631" s="25" t="str">
        <f>IFERROR(VLOOKUP(tbl_clean_sales[[#This Row],[Branch_ID]],'04_Branch_Master'!$A$1:$C$7,3,FALSE),"Missing")</f>
        <v>South</v>
      </c>
      <c r="T631" s="25" t="str">
        <f>C631&amp;"|"&amp;TEXT(tbl_clean_sales[[#This Row],[Date]],"yyyymm")</f>
        <v>E006|202606</v>
      </c>
      <c r="U631" s="25">
        <f>IFERROR(INDEX('05_Target_Master'!$A$1:$F$32,MATCH(tbl_clean_sales[[#This Row],[target key]],'05_Target_Master'!$F$1:$F$32,0),3),"Missing")</f>
        <v>125800</v>
      </c>
    </row>
    <row r="632" spans="1:21" x14ac:dyDescent="0.3">
      <c r="A632" s="21">
        <v>46203</v>
      </c>
      <c r="B632" s="22" t="s">
        <v>667</v>
      </c>
      <c r="C632" s="22" t="s">
        <v>8</v>
      </c>
      <c r="D632" s="22" t="s">
        <v>16</v>
      </c>
      <c r="E632" s="22" t="s">
        <v>10</v>
      </c>
      <c r="F632" s="22">
        <v>9</v>
      </c>
      <c r="G632" s="23">
        <v>2495.6</v>
      </c>
      <c r="H632" s="25" t="str">
        <f>IF(COUNTIF(tbl_clean_sales[Invoice_ID],tbl_clean_sales[[#This Row],[Invoice_ID]])&gt;1,"Duplicate","Unique")</f>
        <v>Unique</v>
      </c>
      <c r="I632" s="25"/>
      <c r="J6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2" s="25" t="str">
        <f>IFERROR(VLOOKUP(tbl_clean_sales[[#This Row],[Employee_ID]],'02_Employee_Master'!$A$1:$C$12,2,FALSE),"Employee Name Missing")</f>
        <v>Vignesh R</v>
      </c>
      <c r="L632" s="25" t="str">
        <f>IFERROR(VLOOKUP(tbl_clean_sales[[#This Row],[Employee_ID]],'02_Employee_Master'!$A$1:$C$12,3,FALSE),"Department Name Missing")</f>
        <v>Sales</v>
      </c>
      <c r="M632" s="25" t="str">
        <f>IF('03_Clean_data'!D632="","Missing",IFERROR(IF(VLOOKUP(D632,'03_Product_Master'!$A$1:$D$14,1,FALSE)='03_Clean_data'!D632,"Valid","Invalid"),"Invalid"))</f>
        <v>Valid</v>
      </c>
      <c r="N632" s="25" t="str">
        <f>IFERROR(VLOOKUP(tbl_clean_sales[[#This Row],[Product_ID]],'03_Product_Master'!$A$1:$D$14,2,FALSE),"Missing")</f>
        <v>Shampoo</v>
      </c>
      <c r="O632" s="25" t="str">
        <f>IFERROR(VLOOKUP(tbl_clean_sales[[#This Row],[Product_ID]],'03_Product_Master'!$A$1:$D$14,3,FALSE),"Missing")</f>
        <v>Personal Care</v>
      </c>
      <c r="P632" s="25">
        <f>IFERROR(VLOOKUP(tbl_clean_sales[[#This Row],[Product_ID]],'03_Product_Master'!$A$1:$D$14,4,FALSE),"Missing")</f>
        <v>310</v>
      </c>
      <c r="Q632" s="25" t="str">
        <f>IF('03_Clean_data'!E632="","Missing",IFERROR(IF(VLOOKUP(E632,'04_Branch_Master'!$A$1:$C$7,1,FALSE)='03_Clean_data'!E632,"Valid","Invalid"),"Invalid"))</f>
        <v>Valid</v>
      </c>
      <c r="R632" s="25" t="str">
        <f>IFERROR(VLOOKUP(tbl_clean_sales[[#This Row],[Branch_ID]],'04_Branch_Master'!$A$1:$C$7,2,FALSE),"Missing")</f>
        <v>Dharapuram</v>
      </c>
      <c r="S632" s="25" t="str">
        <f>IFERROR(VLOOKUP(tbl_clean_sales[[#This Row],[Branch_ID]],'04_Branch_Master'!$A$1:$C$7,3,FALSE),"Missing")</f>
        <v>South</v>
      </c>
      <c r="T632" s="25" t="str">
        <f>C632&amp;"|"&amp;TEXT(tbl_clean_sales[[#This Row],[Date]],"yyyymm")</f>
        <v>E009|202606</v>
      </c>
      <c r="U632" s="25">
        <f>IFERROR(INDEX('05_Target_Master'!$A$1:$F$32,MATCH(tbl_clean_sales[[#This Row],[target key]],'05_Target_Master'!$F$1:$F$32,0),3),"Missing")</f>
        <v>156700</v>
      </c>
    </row>
    <row r="633" spans="1:21" x14ac:dyDescent="0.3">
      <c r="A633" s="21">
        <v>46116</v>
      </c>
      <c r="B633" s="22" t="s">
        <v>668</v>
      </c>
      <c r="C633" s="22" t="s">
        <v>18</v>
      </c>
      <c r="D633" s="22" t="s">
        <v>30</v>
      </c>
      <c r="E633" s="22" t="s">
        <v>14</v>
      </c>
      <c r="F633" s="22">
        <v>1</v>
      </c>
      <c r="G633" s="23">
        <v>155.21</v>
      </c>
      <c r="H633" s="25" t="str">
        <f>IF(COUNTIF(tbl_clean_sales[Invoice_ID],tbl_clean_sales[[#This Row],[Invoice_ID]])&gt;1,"Duplicate","Unique")</f>
        <v>Unique</v>
      </c>
      <c r="I633" s="25"/>
      <c r="J6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3" s="25" t="str">
        <f>IFERROR(VLOOKUP(tbl_clean_sales[[#This Row],[Employee_ID]],'02_Employee_Master'!$A$1:$C$12,2,FALSE),"Employee Name Missing")</f>
        <v>Rahul M</v>
      </c>
      <c r="L633" s="25" t="str">
        <f>IFERROR(VLOOKUP(tbl_clean_sales[[#This Row],[Employee_ID]],'02_Employee_Master'!$A$1:$C$12,3,FALSE),"Department Name Missing")</f>
        <v>Sales</v>
      </c>
      <c r="M633" s="25" t="str">
        <f>IF('03_Clean_data'!D633="","Missing",IFERROR(IF(VLOOKUP(D633,'03_Product_Master'!$A$1:$D$14,1,FALSE)='03_Clean_data'!D633,"Valid","Invalid"),"Invalid"))</f>
        <v>Valid</v>
      </c>
      <c r="N633" s="25" t="str">
        <f>IFERROR(VLOOKUP(tbl_clean_sales[[#This Row],[Product_ID]],'03_Product_Master'!$A$1:$D$14,2,FALSE),"Missing")</f>
        <v>Cookies Pack</v>
      </c>
      <c r="O633" s="25" t="str">
        <f>IFERROR(VLOOKUP(tbl_clean_sales[[#This Row],[Product_ID]],'03_Product_Master'!$A$1:$D$14,3,FALSE),"Missing")</f>
        <v>Snacks</v>
      </c>
      <c r="P633" s="25">
        <f>IFERROR(VLOOKUP(tbl_clean_sales[[#This Row],[Product_ID]],'03_Product_Master'!$A$1:$D$14,4,FALSE),"Missing")</f>
        <v>160</v>
      </c>
      <c r="Q633" s="25" t="str">
        <f>IF('03_Clean_data'!E633="","Missing",IFERROR(IF(VLOOKUP(E633,'04_Branch_Master'!$A$1:$C$7,1,FALSE)='03_Clean_data'!E633,"Valid","Invalid"),"Invalid"))</f>
        <v>Valid</v>
      </c>
      <c r="R633" s="25" t="str">
        <f>IFERROR(VLOOKUP(tbl_clean_sales[[#This Row],[Branch_ID]],'04_Branch_Master'!$A$1:$C$7,2,FALSE),"Missing")</f>
        <v>Avinashi Road</v>
      </c>
      <c r="S633" s="25" t="str">
        <f>IFERROR(VLOOKUP(tbl_clean_sales[[#This Row],[Branch_ID]],'04_Branch_Master'!$A$1:$C$7,3,FALSE),"Missing")</f>
        <v>North</v>
      </c>
      <c r="T633" s="25" t="str">
        <f>C633&amp;"|"&amp;TEXT(tbl_clean_sales[[#This Row],[Date]],"yyyymm")</f>
        <v>E003|202604</v>
      </c>
      <c r="U633" s="25">
        <f>IFERROR(INDEX('05_Target_Master'!$A$1:$F$32,MATCH(tbl_clean_sales[[#This Row],[target key]],'05_Target_Master'!$F$1:$F$32,0),3),"Missing")</f>
        <v>116600</v>
      </c>
    </row>
    <row r="634" spans="1:21" x14ac:dyDescent="0.3">
      <c r="A634" s="21">
        <v>46171</v>
      </c>
      <c r="B634" s="22" t="s">
        <v>669</v>
      </c>
      <c r="C634" s="22" t="s">
        <v>74</v>
      </c>
      <c r="D634" s="22" t="s">
        <v>34</v>
      </c>
      <c r="E634" s="22" t="s">
        <v>22</v>
      </c>
      <c r="F634" s="22">
        <v>5</v>
      </c>
      <c r="G634" s="23">
        <v>525.69000000000005</v>
      </c>
      <c r="H634" s="25" t="str">
        <f>IF(COUNTIF(tbl_clean_sales[Invoice_ID],tbl_clean_sales[[#This Row],[Invoice_ID]])&gt;1,"Duplicate","Unique")</f>
        <v>Unique</v>
      </c>
      <c r="I634" s="25"/>
      <c r="J6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4" s="25" t="str">
        <f>IFERROR(VLOOKUP(tbl_clean_sales[[#This Row],[Employee_ID]],'02_Employee_Master'!$A$1:$C$12,2,FALSE),"Employee Name Missing")</f>
        <v>Arun Kumar</v>
      </c>
      <c r="L634" s="25" t="str">
        <f>IFERROR(VLOOKUP(tbl_clean_sales[[#This Row],[Employee_ID]],'02_Employee_Master'!$A$1:$C$12,3,FALSE),"Department Name Missing")</f>
        <v>Sales</v>
      </c>
      <c r="M634" s="25" t="str">
        <f>IF('03_Clean_data'!D634="","Missing",IFERROR(IF(VLOOKUP(D634,'03_Product_Master'!$A$1:$D$14,1,FALSE)='03_Clean_data'!D634,"Valid","Invalid"),"Invalid"))</f>
        <v>Valid</v>
      </c>
      <c r="N634" s="25" t="str">
        <f>IFERROR(VLOOKUP(tbl_clean_sales[[#This Row],[Product_ID]],'03_Product_Master'!$A$1:$D$14,2,FALSE),"Missing")</f>
        <v>Potato Chips</v>
      </c>
      <c r="O634" s="25" t="str">
        <f>IFERROR(VLOOKUP(tbl_clean_sales[[#This Row],[Product_ID]],'03_Product_Master'!$A$1:$D$14,3,FALSE),"Missing")</f>
        <v>Snacks</v>
      </c>
      <c r="P634" s="25">
        <f>IFERROR(VLOOKUP(tbl_clean_sales[[#This Row],[Product_ID]],'03_Product_Master'!$A$1:$D$14,4,FALSE),"Missing")</f>
        <v>110</v>
      </c>
      <c r="Q634" s="25" t="str">
        <f>IF('03_Clean_data'!E634="","Missing",IFERROR(IF(VLOOKUP(E634,'04_Branch_Master'!$A$1:$C$7,1,FALSE)='03_Clean_data'!E634,"Valid","Invalid"),"Invalid"))</f>
        <v>Valid</v>
      </c>
      <c r="R634" s="25" t="str">
        <f>IFERROR(VLOOKUP(tbl_clean_sales[[#This Row],[Branch_ID]],'04_Branch_Master'!$A$1:$C$7,2,FALSE),"Missing")</f>
        <v>Tirupur Central</v>
      </c>
      <c r="S634" s="25" t="str">
        <f>IFERROR(VLOOKUP(tbl_clean_sales[[#This Row],[Branch_ID]],'04_Branch_Master'!$A$1:$C$7,3,FALSE),"Missing")</f>
        <v>North</v>
      </c>
      <c r="T634" s="25" t="str">
        <f>C634&amp;"|"&amp;TEXT(tbl_clean_sales[[#This Row],[Date]],"yyyymm")</f>
        <v>E001|202605</v>
      </c>
      <c r="U634" s="25">
        <f>IFERROR(INDEX('05_Target_Master'!$A$1:$F$32,MATCH(tbl_clean_sales[[#This Row],[target key]],'05_Target_Master'!$F$1:$F$32,0),3),"Missing")</f>
        <v>169500</v>
      </c>
    </row>
    <row r="635" spans="1:21" x14ac:dyDescent="0.3">
      <c r="A635" s="21">
        <v>46172</v>
      </c>
      <c r="B635" s="22" t="s">
        <v>670</v>
      </c>
      <c r="C635" s="22" t="s">
        <v>8</v>
      </c>
      <c r="D635" s="22" t="s">
        <v>16</v>
      </c>
      <c r="E635" s="22" t="s">
        <v>10</v>
      </c>
      <c r="F635" s="22">
        <v>2</v>
      </c>
      <c r="G635" s="23">
        <v>569.32000000000005</v>
      </c>
      <c r="H635" s="25" t="str">
        <f>IF(COUNTIF(tbl_clean_sales[Invoice_ID],tbl_clean_sales[[#This Row],[Invoice_ID]])&gt;1,"Duplicate","Unique")</f>
        <v>Unique</v>
      </c>
      <c r="I635" s="25"/>
      <c r="J6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5" s="25" t="str">
        <f>IFERROR(VLOOKUP(tbl_clean_sales[[#This Row],[Employee_ID]],'02_Employee_Master'!$A$1:$C$12,2,FALSE),"Employee Name Missing")</f>
        <v>Vignesh R</v>
      </c>
      <c r="L635" s="25" t="str">
        <f>IFERROR(VLOOKUP(tbl_clean_sales[[#This Row],[Employee_ID]],'02_Employee_Master'!$A$1:$C$12,3,FALSE),"Department Name Missing")</f>
        <v>Sales</v>
      </c>
      <c r="M635" s="25" t="str">
        <f>IF('03_Clean_data'!D635="","Missing",IFERROR(IF(VLOOKUP(D635,'03_Product_Master'!$A$1:$D$14,1,FALSE)='03_Clean_data'!D635,"Valid","Invalid"),"Invalid"))</f>
        <v>Valid</v>
      </c>
      <c r="N635" s="25" t="str">
        <f>IFERROR(VLOOKUP(tbl_clean_sales[[#This Row],[Product_ID]],'03_Product_Master'!$A$1:$D$14,2,FALSE),"Missing")</f>
        <v>Shampoo</v>
      </c>
      <c r="O635" s="25" t="str">
        <f>IFERROR(VLOOKUP(tbl_clean_sales[[#This Row],[Product_ID]],'03_Product_Master'!$A$1:$D$14,3,FALSE),"Missing")</f>
        <v>Personal Care</v>
      </c>
      <c r="P635" s="25">
        <f>IFERROR(VLOOKUP(tbl_clean_sales[[#This Row],[Product_ID]],'03_Product_Master'!$A$1:$D$14,4,FALSE),"Missing")</f>
        <v>310</v>
      </c>
      <c r="Q635" s="25" t="str">
        <f>IF('03_Clean_data'!E635="","Missing",IFERROR(IF(VLOOKUP(E635,'04_Branch_Master'!$A$1:$C$7,1,FALSE)='03_Clean_data'!E635,"Valid","Invalid"),"Invalid"))</f>
        <v>Valid</v>
      </c>
      <c r="R635" s="25" t="str">
        <f>IFERROR(VLOOKUP(tbl_clean_sales[[#This Row],[Branch_ID]],'04_Branch_Master'!$A$1:$C$7,2,FALSE),"Missing")</f>
        <v>Dharapuram</v>
      </c>
      <c r="S635" s="25" t="str">
        <f>IFERROR(VLOOKUP(tbl_clean_sales[[#This Row],[Branch_ID]],'04_Branch_Master'!$A$1:$C$7,3,FALSE),"Missing")</f>
        <v>South</v>
      </c>
      <c r="T635" s="25" t="str">
        <f>C635&amp;"|"&amp;TEXT(tbl_clean_sales[[#This Row],[Date]],"yyyymm")</f>
        <v>E009|202605</v>
      </c>
      <c r="U635" s="25">
        <f>IFERROR(INDEX('05_Target_Master'!$A$1:$F$32,MATCH(tbl_clean_sales[[#This Row],[target key]],'05_Target_Master'!$F$1:$F$32,0),3),"Missing")</f>
        <v>176300</v>
      </c>
    </row>
    <row r="636" spans="1:21" x14ac:dyDescent="0.3">
      <c r="A636" s="21">
        <v>46143</v>
      </c>
      <c r="B636" s="22" t="s">
        <v>671</v>
      </c>
      <c r="C636" s="22" t="s">
        <v>40</v>
      </c>
      <c r="D636" s="22" t="s">
        <v>48</v>
      </c>
      <c r="E636" s="22" t="s">
        <v>26</v>
      </c>
      <c r="F636" s="22">
        <v>3</v>
      </c>
      <c r="G636" s="23">
        <v>690.1</v>
      </c>
      <c r="H636" s="25" t="str">
        <f>IF(COUNTIF(tbl_clean_sales[Invoice_ID],tbl_clean_sales[[#This Row],[Invoice_ID]])&gt;1,"Duplicate","Unique")</f>
        <v>Unique</v>
      </c>
      <c r="I636" s="25"/>
      <c r="J6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6" s="25" t="str">
        <f>IFERROR(VLOOKUP(tbl_clean_sales[[#This Row],[Employee_ID]],'02_Employee_Master'!$A$1:$C$12,2,FALSE),"Employee Name Missing")</f>
        <v>Meena V</v>
      </c>
      <c r="L636" s="25" t="str">
        <f>IFERROR(VLOOKUP(tbl_clean_sales[[#This Row],[Employee_ID]],'02_Employee_Master'!$A$1:$C$12,3,FALSE),"Department Name Missing")</f>
        <v>Sales</v>
      </c>
      <c r="M636" s="25" t="str">
        <f>IF('03_Clean_data'!D636="","Missing",IFERROR(IF(VLOOKUP(D636,'03_Product_Master'!$A$1:$D$14,1,FALSE)='03_Clean_data'!D636,"Valid","Invalid"),"Invalid"))</f>
        <v>Valid</v>
      </c>
      <c r="N636" s="25" t="str">
        <f>IFERROR(VLOOKUP(tbl_clean_sales[[#This Row],[Product_ID]],'03_Product_Master'!$A$1:$D$14,2,FALSE),"Missing")</f>
        <v>Face Wash</v>
      </c>
      <c r="O636" s="25" t="str">
        <f>IFERROR(VLOOKUP(tbl_clean_sales[[#This Row],[Product_ID]],'03_Product_Master'!$A$1:$D$14,3,FALSE),"Missing")</f>
        <v>Personal Care</v>
      </c>
      <c r="P636" s="25">
        <f>IFERROR(VLOOKUP(tbl_clean_sales[[#This Row],[Product_ID]],'03_Product_Master'!$A$1:$D$14,4,FALSE),"Missing")</f>
        <v>260</v>
      </c>
      <c r="Q636" s="25" t="str">
        <f>IF('03_Clean_data'!E636="","Missing",IFERROR(IF(VLOOKUP(E636,'04_Branch_Master'!$A$1:$C$7,1,FALSE)='03_Clean_data'!E636,"Valid","Invalid"),"Invalid"))</f>
        <v>Valid</v>
      </c>
      <c r="R636" s="25" t="str">
        <f>IFERROR(VLOOKUP(tbl_clean_sales[[#This Row],[Branch_ID]],'04_Branch_Master'!$A$1:$C$7,2,FALSE),"Missing")</f>
        <v>Palladam</v>
      </c>
      <c r="S636" s="25" t="str">
        <f>IFERROR(VLOOKUP(tbl_clean_sales[[#This Row],[Branch_ID]],'04_Branch_Master'!$A$1:$C$7,3,FALSE),"Missing")</f>
        <v>South</v>
      </c>
      <c r="T636" s="25" t="str">
        <f>C636&amp;"|"&amp;TEXT(tbl_clean_sales[[#This Row],[Date]],"yyyymm")</f>
        <v>E006|202605</v>
      </c>
      <c r="U636" s="25">
        <f>IFERROR(INDEX('05_Target_Master'!$A$1:$F$32,MATCH(tbl_clean_sales[[#This Row],[target key]],'05_Target_Master'!$F$1:$F$32,0),3),"Missing")</f>
        <v>141500</v>
      </c>
    </row>
    <row r="637" spans="1:21" x14ac:dyDescent="0.3">
      <c r="A637" s="21">
        <v>46173</v>
      </c>
      <c r="B637" s="22" t="s">
        <v>672</v>
      </c>
      <c r="C637" s="22" t="s">
        <v>29</v>
      </c>
      <c r="D637" s="22" t="s">
        <v>13</v>
      </c>
      <c r="E637" s="22" t="s">
        <v>10</v>
      </c>
      <c r="F637" s="22">
        <v>3</v>
      </c>
      <c r="G637" s="23">
        <v>1052.3900000000001</v>
      </c>
      <c r="H637" s="25" t="str">
        <f>IF(COUNTIF(tbl_clean_sales[Invoice_ID],tbl_clean_sales[[#This Row],[Invoice_ID]])&gt;1,"Duplicate","Unique")</f>
        <v>Unique</v>
      </c>
      <c r="I637" s="25"/>
      <c r="J6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7" s="25" t="str">
        <f>IFERROR(VLOOKUP(tbl_clean_sales[[#This Row],[Employee_ID]],'02_Employee_Master'!$A$1:$C$12,2,FALSE),"Employee Name Missing")</f>
        <v>Swetha L</v>
      </c>
      <c r="L637" s="25" t="str">
        <f>IFERROR(VLOOKUP(tbl_clean_sales[[#This Row],[Employee_ID]],'02_Employee_Master'!$A$1:$C$12,3,FALSE),"Department Name Missing")</f>
        <v>Sales</v>
      </c>
      <c r="M637" s="25" t="str">
        <f>IF('03_Clean_data'!D637="","Missing",IFERROR(IF(VLOOKUP(D637,'03_Product_Master'!$A$1:$D$14,1,FALSE)='03_Clean_data'!D637,"Valid","Invalid"),"Invalid"))</f>
        <v>Valid</v>
      </c>
      <c r="N637" s="25" t="str">
        <f>IFERROR(VLOOKUP(tbl_clean_sales[[#This Row],[Product_ID]],'03_Product_Master'!$A$1:$D$14,2,FALSE),"Missing")</f>
        <v>Body Lotion</v>
      </c>
      <c r="O637" s="25" t="str">
        <f>IFERROR(VLOOKUP(tbl_clean_sales[[#This Row],[Product_ID]],'03_Product_Master'!$A$1:$D$14,3,FALSE),"Missing")</f>
        <v>Personal Care</v>
      </c>
      <c r="P637" s="25">
        <f>IFERROR(VLOOKUP(tbl_clean_sales[[#This Row],[Product_ID]],'03_Product_Master'!$A$1:$D$14,4,FALSE),"Missing")</f>
        <v>390</v>
      </c>
      <c r="Q637" s="25" t="str">
        <f>IF('03_Clean_data'!E637="","Missing",IFERROR(IF(VLOOKUP(E637,'04_Branch_Master'!$A$1:$C$7,1,FALSE)='03_Clean_data'!E637,"Valid","Invalid"),"Invalid"))</f>
        <v>Valid</v>
      </c>
      <c r="R637" s="25" t="str">
        <f>IFERROR(VLOOKUP(tbl_clean_sales[[#This Row],[Branch_ID]],'04_Branch_Master'!$A$1:$C$7,2,FALSE),"Missing")</f>
        <v>Dharapuram</v>
      </c>
      <c r="S637" s="25" t="str">
        <f>IFERROR(VLOOKUP(tbl_clean_sales[[#This Row],[Branch_ID]],'04_Branch_Master'!$A$1:$C$7,3,FALSE),"Missing")</f>
        <v>South</v>
      </c>
      <c r="T637" s="25" t="str">
        <f>C637&amp;"|"&amp;TEXT(tbl_clean_sales[[#This Row],[Date]],"yyyymm")</f>
        <v>E010|202605</v>
      </c>
      <c r="U637" s="25">
        <f>IFERROR(INDEX('05_Target_Master'!$A$1:$F$32,MATCH(tbl_clean_sales[[#This Row],[target key]],'05_Target_Master'!$F$1:$F$32,0),3),"Missing")</f>
        <v>131500</v>
      </c>
    </row>
    <row r="638" spans="1:21" x14ac:dyDescent="0.3">
      <c r="A638" s="21">
        <v>46146</v>
      </c>
      <c r="B638" s="22" t="s">
        <v>673</v>
      </c>
      <c r="C638" s="22" t="s">
        <v>21</v>
      </c>
      <c r="D638" s="22" t="s">
        <v>82</v>
      </c>
      <c r="E638" s="22" t="s">
        <v>22</v>
      </c>
      <c r="F638" s="22">
        <v>1</v>
      </c>
      <c r="G638" s="23">
        <v>117.65</v>
      </c>
      <c r="H638" s="25" t="str">
        <f>IF(COUNTIF(tbl_clean_sales[Invoice_ID],tbl_clean_sales[[#This Row],[Invoice_ID]])&gt;1,"Duplicate","Unique")</f>
        <v>Unique</v>
      </c>
      <c r="I638" s="25"/>
      <c r="J6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8" s="25" t="str">
        <f>IFERROR(VLOOKUP(tbl_clean_sales[[#This Row],[Employee_ID]],'02_Employee_Master'!$A$1:$C$12,2,FALSE),"Employee Name Missing")</f>
        <v>Priya S</v>
      </c>
      <c r="L638" s="25" t="str">
        <f>IFERROR(VLOOKUP(tbl_clean_sales[[#This Row],[Employee_ID]],'02_Employee_Master'!$A$1:$C$12,3,FALSE),"Department Name Missing")</f>
        <v>Sales</v>
      </c>
      <c r="M638" s="25" t="str">
        <f>IF('03_Clean_data'!D638="","Missing",IFERROR(IF(VLOOKUP(D638,'03_Product_Master'!$A$1:$D$14,1,FALSE)='03_Clean_data'!D638,"Valid","Invalid"),"Invalid"))</f>
        <v>Valid</v>
      </c>
      <c r="N638" s="25" t="str">
        <f>IFERROR(VLOOKUP(tbl_clean_sales[[#This Row],[Product_ID]],'03_Product_Master'!$A$1:$D$14,2,FALSE),"Missing")</f>
        <v>Chocolate Bar</v>
      </c>
      <c r="O638" s="25" t="str">
        <f>IFERROR(VLOOKUP(tbl_clean_sales[[#This Row],[Product_ID]],'03_Product_Master'!$A$1:$D$14,3,FALSE),"Missing")</f>
        <v>Snacks</v>
      </c>
      <c r="P638" s="25">
        <f>IFERROR(VLOOKUP(tbl_clean_sales[[#This Row],[Product_ID]],'03_Product_Master'!$A$1:$D$14,4,FALSE),"Missing")</f>
        <v>120</v>
      </c>
      <c r="Q638" s="25" t="str">
        <f>IF('03_Clean_data'!E638="","Missing",IFERROR(IF(VLOOKUP(E638,'04_Branch_Master'!$A$1:$C$7,1,FALSE)='03_Clean_data'!E638,"Valid","Invalid"),"Invalid"))</f>
        <v>Valid</v>
      </c>
      <c r="R638" s="25" t="str">
        <f>IFERROR(VLOOKUP(tbl_clean_sales[[#This Row],[Branch_ID]],'04_Branch_Master'!$A$1:$C$7,2,FALSE),"Missing")</f>
        <v>Tirupur Central</v>
      </c>
      <c r="S638" s="25" t="str">
        <f>IFERROR(VLOOKUP(tbl_clean_sales[[#This Row],[Branch_ID]],'04_Branch_Master'!$A$1:$C$7,3,FALSE),"Missing")</f>
        <v>North</v>
      </c>
      <c r="T638" s="25" t="str">
        <f>C638&amp;"|"&amp;TEXT(tbl_clean_sales[[#This Row],[Date]],"yyyymm")</f>
        <v>E002|202605</v>
      </c>
      <c r="U638" s="25">
        <f>IFERROR(INDEX('05_Target_Master'!$A$1:$F$32,MATCH(tbl_clean_sales[[#This Row],[target key]],'05_Target_Master'!$F$1:$F$32,0),3),"Missing")</f>
        <v>132100</v>
      </c>
    </row>
    <row r="639" spans="1:21" x14ac:dyDescent="0.3">
      <c r="A639" s="21">
        <v>46186</v>
      </c>
      <c r="B639" s="22" t="s">
        <v>674</v>
      </c>
      <c r="C639" s="22" t="s">
        <v>12</v>
      </c>
      <c r="D639" s="22" t="s">
        <v>30</v>
      </c>
      <c r="E639" s="22" t="s">
        <v>14</v>
      </c>
      <c r="F639" s="22">
        <v>11</v>
      </c>
      <c r="G639" s="23">
        <v>1716.34</v>
      </c>
      <c r="H639" s="25" t="str">
        <f>IF(COUNTIF(tbl_clean_sales[Invoice_ID],tbl_clean_sales[[#This Row],[Invoice_ID]])&gt;1,"Duplicate","Unique")</f>
        <v>Unique</v>
      </c>
      <c r="I639" s="25"/>
      <c r="J6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39" s="25" t="str">
        <f>IFERROR(VLOOKUP(tbl_clean_sales[[#This Row],[Employee_ID]],'02_Employee_Master'!$A$1:$C$12,2,FALSE),"Employee Name Missing")</f>
        <v>Divya R</v>
      </c>
      <c r="L639" s="25" t="str">
        <f>IFERROR(VLOOKUP(tbl_clean_sales[[#This Row],[Employee_ID]],'02_Employee_Master'!$A$1:$C$12,3,FALSE),"Department Name Missing")</f>
        <v>Sales</v>
      </c>
      <c r="M639" s="25" t="str">
        <f>IF('03_Clean_data'!D639="","Missing",IFERROR(IF(VLOOKUP(D639,'03_Product_Master'!$A$1:$D$14,1,FALSE)='03_Clean_data'!D639,"Valid","Invalid"),"Invalid"))</f>
        <v>Valid</v>
      </c>
      <c r="N639" s="25" t="str">
        <f>IFERROR(VLOOKUP(tbl_clean_sales[[#This Row],[Product_ID]],'03_Product_Master'!$A$1:$D$14,2,FALSE),"Missing")</f>
        <v>Cookies Pack</v>
      </c>
      <c r="O639" s="25" t="str">
        <f>IFERROR(VLOOKUP(tbl_clean_sales[[#This Row],[Product_ID]],'03_Product_Master'!$A$1:$D$14,3,FALSE),"Missing")</f>
        <v>Snacks</v>
      </c>
      <c r="P639" s="25">
        <f>IFERROR(VLOOKUP(tbl_clean_sales[[#This Row],[Product_ID]],'03_Product_Master'!$A$1:$D$14,4,FALSE),"Missing")</f>
        <v>160</v>
      </c>
      <c r="Q639" s="25" t="str">
        <f>IF('03_Clean_data'!E639="","Missing",IFERROR(IF(VLOOKUP(E639,'04_Branch_Master'!$A$1:$C$7,1,FALSE)='03_Clean_data'!E639,"Valid","Invalid"),"Invalid"))</f>
        <v>Valid</v>
      </c>
      <c r="R639" s="25" t="str">
        <f>IFERROR(VLOOKUP(tbl_clean_sales[[#This Row],[Branch_ID]],'04_Branch_Master'!$A$1:$C$7,2,FALSE),"Missing")</f>
        <v>Avinashi Road</v>
      </c>
      <c r="S639" s="25" t="str">
        <f>IFERROR(VLOOKUP(tbl_clean_sales[[#This Row],[Branch_ID]],'04_Branch_Master'!$A$1:$C$7,3,FALSE),"Missing")</f>
        <v>North</v>
      </c>
      <c r="T639" s="25" t="str">
        <f>C639&amp;"|"&amp;TEXT(tbl_clean_sales[[#This Row],[Date]],"yyyymm")</f>
        <v>E004|202606</v>
      </c>
      <c r="U639" s="25">
        <f>IFERROR(INDEX('05_Target_Master'!$A$1:$F$32,MATCH(tbl_clean_sales[[#This Row],[target key]],'05_Target_Master'!$F$1:$F$32,0),3),"Missing")</f>
        <v>157100</v>
      </c>
    </row>
    <row r="640" spans="1:21" x14ac:dyDescent="0.3">
      <c r="A640" s="21">
        <v>46196</v>
      </c>
      <c r="B640" s="22" t="s">
        <v>675</v>
      </c>
      <c r="C640" s="22" t="s">
        <v>46</v>
      </c>
      <c r="D640" s="22" t="s">
        <v>13</v>
      </c>
      <c r="E640" s="22" t="s">
        <v>676</v>
      </c>
      <c r="F640" s="22">
        <v>11</v>
      </c>
      <c r="G640" s="23">
        <v>4285.42</v>
      </c>
      <c r="H640" s="25" t="str">
        <f>IF(COUNTIF(tbl_clean_sales[Invoice_ID],tbl_clean_sales[[#This Row],[Invoice_ID]])&gt;1,"Duplicate","Unique")</f>
        <v>Unique</v>
      </c>
      <c r="I640" s="25"/>
      <c r="J6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0" s="25" t="str">
        <f>IFERROR(VLOOKUP(tbl_clean_sales[[#This Row],[Employee_ID]],'02_Employee_Master'!$A$1:$C$12,2,FALSE),"Employee Name Missing")</f>
        <v>Suresh B</v>
      </c>
      <c r="L640" s="25" t="str">
        <f>IFERROR(VLOOKUP(tbl_clean_sales[[#This Row],[Employee_ID]],'02_Employee_Master'!$A$1:$C$12,3,FALSE),"Department Name Missing")</f>
        <v>Sales</v>
      </c>
      <c r="M640" s="25" t="str">
        <f>IF('03_Clean_data'!D640="","Missing",IFERROR(IF(VLOOKUP(D640,'03_Product_Master'!$A$1:$D$14,1,FALSE)='03_Clean_data'!D640,"Valid","Invalid"),"Invalid"))</f>
        <v>Valid</v>
      </c>
      <c r="N640" s="25" t="str">
        <f>IFERROR(VLOOKUP(tbl_clean_sales[[#This Row],[Product_ID]],'03_Product_Master'!$A$1:$D$14,2,FALSE),"Missing")</f>
        <v>Body Lotion</v>
      </c>
      <c r="O640" s="25" t="str">
        <f>IFERROR(VLOOKUP(tbl_clean_sales[[#This Row],[Product_ID]],'03_Product_Master'!$A$1:$D$14,3,FALSE),"Missing")</f>
        <v>Personal Care</v>
      </c>
      <c r="P640" s="25">
        <f>IFERROR(VLOOKUP(tbl_clean_sales[[#This Row],[Product_ID]],'03_Product_Master'!$A$1:$D$14,4,FALSE),"Missing")</f>
        <v>390</v>
      </c>
      <c r="Q640" s="25" t="str">
        <f>IF('03_Clean_data'!E640="","Missing",IFERROR(IF(VLOOKUP(E640,'04_Branch_Master'!$A$1:$C$7,1,FALSE)='03_Clean_data'!E640,"Valid","Invalid"),"Invalid"))</f>
        <v>Invalid</v>
      </c>
      <c r="R640" s="25" t="str">
        <f>IFERROR(VLOOKUP(tbl_clean_sales[[#This Row],[Branch_ID]],'04_Branch_Master'!$A$1:$C$7,2,FALSE),"Missing")</f>
        <v>Missing</v>
      </c>
      <c r="S640" s="25" t="str">
        <f>IFERROR(VLOOKUP(tbl_clean_sales[[#This Row],[Branch_ID]],'04_Branch_Master'!$A$1:$C$7,3,FALSE),"Missing")</f>
        <v>Missing</v>
      </c>
      <c r="T640" s="25" t="str">
        <f>C640&amp;"|"&amp;TEXT(tbl_clean_sales[[#This Row],[Date]],"yyyymm")</f>
        <v>E007|202606</v>
      </c>
      <c r="U640" s="25">
        <f>IFERROR(INDEX('05_Target_Master'!$A$1:$F$32,MATCH(tbl_clean_sales[[#This Row],[target key]],'05_Target_Master'!$F$1:$F$32,0),3),"Missing")</f>
        <v>124400</v>
      </c>
    </row>
    <row r="641" spans="1:21" x14ac:dyDescent="0.3">
      <c r="A641" s="21">
        <v>46129</v>
      </c>
      <c r="B641" s="22" t="s">
        <v>677</v>
      </c>
      <c r="C641" s="22" t="s">
        <v>18</v>
      </c>
      <c r="D641" s="22" t="s">
        <v>36</v>
      </c>
      <c r="E641" s="22" t="s">
        <v>14</v>
      </c>
      <c r="F641" s="22">
        <v>5</v>
      </c>
      <c r="G641" s="23">
        <v>880.65</v>
      </c>
      <c r="H641" s="25" t="str">
        <f>IF(COUNTIF(tbl_clean_sales[Invoice_ID],tbl_clean_sales[[#This Row],[Invoice_ID]])&gt;1,"Duplicate","Unique")</f>
        <v>Unique</v>
      </c>
      <c r="I641" s="25"/>
      <c r="J6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1" s="25" t="str">
        <f>IFERROR(VLOOKUP(tbl_clean_sales[[#This Row],[Employee_ID]],'02_Employee_Master'!$A$1:$C$12,2,FALSE),"Employee Name Missing")</f>
        <v>Rahul M</v>
      </c>
      <c r="L641" s="25" t="str">
        <f>IFERROR(VLOOKUP(tbl_clean_sales[[#This Row],[Employee_ID]],'02_Employee_Master'!$A$1:$C$12,3,FALSE),"Department Name Missing")</f>
        <v>Sales</v>
      </c>
      <c r="M641" s="25" t="str">
        <f>IF('03_Clean_data'!D641="","Missing",IFERROR(IF(VLOOKUP(D641,'03_Product_Master'!$A$1:$D$14,1,FALSE)='03_Clean_data'!D641,"Valid","Invalid"),"Invalid"))</f>
        <v>Valid</v>
      </c>
      <c r="N641" s="25" t="str">
        <f>IFERROR(VLOOKUP(tbl_clean_sales[[#This Row],[Product_ID]],'03_Product_Master'!$A$1:$D$14,2,FALSE),"Missing")</f>
        <v>Dish Wash</v>
      </c>
      <c r="O641" s="25" t="str">
        <f>IFERROR(VLOOKUP(tbl_clean_sales[[#This Row],[Product_ID]],'03_Product_Master'!$A$1:$D$14,3,FALSE),"Missing")</f>
        <v>Home Care</v>
      </c>
      <c r="P641" s="25">
        <f>IFERROR(VLOOKUP(tbl_clean_sales[[#This Row],[Product_ID]],'03_Product_Master'!$A$1:$D$14,4,FALSE),"Missing")</f>
        <v>190</v>
      </c>
      <c r="Q641" s="25" t="str">
        <f>IF('03_Clean_data'!E641="","Missing",IFERROR(IF(VLOOKUP(E641,'04_Branch_Master'!$A$1:$C$7,1,FALSE)='03_Clean_data'!E641,"Valid","Invalid"),"Invalid"))</f>
        <v>Valid</v>
      </c>
      <c r="R641" s="25" t="str">
        <f>IFERROR(VLOOKUP(tbl_clean_sales[[#This Row],[Branch_ID]],'04_Branch_Master'!$A$1:$C$7,2,FALSE),"Missing")</f>
        <v>Avinashi Road</v>
      </c>
      <c r="S641" s="25" t="str">
        <f>IFERROR(VLOOKUP(tbl_clean_sales[[#This Row],[Branch_ID]],'04_Branch_Master'!$A$1:$C$7,3,FALSE),"Missing")</f>
        <v>North</v>
      </c>
      <c r="T641" s="25" t="str">
        <f>C641&amp;"|"&amp;TEXT(tbl_clean_sales[[#This Row],[Date]],"yyyymm")</f>
        <v>E003|202604</v>
      </c>
      <c r="U641" s="25">
        <f>IFERROR(INDEX('05_Target_Master'!$A$1:$F$32,MATCH(tbl_clean_sales[[#This Row],[target key]],'05_Target_Master'!$F$1:$F$32,0),3),"Missing")</f>
        <v>116600</v>
      </c>
    </row>
    <row r="642" spans="1:21" x14ac:dyDescent="0.3">
      <c r="A642" s="21">
        <v>46152</v>
      </c>
      <c r="B642" s="22" t="s">
        <v>678</v>
      </c>
      <c r="C642" s="22" t="s">
        <v>24</v>
      </c>
      <c r="D642" s="22" t="s">
        <v>16</v>
      </c>
      <c r="E642" s="22" t="s">
        <v>26</v>
      </c>
      <c r="F642" s="22">
        <v>8</v>
      </c>
      <c r="G642" s="23">
        <v>2405.0100000000002</v>
      </c>
      <c r="H642" s="25" t="str">
        <f>IF(COUNTIF(tbl_clean_sales[Invoice_ID],tbl_clean_sales[[#This Row],[Invoice_ID]])&gt;1,"Duplicate","Unique")</f>
        <v>Unique</v>
      </c>
      <c r="I642" s="25"/>
      <c r="J6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2" s="25" t="str">
        <f>IFERROR(VLOOKUP(tbl_clean_sales[[#This Row],[Employee_ID]],'02_Employee_Master'!$A$1:$C$12,2,FALSE),"Employee Name Missing")</f>
        <v>Karthik P</v>
      </c>
      <c r="L642" s="25" t="str">
        <f>IFERROR(VLOOKUP(tbl_clean_sales[[#This Row],[Employee_ID]],'02_Employee_Master'!$A$1:$C$12,3,FALSE),"Department Name Missing")</f>
        <v>Sales</v>
      </c>
      <c r="M642" s="25" t="str">
        <f>IF('03_Clean_data'!D642="","Missing",IFERROR(IF(VLOOKUP(D642,'03_Product_Master'!$A$1:$D$14,1,FALSE)='03_Clean_data'!D642,"Valid","Invalid"),"Invalid"))</f>
        <v>Valid</v>
      </c>
      <c r="N642" s="25" t="str">
        <f>IFERROR(VLOOKUP(tbl_clean_sales[[#This Row],[Product_ID]],'03_Product_Master'!$A$1:$D$14,2,FALSE),"Missing")</f>
        <v>Shampoo</v>
      </c>
      <c r="O642" s="25" t="str">
        <f>IFERROR(VLOOKUP(tbl_clean_sales[[#This Row],[Product_ID]],'03_Product_Master'!$A$1:$D$14,3,FALSE),"Missing")</f>
        <v>Personal Care</v>
      </c>
      <c r="P642" s="25">
        <f>IFERROR(VLOOKUP(tbl_clean_sales[[#This Row],[Product_ID]],'03_Product_Master'!$A$1:$D$14,4,FALSE),"Missing")</f>
        <v>310</v>
      </c>
      <c r="Q642" s="25" t="str">
        <f>IF('03_Clean_data'!E642="","Missing",IFERROR(IF(VLOOKUP(E642,'04_Branch_Master'!$A$1:$C$7,1,FALSE)='03_Clean_data'!E642,"Valid","Invalid"),"Invalid"))</f>
        <v>Valid</v>
      </c>
      <c r="R642" s="25" t="str">
        <f>IFERROR(VLOOKUP(tbl_clean_sales[[#This Row],[Branch_ID]],'04_Branch_Master'!$A$1:$C$7,2,FALSE),"Missing")</f>
        <v>Palladam</v>
      </c>
      <c r="S642" s="25" t="str">
        <f>IFERROR(VLOOKUP(tbl_clean_sales[[#This Row],[Branch_ID]],'04_Branch_Master'!$A$1:$C$7,3,FALSE),"Missing")</f>
        <v>South</v>
      </c>
      <c r="T642" s="25" t="str">
        <f>C642&amp;"|"&amp;TEXT(tbl_clean_sales[[#This Row],[Date]],"yyyymm")</f>
        <v>E005|202605</v>
      </c>
      <c r="U642" s="25">
        <f>IFERROR(INDEX('05_Target_Master'!$A$1:$F$32,MATCH(tbl_clean_sales[[#This Row],[target key]],'05_Target_Master'!$F$1:$F$32,0),3),"Missing")</f>
        <v>143700</v>
      </c>
    </row>
    <row r="643" spans="1:21" x14ac:dyDescent="0.3">
      <c r="A643" s="21">
        <v>46172</v>
      </c>
      <c r="B643" s="22" t="s">
        <v>679</v>
      </c>
      <c r="C643" s="22" t="s">
        <v>24</v>
      </c>
      <c r="D643" s="22" t="s">
        <v>43</v>
      </c>
      <c r="E643" s="22" t="s">
        <v>26</v>
      </c>
      <c r="F643" s="22">
        <v>10</v>
      </c>
      <c r="G643" s="23">
        <v>3237.96</v>
      </c>
      <c r="H643" s="25" t="str">
        <f>IF(COUNTIF(tbl_clean_sales[Invoice_ID],tbl_clean_sales[[#This Row],[Invoice_ID]])&gt;1,"Duplicate","Unique")</f>
        <v>Unique</v>
      </c>
      <c r="I643" s="25"/>
      <c r="J6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3" s="25" t="str">
        <f>IFERROR(VLOOKUP(tbl_clean_sales[[#This Row],[Employee_ID]],'02_Employee_Master'!$A$1:$C$12,2,FALSE),"Employee Name Missing")</f>
        <v>Karthik P</v>
      </c>
      <c r="L643" s="25" t="str">
        <f>IFERROR(VLOOKUP(tbl_clean_sales[[#This Row],[Employee_ID]],'02_Employee_Master'!$A$1:$C$12,3,FALSE),"Department Name Missing")</f>
        <v>Sales</v>
      </c>
      <c r="M643" s="25" t="str">
        <f>IF('03_Clean_data'!D643="","Missing",IFERROR(IF(VLOOKUP(D643,'03_Product_Master'!$A$1:$D$14,1,FALSE)='03_Clean_data'!D643,"Valid","Invalid"),"Invalid"))</f>
        <v>Valid</v>
      </c>
      <c r="N643" s="25" t="str">
        <f>IFERROR(VLOOKUP(tbl_clean_sales[[#This Row],[Product_ID]],'03_Product_Master'!$A$1:$D$14,2,FALSE),"Missing")</f>
        <v>Laundry Liquid</v>
      </c>
      <c r="O643" s="25" t="str">
        <f>IFERROR(VLOOKUP(tbl_clean_sales[[#This Row],[Product_ID]],'03_Product_Master'!$A$1:$D$14,3,FALSE),"Missing")</f>
        <v>Home Care</v>
      </c>
      <c r="P643" s="25">
        <f>IFERROR(VLOOKUP(tbl_clean_sales[[#This Row],[Product_ID]],'03_Product_Master'!$A$1:$D$14,4,FALSE),"Missing")</f>
        <v>340</v>
      </c>
      <c r="Q643" s="25" t="str">
        <f>IF('03_Clean_data'!E643="","Missing",IFERROR(IF(VLOOKUP(E643,'04_Branch_Master'!$A$1:$C$7,1,FALSE)='03_Clean_data'!E643,"Valid","Invalid"),"Invalid"))</f>
        <v>Valid</v>
      </c>
      <c r="R643" s="25" t="str">
        <f>IFERROR(VLOOKUP(tbl_clean_sales[[#This Row],[Branch_ID]],'04_Branch_Master'!$A$1:$C$7,2,FALSE),"Missing")</f>
        <v>Palladam</v>
      </c>
      <c r="S643" s="25" t="str">
        <f>IFERROR(VLOOKUP(tbl_clean_sales[[#This Row],[Branch_ID]],'04_Branch_Master'!$A$1:$C$7,3,FALSE),"Missing")</f>
        <v>South</v>
      </c>
      <c r="T643" s="25" t="str">
        <f>C643&amp;"|"&amp;TEXT(tbl_clean_sales[[#This Row],[Date]],"yyyymm")</f>
        <v>E005|202605</v>
      </c>
      <c r="U643" s="25">
        <f>IFERROR(INDEX('05_Target_Master'!$A$1:$F$32,MATCH(tbl_clean_sales[[#This Row],[target key]],'05_Target_Master'!$F$1:$F$32,0),3),"Missing")</f>
        <v>143700</v>
      </c>
    </row>
    <row r="644" spans="1:21" x14ac:dyDescent="0.3">
      <c r="A644" s="21">
        <v>46126</v>
      </c>
      <c r="B644" s="22" t="s">
        <v>680</v>
      </c>
      <c r="C644" s="22" t="s">
        <v>74</v>
      </c>
      <c r="D644" s="22" t="s">
        <v>13</v>
      </c>
      <c r="E644" s="22" t="s">
        <v>26</v>
      </c>
      <c r="F644" s="22">
        <v>9</v>
      </c>
      <c r="G644" s="23">
        <v>3237.34</v>
      </c>
      <c r="H644" s="25" t="str">
        <f>IF(COUNTIF(tbl_clean_sales[Invoice_ID],tbl_clean_sales[[#This Row],[Invoice_ID]])&gt;1,"Duplicate","Unique")</f>
        <v>Unique</v>
      </c>
      <c r="I644" s="25"/>
      <c r="J6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4" s="25" t="str">
        <f>IFERROR(VLOOKUP(tbl_clean_sales[[#This Row],[Employee_ID]],'02_Employee_Master'!$A$1:$C$12,2,FALSE),"Employee Name Missing")</f>
        <v>Arun Kumar</v>
      </c>
      <c r="L644" s="25" t="str">
        <f>IFERROR(VLOOKUP(tbl_clean_sales[[#This Row],[Employee_ID]],'02_Employee_Master'!$A$1:$C$12,3,FALSE),"Department Name Missing")</f>
        <v>Sales</v>
      </c>
      <c r="M644" s="25" t="str">
        <f>IF('03_Clean_data'!D644="","Missing",IFERROR(IF(VLOOKUP(D644,'03_Product_Master'!$A$1:$D$14,1,FALSE)='03_Clean_data'!D644,"Valid","Invalid"),"Invalid"))</f>
        <v>Valid</v>
      </c>
      <c r="N644" s="25" t="str">
        <f>IFERROR(VLOOKUP(tbl_clean_sales[[#This Row],[Product_ID]],'03_Product_Master'!$A$1:$D$14,2,FALSE),"Missing")</f>
        <v>Body Lotion</v>
      </c>
      <c r="O644" s="25" t="str">
        <f>IFERROR(VLOOKUP(tbl_clean_sales[[#This Row],[Product_ID]],'03_Product_Master'!$A$1:$D$14,3,FALSE),"Missing")</f>
        <v>Personal Care</v>
      </c>
      <c r="P644" s="25">
        <f>IFERROR(VLOOKUP(tbl_clean_sales[[#This Row],[Product_ID]],'03_Product_Master'!$A$1:$D$14,4,FALSE),"Missing")</f>
        <v>390</v>
      </c>
      <c r="Q644" s="25" t="str">
        <f>IF('03_Clean_data'!E644="","Missing",IFERROR(IF(VLOOKUP(E644,'04_Branch_Master'!$A$1:$C$7,1,FALSE)='03_Clean_data'!E644,"Valid","Invalid"),"Invalid"))</f>
        <v>Valid</v>
      </c>
      <c r="R644" s="25" t="str">
        <f>IFERROR(VLOOKUP(tbl_clean_sales[[#This Row],[Branch_ID]],'04_Branch_Master'!$A$1:$C$7,2,FALSE),"Missing")</f>
        <v>Palladam</v>
      </c>
      <c r="S644" s="25" t="str">
        <f>IFERROR(VLOOKUP(tbl_clean_sales[[#This Row],[Branch_ID]],'04_Branch_Master'!$A$1:$C$7,3,FALSE),"Missing")</f>
        <v>South</v>
      </c>
      <c r="T644" s="25" t="str">
        <f>C644&amp;"|"&amp;TEXT(tbl_clean_sales[[#This Row],[Date]],"yyyymm")</f>
        <v>E001|202604</v>
      </c>
      <c r="U644" s="25">
        <f>IFERROR(INDEX('05_Target_Master'!$A$1:$F$32,MATCH(tbl_clean_sales[[#This Row],[target key]],'05_Target_Master'!$F$1:$F$32,0),3),"Missing")</f>
        <v>156900</v>
      </c>
    </row>
    <row r="645" spans="1:21" x14ac:dyDescent="0.3">
      <c r="A645" s="21">
        <v>46190</v>
      </c>
      <c r="B645" s="22" t="s">
        <v>681</v>
      </c>
      <c r="C645" s="22" t="s">
        <v>24</v>
      </c>
      <c r="D645" s="22" t="s">
        <v>82</v>
      </c>
      <c r="E645" s="22" t="s">
        <v>26</v>
      </c>
      <c r="F645" s="22">
        <v>8</v>
      </c>
      <c r="G645" s="23">
        <v>952.65</v>
      </c>
      <c r="H645" s="25" t="str">
        <f>IF(COUNTIF(tbl_clean_sales[Invoice_ID],tbl_clean_sales[[#This Row],[Invoice_ID]])&gt;1,"Duplicate","Unique")</f>
        <v>Unique</v>
      </c>
      <c r="I645" s="25"/>
      <c r="J6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5" s="25" t="str">
        <f>IFERROR(VLOOKUP(tbl_clean_sales[[#This Row],[Employee_ID]],'02_Employee_Master'!$A$1:$C$12,2,FALSE),"Employee Name Missing")</f>
        <v>Karthik P</v>
      </c>
      <c r="L645" s="25" t="str">
        <f>IFERROR(VLOOKUP(tbl_clean_sales[[#This Row],[Employee_ID]],'02_Employee_Master'!$A$1:$C$12,3,FALSE),"Department Name Missing")</f>
        <v>Sales</v>
      </c>
      <c r="M645" s="25" t="str">
        <f>IF('03_Clean_data'!D645="","Missing",IFERROR(IF(VLOOKUP(D645,'03_Product_Master'!$A$1:$D$14,1,FALSE)='03_Clean_data'!D645,"Valid","Invalid"),"Invalid"))</f>
        <v>Valid</v>
      </c>
      <c r="N645" s="25" t="str">
        <f>IFERROR(VLOOKUP(tbl_clean_sales[[#This Row],[Product_ID]],'03_Product_Master'!$A$1:$D$14,2,FALSE),"Missing")</f>
        <v>Chocolate Bar</v>
      </c>
      <c r="O645" s="25" t="str">
        <f>IFERROR(VLOOKUP(tbl_clean_sales[[#This Row],[Product_ID]],'03_Product_Master'!$A$1:$D$14,3,FALSE),"Missing")</f>
        <v>Snacks</v>
      </c>
      <c r="P645" s="25">
        <f>IFERROR(VLOOKUP(tbl_clean_sales[[#This Row],[Product_ID]],'03_Product_Master'!$A$1:$D$14,4,FALSE),"Missing")</f>
        <v>120</v>
      </c>
      <c r="Q645" s="25" t="str">
        <f>IF('03_Clean_data'!E645="","Missing",IFERROR(IF(VLOOKUP(E645,'04_Branch_Master'!$A$1:$C$7,1,FALSE)='03_Clean_data'!E645,"Valid","Invalid"),"Invalid"))</f>
        <v>Valid</v>
      </c>
      <c r="R645" s="25" t="str">
        <f>IFERROR(VLOOKUP(tbl_clean_sales[[#This Row],[Branch_ID]],'04_Branch_Master'!$A$1:$C$7,2,FALSE),"Missing")</f>
        <v>Palladam</v>
      </c>
      <c r="S645" s="25" t="str">
        <f>IFERROR(VLOOKUP(tbl_clean_sales[[#This Row],[Branch_ID]],'04_Branch_Master'!$A$1:$C$7,3,FALSE),"Missing")</f>
        <v>South</v>
      </c>
      <c r="T645" s="25" t="str">
        <f>C645&amp;"|"&amp;TEXT(tbl_clean_sales[[#This Row],[Date]],"yyyymm")</f>
        <v>E005|202606</v>
      </c>
      <c r="U645" s="25">
        <f>IFERROR(INDEX('05_Target_Master'!$A$1:$F$32,MATCH(tbl_clean_sales[[#This Row],[target key]],'05_Target_Master'!$F$1:$F$32,0),3),"Missing")</f>
        <v>127700</v>
      </c>
    </row>
    <row r="646" spans="1:21" x14ac:dyDescent="0.3">
      <c r="A646" s="21">
        <v>46148</v>
      </c>
      <c r="B646" s="22" t="s">
        <v>682</v>
      </c>
      <c r="C646" s="22" t="s">
        <v>40</v>
      </c>
      <c r="D646" s="22" t="s">
        <v>82</v>
      </c>
      <c r="E646" s="22" t="s">
        <v>26</v>
      </c>
      <c r="F646" s="22">
        <v>12</v>
      </c>
      <c r="G646" s="23">
        <v>1275.46</v>
      </c>
      <c r="H646" s="25" t="str">
        <f>IF(COUNTIF(tbl_clean_sales[Invoice_ID],tbl_clean_sales[[#This Row],[Invoice_ID]])&gt;1,"Duplicate","Unique")</f>
        <v>Unique</v>
      </c>
      <c r="I646" s="25"/>
      <c r="J6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6" s="25" t="str">
        <f>IFERROR(VLOOKUP(tbl_clean_sales[[#This Row],[Employee_ID]],'02_Employee_Master'!$A$1:$C$12,2,FALSE),"Employee Name Missing")</f>
        <v>Meena V</v>
      </c>
      <c r="L646" s="25" t="str">
        <f>IFERROR(VLOOKUP(tbl_clean_sales[[#This Row],[Employee_ID]],'02_Employee_Master'!$A$1:$C$12,3,FALSE),"Department Name Missing")</f>
        <v>Sales</v>
      </c>
      <c r="M646" s="25" t="str">
        <f>IF('03_Clean_data'!D646="","Missing",IFERROR(IF(VLOOKUP(D646,'03_Product_Master'!$A$1:$D$14,1,FALSE)='03_Clean_data'!D646,"Valid","Invalid"),"Invalid"))</f>
        <v>Valid</v>
      </c>
      <c r="N646" s="25" t="str">
        <f>IFERROR(VLOOKUP(tbl_clean_sales[[#This Row],[Product_ID]],'03_Product_Master'!$A$1:$D$14,2,FALSE),"Missing")</f>
        <v>Chocolate Bar</v>
      </c>
      <c r="O646" s="25" t="str">
        <f>IFERROR(VLOOKUP(tbl_clean_sales[[#This Row],[Product_ID]],'03_Product_Master'!$A$1:$D$14,3,FALSE),"Missing")</f>
        <v>Snacks</v>
      </c>
      <c r="P646" s="25">
        <f>IFERROR(VLOOKUP(tbl_clean_sales[[#This Row],[Product_ID]],'03_Product_Master'!$A$1:$D$14,4,FALSE),"Missing")</f>
        <v>120</v>
      </c>
      <c r="Q646" s="25" t="str">
        <f>IF('03_Clean_data'!E646="","Missing",IFERROR(IF(VLOOKUP(E646,'04_Branch_Master'!$A$1:$C$7,1,FALSE)='03_Clean_data'!E646,"Valid","Invalid"),"Invalid"))</f>
        <v>Valid</v>
      </c>
      <c r="R646" s="25" t="str">
        <f>IFERROR(VLOOKUP(tbl_clean_sales[[#This Row],[Branch_ID]],'04_Branch_Master'!$A$1:$C$7,2,FALSE),"Missing")</f>
        <v>Palladam</v>
      </c>
      <c r="S646" s="25" t="str">
        <f>IFERROR(VLOOKUP(tbl_clean_sales[[#This Row],[Branch_ID]],'04_Branch_Master'!$A$1:$C$7,3,FALSE),"Missing")</f>
        <v>South</v>
      </c>
      <c r="T646" s="25" t="str">
        <f>C646&amp;"|"&amp;TEXT(tbl_clean_sales[[#This Row],[Date]],"yyyymm")</f>
        <v>E006|202605</v>
      </c>
      <c r="U646" s="25">
        <f>IFERROR(INDEX('05_Target_Master'!$A$1:$F$32,MATCH(tbl_clean_sales[[#This Row],[target key]],'05_Target_Master'!$F$1:$F$32,0),3),"Missing")</f>
        <v>141500</v>
      </c>
    </row>
    <row r="647" spans="1:21" x14ac:dyDescent="0.3">
      <c r="A647" s="21">
        <v>46196</v>
      </c>
      <c r="B647" s="22" t="s">
        <v>683</v>
      </c>
      <c r="C647" s="22" t="s">
        <v>24</v>
      </c>
      <c r="D647" s="22" t="s">
        <v>30</v>
      </c>
      <c r="E647" s="22" t="s">
        <v>26</v>
      </c>
      <c r="F647" s="22">
        <v>4</v>
      </c>
      <c r="G647" s="23">
        <v>570.9</v>
      </c>
      <c r="H647" s="25" t="str">
        <f>IF(COUNTIF(tbl_clean_sales[Invoice_ID],tbl_clean_sales[[#This Row],[Invoice_ID]])&gt;1,"Duplicate","Unique")</f>
        <v>Unique</v>
      </c>
      <c r="I647" s="25"/>
      <c r="J6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7" s="25" t="str">
        <f>IFERROR(VLOOKUP(tbl_clean_sales[[#This Row],[Employee_ID]],'02_Employee_Master'!$A$1:$C$12,2,FALSE),"Employee Name Missing")</f>
        <v>Karthik P</v>
      </c>
      <c r="L647" s="25" t="str">
        <f>IFERROR(VLOOKUP(tbl_clean_sales[[#This Row],[Employee_ID]],'02_Employee_Master'!$A$1:$C$12,3,FALSE),"Department Name Missing")</f>
        <v>Sales</v>
      </c>
      <c r="M647" s="25" t="str">
        <f>IF('03_Clean_data'!D647="","Missing",IFERROR(IF(VLOOKUP(D647,'03_Product_Master'!$A$1:$D$14,1,FALSE)='03_Clean_data'!D647,"Valid","Invalid"),"Invalid"))</f>
        <v>Valid</v>
      </c>
      <c r="N647" s="25" t="str">
        <f>IFERROR(VLOOKUP(tbl_clean_sales[[#This Row],[Product_ID]],'03_Product_Master'!$A$1:$D$14,2,FALSE),"Missing")</f>
        <v>Cookies Pack</v>
      </c>
      <c r="O647" s="25" t="str">
        <f>IFERROR(VLOOKUP(tbl_clean_sales[[#This Row],[Product_ID]],'03_Product_Master'!$A$1:$D$14,3,FALSE),"Missing")</f>
        <v>Snacks</v>
      </c>
      <c r="P647" s="25">
        <f>IFERROR(VLOOKUP(tbl_clean_sales[[#This Row],[Product_ID]],'03_Product_Master'!$A$1:$D$14,4,FALSE),"Missing")</f>
        <v>160</v>
      </c>
      <c r="Q647" s="25" t="str">
        <f>IF('03_Clean_data'!E647="","Missing",IFERROR(IF(VLOOKUP(E647,'04_Branch_Master'!$A$1:$C$7,1,FALSE)='03_Clean_data'!E647,"Valid","Invalid"),"Invalid"))</f>
        <v>Valid</v>
      </c>
      <c r="R647" s="25" t="str">
        <f>IFERROR(VLOOKUP(tbl_clean_sales[[#This Row],[Branch_ID]],'04_Branch_Master'!$A$1:$C$7,2,FALSE),"Missing")</f>
        <v>Palladam</v>
      </c>
      <c r="S647" s="25" t="str">
        <f>IFERROR(VLOOKUP(tbl_clean_sales[[#This Row],[Branch_ID]],'04_Branch_Master'!$A$1:$C$7,3,FALSE),"Missing")</f>
        <v>South</v>
      </c>
      <c r="T647" s="25" t="str">
        <f>C647&amp;"|"&amp;TEXT(tbl_clean_sales[[#This Row],[Date]],"yyyymm")</f>
        <v>E005|202606</v>
      </c>
      <c r="U647" s="25">
        <f>IFERROR(INDEX('05_Target_Master'!$A$1:$F$32,MATCH(tbl_clean_sales[[#This Row],[target key]],'05_Target_Master'!$F$1:$F$32,0),3),"Missing")</f>
        <v>127700</v>
      </c>
    </row>
    <row r="648" spans="1:21" x14ac:dyDescent="0.3">
      <c r="A648" s="21">
        <v>46189</v>
      </c>
      <c r="B648" s="22" t="s">
        <v>684</v>
      </c>
      <c r="C648" s="22" t="s">
        <v>46</v>
      </c>
      <c r="D648" s="22" t="s">
        <v>43</v>
      </c>
      <c r="E648" s="22" t="s">
        <v>32</v>
      </c>
      <c r="F648" s="22">
        <v>3</v>
      </c>
      <c r="G648" s="23">
        <v>931.71</v>
      </c>
      <c r="H648" s="25" t="str">
        <f>IF(COUNTIF(tbl_clean_sales[Invoice_ID],tbl_clean_sales[[#This Row],[Invoice_ID]])&gt;1,"Duplicate","Unique")</f>
        <v>Unique</v>
      </c>
      <c r="I648" s="25"/>
      <c r="J6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8" s="25" t="str">
        <f>IFERROR(VLOOKUP(tbl_clean_sales[[#This Row],[Employee_ID]],'02_Employee_Master'!$A$1:$C$12,2,FALSE),"Employee Name Missing")</f>
        <v>Suresh B</v>
      </c>
      <c r="L648" s="25" t="str">
        <f>IFERROR(VLOOKUP(tbl_clean_sales[[#This Row],[Employee_ID]],'02_Employee_Master'!$A$1:$C$12,3,FALSE),"Department Name Missing")</f>
        <v>Sales</v>
      </c>
      <c r="M648" s="25" t="str">
        <f>IF('03_Clean_data'!D648="","Missing",IFERROR(IF(VLOOKUP(D648,'03_Product_Master'!$A$1:$D$14,1,FALSE)='03_Clean_data'!D648,"Valid","Invalid"),"Invalid"))</f>
        <v>Valid</v>
      </c>
      <c r="N648" s="25" t="str">
        <f>IFERROR(VLOOKUP(tbl_clean_sales[[#This Row],[Product_ID]],'03_Product_Master'!$A$1:$D$14,2,FALSE),"Missing")</f>
        <v>Laundry Liquid</v>
      </c>
      <c r="O648" s="25" t="str">
        <f>IFERROR(VLOOKUP(tbl_clean_sales[[#This Row],[Product_ID]],'03_Product_Master'!$A$1:$D$14,3,FALSE),"Missing")</f>
        <v>Home Care</v>
      </c>
      <c r="P648" s="25">
        <f>IFERROR(VLOOKUP(tbl_clean_sales[[#This Row],[Product_ID]],'03_Product_Master'!$A$1:$D$14,4,FALSE),"Missing")</f>
        <v>340</v>
      </c>
      <c r="Q648" s="25" t="str">
        <f>IF('03_Clean_data'!E648="","Missing",IFERROR(IF(VLOOKUP(E648,'04_Branch_Master'!$A$1:$C$7,1,FALSE)='03_Clean_data'!E648,"Valid","Invalid"),"Invalid"))</f>
        <v>Valid</v>
      </c>
      <c r="R648" s="25" t="str">
        <f>IFERROR(VLOOKUP(tbl_clean_sales[[#This Row],[Branch_ID]],'04_Branch_Master'!$A$1:$C$7,2,FALSE),"Missing")</f>
        <v>Kangeyam</v>
      </c>
      <c r="S648" s="25" t="str">
        <f>IFERROR(VLOOKUP(tbl_clean_sales[[#This Row],[Branch_ID]],'04_Branch_Master'!$A$1:$C$7,3,FALSE),"Missing")</f>
        <v>East</v>
      </c>
      <c r="T648" s="25" t="str">
        <f>C648&amp;"|"&amp;TEXT(tbl_clean_sales[[#This Row],[Date]],"yyyymm")</f>
        <v>E007|202606</v>
      </c>
      <c r="U648" s="25">
        <f>IFERROR(INDEX('05_Target_Master'!$A$1:$F$32,MATCH(tbl_clean_sales[[#This Row],[target key]],'05_Target_Master'!$F$1:$F$32,0),3),"Missing")</f>
        <v>124400</v>
      </c>
    </row>
    <row r="649" spans="1:21" x14ac:dyDescent="0.3">
      <c r="A649" s="21">
        <v>46196</v>
      </c>
      <c r="B649" s="22" t="s">
        <v>685</v>
      </c>
      <c r="C649" s="22" t="s">
        <v>38</v>
      </c>
      <c r="D649" s="22" t="s">
        <v>82</v>
      </c>
      <c r="E649" s="22" t="s">
        <v>32</v>
      </c>
      <c r="F649" s="22">
        <v>7</v>
      </c>
      <c r="G649" s="23">
        <v>799.22</v>
      </c>
      <c r="H649" s="25" t="str">
        <f>IF(COUNTIF(tbl_clean_sales[Invoice_ID],tbl_clean_sales[[#This Row],[Invoice_ID]])&gt;1,"Duplicate","Unique")</f>
        <v>Unique</v>
      </c>
      <c r="I649" s="25"/>
      <c r="J6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49" s="25" t="str">
        <f>IFERROR(VLOOKUP(tbl_clean_sales[[#This Row],[Employee_ID]],'02_Employee_Master'!$A$1:$C$12,2,FALSE),"Employee Name Missing")</f>
        <v>Nandhini K</v>
      </c>
      <c r="L649" s="25" t="str">
        <f>IFERROR(VLOOKUP(tbl_clean_sales[[#This Row],[Employee_ID]],'02_Employee_Master'!$A$1:$C$12,3,FALSE),"Department Name Missing")</f>
        <v>Sales</v>
      </c>
      <c r="M649" s="25" t="str">
        <f>IF('03_Clean_data'!D649="","Missing",IFERROR(IF(VLOOKUP(D649,'03_Product_Master'!$A$1:$D$14,1,FALSE)='03_Clean_data'!D649,"Valid","Invalid"),"Invalid"))</f>
        <v>Valid</v>
      </c>
      <c r="N649" s="25" t="str">
        <f>IFERROR(VLOOKUP(tbl_clean_sales[[#This Row],[Product_ID]],'03_Product_Master'!$A$1:$D$14,2,FALSE),"Missing")</f>
        <v>Chocolate Bar</v>
      </c>
      <c r="O649" s="25" t="str">
        <f>IFERROR(VLOOKUP(tbl_clean_sales[[#This Row],[Product_ID]],'03_Product_Master'!$A$1:$D$14,3,FALSE),"Missing")</f>
        <v>Snacks</v>
      </c>
      <c r="P649" s="25">
        <f>IFERROR(VLOOKUP(tbl_clean_sales[[#This Row],[Product_ID]],'03_Product_Master'!$A$1:$D$14,4,FALSE),"Missing")</f>
        <v>120</v>
      </c>
      <c r="Q649" s="25" t="str">
        <f>IF('03_Clean_data'!E649="","Missing",IFERROR(IF(VLOOKUP(E649,'04_Branch_Master'!$A$1:$C$7,1,FALSE)='03_Clean_data'!E649,"Valid","Invalid"),"Invalid"))</f>
        <v>Valid</v>
      </c>
      <c r="R649" s="25" t="str">
        <f>IFERROR(VLOOKUP(tbl_clean_sales[[#This Row],[Branch_ID]],'04_Branch_Master'!$A$1:$C$7,2,FALSE),"Missing")</f>
        <v>Kangeyam</v>
      </c>
      <c r="S649" s="25" t="str">
        <f>IFERROR(VLOOKUP(tbl_clean_sales[[#This Row],[Branch_ID]],'04_Branch_Master'!$A$1:$C$7,3,FALSE),"Missing")</f>
        <v>East</v>
      </c>
      <c r="T649" s="25" t="str">
        <f>C649&amp;"|"&amp;TEXT(tbl_clean_sales[[#This Row],[Date]],"yyyymm")</f>
        <v>E008|202606</v>
      </c>
      <c r="U649" s="25">
        <f>IFERROR(INDEX('05_Target_Master'!$A$1:$F$32,MATCH(tbl_clean_sales[[#This Row],[target key]],'05_Target_Master'!$F$1:$F$32,0),3),"Missing")</f>
        <v>119200</v>
      </c>
    </row>
    <row r="650" spans="1:21" x14ac:dyDescent="0.3">
      <c r="A650" s="21">
        <v>46117</v>
      </c>
      <c r="B650" s="22" t="s">
        <v>686</v>
      </c>
      <c r="C650" s="22" t="s">
        <v>29</v>
      </c>
      <c r="D650" s="22" t="s">
        <v>19</v>
      </c>
      <c r="E650" s="22" t="s">
        <v>14</v>
      </c>
      <c r="F650" s="22">
        <v>6</v>
      </c>
      <c r="G650" s="23">
        <v>1259.68</v>
      </c>
      <c r="H650" s="25" t="str">
        <f>IF(COUNTIF(tbl_clean_sales[Invoice_ID],tbl_clean_sales[[#This Row],[Invoice_ID]])&gt;1,"Duplicate","Unique")</f>
        <v>Unique</v>
      </c>
      <c r="I650" s="25"/>
      <c r="J6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0" s="25" t="str">
        <f>IFERROR(VLOOKUP(tbl_clean_sales[[#This Row],[Employee_ID]],'02_Employee_Master'!$A$1:$C$12,2,FALSE),"Employee Name Missing")</f>
        <v>Swetha L</v>
      </c>
      <c r="L650" s="25" t="str">
        <f>IFERROR(VLOOKUP(tbl_clean_sales[[#This Row],[Employee_ID]],'02_Employee_Master'!$A$1:$C$12,3,FALSE),"Department Name Missing")</f>
        <v>Sales</v>
      </c>
      <c r="M650" s="25" t="str">
        <f>IF('03_Clean_data'!D650="","Missing",IFERROR(IF(VLOOKUP(D650,'03_Product_Master'!$A$1:$D$14,1,FALSE)='03_Clean_data'!D650,"Valid","Invalid"),"Invalid"))</f>
        <v>Valid</v>
      </c>
      <c r="N650" s="25" t="str">
        <f>IFERROR(VLOOKUP(tbl_clean_sales[[#This Row],[Product_ID]],'03_Product_Master'!$A$1:$D$14,2,FALSE),"Missing")</f>
        <v>Floor Cleaner</v>
      </c>
      <c r="O650" s="25" t="str">
        <f>IFERROR(VLOOKUP(tbl_clean_sales[[#This Row],[Product_ID]],'03_Product_Master'!$A$1:$D$14,3,FALSE),"Missing")</f>
        <v>Home Care</v>
      </c>
      <c r="P650" s="25">
        <f>IFERROR(VLOOKUP(tbl_clean_sales[[#This Row],[Product_ID]],'03_Product_Master'!$A$1:$D$14,4,FALSE),"Missing")</f>
        <v>230</v>
      </c>
      <c r="Q650" s="25" t="str">
        <f>IF('03_Clean_data'!E650="","Missing",IFERROR(IF(VLOOKUP(E650,'04_Branch_Master'!$A$1:$C$7,1,FALSE)='03_Clean_data'!E650,"Valid","Invalid"),"Invalid"))</f>
        <v>Valid</v>
      </c>
      <c r="R650" s="25" t="str">
        <f>IFERROR(VLOOKUP(tbl_clean_sales[[#This Row],[Branch_ID]],'04_Branch_Master'!$A$1:$C$7,2,FALSE),"Missing")</f>
        <v>Avinashi Road</v>
      </c>
      <c r="S650" s="25" t="str">
        <f>IFERROR(VLOOKUP(tbl_clean_sales[[#This Row],[Branch_ID]],'04_Branch_Master'!$A$1:$C$7,3,FALSE),"Missing")</f>
        <v>North</v>
      </c>
      <c r="T650" s="25" t="str">
        <f>C650&amp;"|"&amp;TEXT(tbl_clean_sales[[#This Row],[Date]],"yyyymm")</f>
        <v>E010|202604</v>
      </c>
      <c r="U650" s="25">
        <f>IFERROR(INDEX('05_Target_Master'!$A$1:$F$32,MATCH(tbl_clean_sales[[#This Row],[target key]],'05_Target_Master'!$F$1:$F$32,0),3),"Missing")</f>
        <v>121700</v>
      </c>
    </row>
    <row r="651" spans="1:21" x14ac:dyDescent="0.3">
      <c r="A651" s="21">
        <v>46141</v>
      </c>
      <c r="B651" s="22" t="s">
        <v>687</v>
      </c>
      <c r="C651" s="22" t="s">
        <v>8</v>
      </c>
      <c r="D651" s="22" t="s">
        <v>43</v>
      </c>
      <c r="E651" s="22" t="s">
        <v>26</v>
      </c>
      <c r="F651" s="22">
        <v>9</v>
      </c>
      <c r="G651" s="23">
        <v>2949.77</v>
      </c>
      <c r="H651" s="25" t="str">
        <f>IF(COUNTIF(tbl_clean_sales[Invoice_ID],tbl_clean_sales[[#This Row],[Invoice_ID]])&gt;1,"Duplicate","Unique")</f>
        <v>Unique</v>
      </c>
      <c r="I651" s="25"/>
      <c r="J6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1" s="25" t="str">
        <f>IFERROR(VLOOKUP(tbl_clean_sales[[#This Row],[Employee_ID]],'02_Employee_Master'!$A$1:$C$12,2,FALSE),"Employee Name Missing")</f>
        <v>Vignesh R</v>
      </c>
      <c r="L651" s="25" t="str">
        <f>IFERROR(VLOOKUP(tbl_clean_sales[[#This Row],[Employee_ID]],'02_Employee_Master'!$A$1:$C$12,3,FALSE),"Department Name Missing")</f>
        <v>Sales</v>
      </c>
      <c r="M651" s="25" t="str">
        <f>IF('03_Clean_data'!D651="","Missing",IFERROR(IF(VLOOKUP(D651,'03_Product_Master'!$A$1:$D$14,1,FALSE)='03_Clean_data'!D651,"Valid","Invalid"),"Invalid"))</f>
        <v>Valid</v>
      </c>
      <c r="N651" s="25" t="str">
        <f>IFERROR(VLOOKUP(tbl_clean_sales[[#This Row],[Product_ID]],'03_Product_Master'!$A$1:$D$14,2,FALSE),"Missing")</f>
        <v>Laundry Liquid</v>
      </c>
      <c r="O651" s="25" t="str">
        <f>IFERROR(VLOOKUP(tbl_clean_sales[[#This Row],[Product_ID]],'03_Product_Master'!$A$1:$D$14,3,FALSE),"Missing")</f>
        <v>Home Care</v>
      </c>
      <c r="P651" s="25">
        <f>IFERROR(VLOOKUP(tbl_clean_sales[[#This Row],[Product_ID]],'03_Product_Master'!$A$1:$D$14,4,FALSE),"Missing")</f>
        <v>340</v>
      </c>
      <c r="Q651" s="25" t="str">
        <f>IF('03_Clean_data'!E651="","Missing",IFERROR(IF(VLOOKUP(E651,'04_Branch_Master'!$A$1:$C$7,1,FALSE)='03_Clean_data'!E651,"Valid","Invalid"),"Invalid"))</f>
        <v>Valid</v>
      </c>
      <c r="R651" s="25" t="str">
        <f>IFERROR(VLOOKUP(tbl_clean_sales[[#This Row],[Branch_ID]],'04_Branch_Master'!$A$1:$C$7,2,FALSE),"Missing")</f>
        <v>Palladam</v>
      </c>
      <c r="S651" s="25" t="str">
        <f>IFERROR(VLOOKUP(tbl_clean_sales[[#This Row],[Branch_ID]],'04_Branch_Master'!$A$1:$C$7,3,FALSE),"Missing")</f>
        <v>South</v>
      </c>
      <c r="T651" s="25" t="str">
        <f>C651&amp;"|"&amp;TEXT(tbl_clean_sales[[#This Row],[Date]],"yyyymm")</f>
        <v>E009|202604</v>
      </c>
      <c r="U651" s="25">
        <f>IFERROR(INDEX('05_Target_Master'!$A$1:$F$32,MATCH(tbl_clean_sales[[#This Row],[target key]],'05_Target_Master'!$F$1:$F$32,0),3),"Missing")</f>
        <v>163300</v>
      </c>
    </row>
    <row r="652" spans="1:21" x14ac:dyDescent="0.3">
      <c r="A652" s="21">
        <v>46134</v>
      </c>
      <c r="B652" s="22" t="s">
        <v>688</v>
      </c>
      <c r="C652" s="22" t="s">
        <v>8</v>
      </c>
      <c r="D652" s="22" t="s">
        <v>53</v>
      </c>
      <c r="E652" s="22" t="s">
        <v>10</v>
      </c>
      <c r="F652" s="22">
        <v>8</v>
      </c>
      <c r="G652" s="23">
        <v>2757.01</v>
      </c>
      <c r="H652" s="25" t="str">
        <f>IF(COUNTIF(tbl_clean_sales[Invoice_ID],tbl_clean_sales[[#This Row],[Invoice_ID]])&gt;1,"Duplicate","Unique")</f>
        <v>Unique</v>
      </c>
      <c r="I652" s="25"/>
      <c r="J65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2" s="25" t="str">
        <f>IFERROR(VLOOKUP(tbl_clean_sales[[#This Row],[Employee_ID]],'02_Employee_Master'!$A$1:$C$12,2,FALSE),"Employee Name Missing")</f>
        <v>Vignesh R</v>
      </c>
      <c r="L652" s="25" t="str">
        <f>IFERROR(VLOOKUP(tbl_clean_sales[[#This Row],[Employee_ID]],'02_Employee_Master'!$A$1:$C$12,3,FALSE),"Department Name Missing")</f>
        <v>Sales</v>
      </c>
      <c r="M652" s="25" t="str">
        <f>IF('03_Clean_data'!D652="","Missing",IFERROR(IF(VLOOKUP(D652,'03_Product_Master'!$A$1:$D$14,1,FALSE)='03_Clean_data'!D652,"Valid","Invalid"),"Invalid"))</f>
        <v>Valid</v>
      </c>
      <c r="N652" s="25" t="str">
        <f>IFERROR(VLOOKUP(tbl_clean_sales[[#This Row],[Product_ID]],'03_Product_Master'!$A$1:$D$14,2,FALSE),"Missing")</f>
        <v>Instant Coffee</v>
      </c>
      <c r="O652" s="25" t="str">
        <f>IFERROR(VLOOKUP(tbl_clean_sales[[#This Row],[Product_ID]],'03_Product_Master'!$A$1:$D$14,3,FALSE),"Missing")</f>
        <v>Beverages</v>
      </c>
      <c r="P652" s="25">
        <f>IFERROR(VLOOKUP(tbl_clean_sales[[#This Row],[Product_ID]],'03_Product_Master'!$A$1:$D$14,4,FALSE),"Missing")</f>
        <v>350</v>
      </c>
      <c r="Q652" s="25" t="str">
        <f>IF('03_Clean_data'!E652="","Missing",IFERROR(IF(VLOOKUP(E652,'04_Branch_Master'!$A$1:$C$7,1,FALSE)='03_Clean_data'!E652,"Valid","Invalid"),"Invalid"))</f>
        <v>Valid</v>
      </c>
      <c r="R652" s="25" t="str">
        <f>IFERROR(VLOOKUP(tbl_clean_sales[[#This Row],[Branch_ID]],'04_Branch_Master'!$A$1:$C$7,2,FALSE),"Missing")</f>
        <v>Dharapuram</v>
      </c>
      <c r="S652" s="25" t="str">
        <f>IFERROR(VLOOKUP(tbl_clean_sales[[#This Row],[Branch_ID]],'04_Branch_Master'!$A$1:$C$7,3,FALSE),"Missing")</f>
        <v>South</v>
      </c>
      <c r="T652" s="25" t="str">
        <f>C652&amp;"|"&amp;TEXT(tbl_clean_sales[[#This Row],[Date]],"yyyymm")</f>
        <v>E009|202604</v>
      </c>
      <c r="U652" s="25">
        <f>IFERROR(INDEX('05_Target_Master'!$A$1:$F$32,MATCH(tbl_clean_sales[[#This Row],[target key]],'05_Target_Master'!$F$1:$F$32,0),3),"Missing")</f>
        <v>163300</v>
      </c>
    </row>
    <row r="653" spans="1:21" x14ac:dyDescent="0.3">
      <c r="A653" s="21">
        <v>46146</v>
      </c>
      <c r="B653" s="22" t="s">
        <v>689</v>
      </c>
      <c r="C653" s="22" t="s">
        <v>8</v>
      </c>
      <c r="D653" s="22" t="s">
        <v>53</v>
      </c>
      <c r="E653" s="22" t="s">
        <v>26</v>
      </c>
      <c r="F653" s="22">
        <v>11</v>
      </c>
      <c r="G653" s="23">
        <v>3808.74</v>
      </c>
      <c r="H653" s="25" t="str">
        <f>IF(COUNTIF(tbl_clean_sales[Invoice_ID],tbl_clean_sales[[#This Row],[Invoice_ID]])&gt;1,"Duplicate","Unique")</f>
        <v>Unique</v>
      </c>
      <c r="I653" s="25"/>
      <c r="J65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3" s="25" t="str">
        <f>IFERROR(VLOOKUP(tbl_clean_sales[[#This Row],[Employee_ID]],'02_Employee_Master'!$A$1:$C$12,2,FALSE),"Employee Name Missing")</f>
        <v>Vignesh R</v>
      </c>
      <c r="L653" s="25" t="str">
        <f>IFERROR(VLOOKUP(tbl_clean_sales[[#This Row],[Employee_ID]],'02_Employee_Master'!$A$1:$C$12,3,FALSE),"Department Name Missing")</f>
        <v>Sales</v>
      </c>
      <c r="M653" s="25" t="str">
        <f>IF('03_Clean_data'!D653="","Missing",IFERROR(IF(VLOOKUP(D653,'03_Product_Master'!$A$1:$D$14,1,FALSE)='03_Clean_data'!D653,"Valid","Invalid"),"Invalid"))</f>
        <v>Valid</v>
      </c>
      <c r="N653" s="25" t="str">
        <f>IFERROR(VLOOKUP(tbl_clean_sales[[#This Row],[Product_ID]],'03_Product_Master'!$A$1:$D$14,2,FALSE),"Missing")</f>
        <v>Instant Coffee</v>
      </c>
      <c r="O653" s="25" t="str">
        <f>IFERROR(VLOOKUP(tbl_clean_sales[[#This Row],[Product_ID]],'03_Product_Master'!$A$1:$D$14,3,FALSE),"Missing")</f>
        <v>Beverages</v>
      </c>
      <c r="P653" s="25">
        <f>IFERROR(VLOOKUP(tbl_clean_sales[[#This Row],[Product_ID]],'03_Product_Master'!$A$1:$D$14,4,FALSE),"Missing")</f>
        <v>350</v>
      </c>
      <c r="Q653" s="25" t="str">
        <f>IF('03_Clean_data'!E653="","Missing",IFERROR(IF(VLOOKUP(E653,'04_Branch_Master'!$A$1:$C$7,1,FALSE)='03_Clean_data'!E653,"Valid","Invalid"),"Invalid"))</f>
        <v>Valid</v>
      </c>
      <c r="R653" s="25" t="str">
        <f>IFERROR(VLOOKUP(tbl_clean_sales[[#This Row],[Branch_ID]],'04_Branch_Master'!$A$1:$C$7,2,FALSE),"Missing")</f>
        <v>Palladam</v>
      </c>
      <c r="S653" s="25" t="str">
        <f>IFERROR(VLOOKUP(tbl_clean_sales[[#This Row],[Branch_ID]],'04_Branch_Master'!$A$1:$C$7,3,FALSE),"Missing")</f>
        <v>South</v>
      </c>
      <c r="T653" s="25" t="str">
        <f>C653&amp;"|"&amp;TEXT(tbl_clean_sales[[#This Row],[Date]],"yyyymm")</f>
        <v>E009|202605</v>
      </c>
      <c r="U653" s="25">
        <f>IFERROR(INDEX('05_Target_Master'!$A$1:$F$32,MATCH(tbl_clean_sales[[#This Row],[target key]],'05_Target_Master'!$F$1:$F$32,0),3),"Missing")</f>
        <v>176300</v>
      </c>
    </row>
    <row r="654" spans="1:21" x14ac:dyDescent="0.3">
      <c r="A654" s="21">
        <v>46158</v>
      </c>
      <c r="B654" s="22" t="s">
        <v>690</v>
      </c>
      <c r="C654" s="22" t="s">
        <v>12</v>
      </c>
      <c r="D654" s="22" t="s">
        <v>19</v>
      </c>
      <c r="E654" s="22" t="s">
        <v>32</v>
      </c>
      <c r="F654" s="22">
        <v>6</v>
      </c>
      <c r="G654" s="23">
        <v>1318.45</v>
      </c>
      <c r="H654" s="25" t="str">
        <f>IF(COUNTIF(tbl_clean_sales[Invoice_ID],tbl_clean_sales[[#This Row],[Invoice_ID]])&gt;1,"Duplicate","Unique")</f>
        <v>Unique</v>
      </c>
      <c r="I654" s="25"/>
      <c r="J65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4" s="25" t="str">
        <f>IFERROR(VLOOKUP(tbl_clean_sales[[#This Row],[Employee_ID]],'02_Employee_Master'!$A$1:$C$12,2,FALSE),"Employee Name Missing")</f>
        <v>Divya R</v>
      </c>
      <c r="L654" s="25" t="str">
        <f>IFERROR(VLOOKUP(tbl_clean_sales[[#This Row],[Employee_ID]],'02_Employee_Master'!$A$1:$C$12,3,FALSE),"Department Name Missing")</f>
        <v>Sales</v>
      </c>
      <c r="M654" s="25" t="str">
        <f>IF('03_Clean_data'!D654="","Missing",IFERROR(IF(VLOOKUP(D654,'03_Product_Master'!$A$1:$D$14,1,FALSE)='03_Clean_data'!D654,"Valid","Invalid"),"Invalid"))</f>
        <v>Valid</v>
      </c>
      <c r="N654" s="25" t="str">
        <f>IFERROR(VLOOKUP(tbl_clean_sales[[#This Row],[Product_ID]],'03_Product_Master'!$A$1:$D$14,2,FALSE),"Missing")</f>
        <v>Floor Cleaner</v>
      </c>
      <c r="O654" s="25" t="str">
        <f>IFERROR(VLOOKUP(tbl_clean_sales[[#This Row],[Product_ID]],'03_Product_Master'!$A$1:$D$14,3,FALSE),"Missing")</f>
        <v>Home Care</v>
      </c>
      <c r="P654" s="25">
        <f>IFERROR(VLOOKUP(tbl_clean_sales[[#This Row],[Product_ID]],'03_Product_Master'!$A$1:$D$14,4,FALSE),"Missing")</f>
        <v>230</v>
      </c>
      <c r="Q654" s="25" t="str">
        <f>IF('03_Clean_data'!E654="","Missing",IFERROR(IF(VLOOKUP(E654,'04_Branch_Master'!$A$1:$C$7,1,FALSE)='03_Clean_data'!E654,"Valid","Invalid"),"Invalid"))</f>
        <v>Valid</v>
      </c>
      <c r="R654" s="25" t="str">
        <f>IFERROR(VLOOKUP(tbl_clean_sales[[#This Row],[Branch_ID]],'04_Branch_Master'!$A$1:$C$7,2,FALSE),"Missing")</f>
        <v>Kangeyam</v>
      </c>
      <c r="S654" s="25" t="str">
        <f>IFERROR(VLOOKUP(tbl_clean_sales[[#This Row],[Branch_ID]],'04_Branch_Master'!$A$1:$C$7,3,FALSE),"Missing")</f>
        <v>East</v>
      </c>
      <c r="T654" s="25" t="str">
        <f>C654&amp;"|"&amp;TEXT(tbl_clean_sales[[#This Row],[Date]],"yyyymm")</f>
        <v>E004|202605</v>
      </c>
      <c r="U654" s="25">
        <f>IFERROR(INDEX('05_Target_Master'!$A$1:$F$32,MATCH(tbl_clean_sales[[#This Row],[target key]],'05_Target_Master'!$F$1:$F$32,0),3),"Missing")</f>
        <v>176700</v>
      </c>
    </row>
    <row r="655" spans="1:21" x14ac:dyDescent="0.3">
      <c r="A655" s="21">
        <v>46187</v>
      </c>
      <c r="B655" s="22" t="s">
        <v>691</v>
      </c>
      <c r="C655" s="22" t="s">
        <v>24</v>
      </c>
      <c r="D655" s="22" t="s">
        <v>48</v>
      </c>
      <c r="E655" s="22" t="s">
        <v>32</v>
      </c>
      <c r="F655" s="22">
        <v>1</v>
      </c>
      <c r="G655" s="23">
        <v>232.97</v>
      </c>
      <c r="H655" s="25" t="str">
        <f>IF(COUNTIF(tbl_clean_sales[Invoice_ID],tbl_clean_sales[[#This Row],[Invoice_ID]])&gt;1,"Duplicate","Unique")</f>
        <v>Unique</v>
      </c>
      <c r="I655" s="25"/>
      <c r="J65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5" s="25" t="str">
        <f>IFERROR(VLOOKUP(tbl_clean_sales[[#This Row],[Employee_ID]],'02_Employee_Master'!$A$1:$C$12,2,FALSE),"Employee Name Missing")</f>
        <v>Karthik P</v>
      </c>
      <c r="L655" s="25" t="str">
        <f>IFERROR(VLOOKUP(tbl_clean_sales[[#This Row],[Employee_ID]],'02_Employee_Master'!$A$1:$C$12,3,FALSE),"Department Name Missing")</f>
        <v>Sales</v>
      </c>
      <c r="M655" s="25" t="str">
        <f>IF('03_Clean_data'!D655="","Missing",IFERROR(IF(VLOOKUP(D655,'03_Product_Master'!$A$1:$D$14,1,FALSE)='03_Clean_data'!D655,"Valid","Invalid"),"Invalid"))</f>
        <v>Valid</v>
      </c>
      <c r="N655" s="25" t="str">
        <f>IFERROR(VLOOKUP(tbl_clean_sales[[#This Row],[Product_ID]],'03_Product_Master'!$A$1:$D$14,2,FALSE),"Missing")</f>
        <v>Face Wash</v>
      </c>
      <c r="O655" s="25" t="str">
        <f>IFERROR(VLOOKUP(tbl_clean_sales[[#This Row],[Product_ID]],'03_Product_Master'!$A$1:$D$14,3,FALSE),"Missing")</f>
        <v>Personal Care</v>
      </c>
      <c r="P655" s="25">
        <f>IFERROR(VLOOKUP(tbl_clean_sales[[#This Row],[Product_ID]],'03_Product_Master'!$A$1:$D$14,4,FALSE),"Missing")</f>
        <v>260</v>
      </c>
      <c r="Q655" s="25" t="str">
        <f>IF('03_Clean_data'!E655="","Missing",IFERROR(IF(VLOOKUP(E655,'04_Branch_Master'!$A$1:$C$7,1,FALSE)='03_Clean_data'!E655,"Valid","Invalid"),"Invalid"))</f>
        <v>Valid</v>
      </c>
      <c r="R655" s="25" t="str">
        <f>IFERROR(VLOOKUP(tbl_clean_sales[[#This Row],[Branch_ID]],'04_Branch_Master'!$A$1:$C$7,2,FALSE),"Missing")</f>
        <v>Kangeyam</v>
      </c>
      <c r="S655" s="25" t="str">
        <f>IFERROR(VLOOKUP(tbl_clean_sales[[#This Row],[Branch_ID]],'04_Branch_Master'!$A$1:$C$7,3,FALSE),"Missing")</f>
        <v>East</v>
      </c>
      <c r="T655" s="25" t="str">
        <f>C655&amp;"|"&amp;TEXT(tbl_clean_sales[[#This Row],[Date]],"yyyymm")</f>
        <v>E005|202606</v>
      </c>
      <c r="U655" s="25">
        <f>IFERROR(INDEX('05_Target_Master'!$A$1:$F$32,MATCH(tbl_clean_sales[[#This Row],[target key]],'05_Target_Master'!$F$1:$F$32,0),3),"Missing")</f>
        <v>127700</v>
      </c>
    </row>
    <row r="656" spans="1:21" x14ac:dyDescent="0.3">
      <c r="A656" s="21">
        <v>46187</v>
      </c>
      <c r="B656" s="22" t="s">
        <v>692</v>
      </c>
      <c r="C656" s="22" t="s">
        <v>29</v>
      </c>
      <c r="D656" s="22" t="s">
        <v>36</v>
      </c>
      <c r="E656" s="22" t="s">
        <v>10</v>
      </c>
      <c r="F656" s="22">
        <v>4</v>
      </c>
      <c r="G656" s="23">
        <v>714.36</v>
      </c>
      <c r="H656" s="25" t="str">
        <f>IF(COUNTIF(tbl_clean_sales[Invoice_ID],tbl_clean_sales[[#This Row],[Invoice_ID]])&gt;1,"Duplicate","Unique")</f>
        <v>Unique</v>
      </c>
      <c r="I656" s="25"/>
      <c r="J65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6" s="25" t="str">
        <f>IFERROR(VLOOKUP(tbl_clean_sales[[#This Row],[Employee_ID]],'02_Employee_Master'!$A$1:$C$12,2,FALSE),"Employee Name Missing")</f>
        <v>Swetha L</v>
      </c>
      <c r="L656" s="25" t="str">
        <f>IFERROR(VLOOKUP(tbl_clean_sales[[#This Row],[Employee_ID]],'02_Employee_Master'!$A$1:$C$12,3,FALSE),"Department Name Missing")</f>
        <v>Sales</v>
      </c>
      <c r="M656" s="25" t="str">
        <f>IF('03_Clean_data'!D656="","Missing",IFERROR(IF(VLOOKUP(D656,'03_Product_Master'!$A$1:$D$14,1,FALSE)='03_Clean_data'!D656,"Valid","Invalid"),"Invalid"))</f>
        <v>Valid</v>
      </c>
      <c r="N656" s="25" t="str">
        <f>IFERROR(VLOOKUP(tbl_clean_sales[[#This Row],[Product_ID]],'03_Product_Master'!$A$1:$D$14,2,FALSE),"Missing")</f>
        <v>Dish Wash</v>
      </c>
      <c r="O656" s="25" t="str">
        <f>IFERROR(VLOOKUP(tbl_clean_sales[[#This Row],[Product_ID]],'03_Product_Master'!$A$1:$D$14,3,FALSE),"Missing")</f>
        <v>Home Care</v>
      </c>
      <c r="P656" s="25">
        <f>IFERROR(VLOOKUP(tbl_clean_sales[[#This Row],[Product_ID]],'03_Product_Master'!$A$1:$D$14,4,FALSE),"Missing")</f>
        <v>190</v>
      </c>
      <c r="Q656" s="25" t="str">
        <f>IF('03_Clean_data'!E656="","Missing",IFERROR(IF(VLOOKUP(E656,'04_Branch_Master'!$A$1:$C$7,1,FALSE)='03_Clean_data'!E656,"Valid","Invalid"),"Invalid"))</f>
        <v>Valid</v>
      </c>
      <c r="R656" s="25" t="str">
        <f>IFERROR(VLOOKUP(tbl_clean_sales[[#This Row],[Branch_ID]],'04_Branch_Master'!$A$1:$C$7,2,FALSE),"Missing")</f>
        <v>Dharapuram</v>
      </c>
      <c r="S656" s="25" t="str">
        <f>IFERROR(VLOOKUP(tbl_clean_sales[[#This Row],[Branch_ID]],'04_Branch_Master'!$A$1:$C$7,3,FALSE),"Missing")</f>
        <v>South</v>
      </c>
      <c r="T656" s="25" t="str">
        <f>C656&amp;"|"&amp;TEXT(tbl_clean_sales[[#This Row],[Date]],"yyyymm")</f>
        <v>E010|202606</v>
      </c>
      <c r="U656" s="25">
        <f>IFERROR(INDEX('05_Target_Master'!$A$1:$F$32,MATCH(tbl_clean_sales[[#This Row],[target key]],'05_Target_Master'!$F$1:$F$32,0),3),"Missing")</f>
        <v>116800</v>
      </c>
    </row>
    <row r="657" spans="1:21" x14ac:dyDescent="0.3">
      <c r="A657" s="21">
        <v>46200</v>
      </c>
      <c r="B657" s="22" t="s">
        <v>693</v>
      </c>
      <c r="C657" s="22" t="s">
        <v>46</v>
      </c>
      <c r="D657" s="22" t="s">
        <v>13</v>
      </c>
      <c r="E657" s="22" t="s">
        <v>32</v>
      </c>
      <c r="F657" s="22">
        <v>1</v>
      </c>
      <c r="G657" s="23">
        <v>349.24</v>
      </c>
      <c r="H657" s="25" t="str">
        <f>IF(COUNTIF(tbl_clean_sales[Invoice_ID],tbl_clean_sales[[#This Row],[Invoice_ID]])&gt;1,"Duplicate","Unique")</f>
        <v>Unique</v>
      </c>
      <c r="I657" s="25"/>
      <c r="J65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7" s="25" t="str">
        <f>IFERROR(VLOOKUP(tbl_clean_sales[[#This Row],[Employee_ID]],'02_Employee_Master'!$A$1:$C$12,2,FALSE),"Employee Name Missing")</f>
        <v>Suresh B</v>
      </c>
      <c r="L657" s="25" t="str">
        <f>IFERROR(VLOOKUP(tbl_clean_sales[[#This Row],[Employee_ID]],'02_Employee_Master'!$A$1:$C$12,3,FALSE),"Department Name Missing")</f>
        <v>Sales</v>
      </c>
      <c r="M657" s="25" t="str">
        <f>IF('03_Clean_data'!D657="","Missing",IFERROR(IF(VLOOKUP(D657,'03_Product_Master'!$A$1:$D$14,1,FALSE)='03_Clean_data'!D657,"Valid","Invalid"),"Invalid"))</f>
        <v>Valid</v>
      </c>
      <c r="N657" s="25" t="str">
        <f>IFERROR(VLOOKUP(tbl_clean_sales[[#This Row],[Product_ID]],'03_Product_Master'!$A$1:$D$14,2,FALSE),"Missing")</f>
        <v>Body Lotion</v>
      </c>
      <c r="O657" s="25" t="str">
        <f>IFERROR(VLOOKUP(tbl_clean_sales[[#This Row],[Product_ID]],'03_Product_Master'!$A$1:$D$14,3,FALSE),"Missing")</f>
        <v>Personal Care</v>
      </c>
      <c r="P657" s="25">
        <f>IFERROR(VLOOKUP(tbl_clean_sales[[#This Row],[Product_ID]],'03_Product_Master'!$A$1:$D$14,4,FALSE),"Missing")</f>
        <v>390</v>
      </c>
      <c r="Q657" s="25" t="str">
        <f>IF('03_Clean_data'!E657="","Missing",IFERROR(IF(VLOOKUP(E657,'04_Branch_Master'!$A$1:$C$7,1,FALSE)='03_Clean_data'!E657,"Valid","Invalid"),"Invalid"))</f>
        <v>Valid</v>
      </c>
      <c r="R657" s="25" t="str">
        <f>IFERROR(VLOOKUP(tbl_clean_sales[[#This Row],[Branch_ID]],'04_Branch_Master'!$A$1:$C$7,2,FALSE),"Missing")</f>
        <v>Kangeyam</v>
      </c>
      <c r="S657" s="25" t="str">
        <f>IFERROR(VLOOKUP(tbl_clean_sales[[#This Row],[Branch_ID]],'04_Branch_Master'!$A$1:$C$7,3,FALSE),"Missing")</f>
        <v>East</v>
      </c>
      <c r="T657" s="25" t="str">
        <f>C657&amp;"|"&amp;TEXT(tbl_clean_sales[[#This Row],[Date]],"yyyymm")</f>
        <v>E007|202606</v>
      </c>
      <c r="U657" s="25">
        <f>IFERROR(INDEX('05_Target_Master'!$A$1:$F$32,MATCH(tbl_clean_sales[[#This Row],[target key]],'05_Target_Master'!$F$1:$F$32,0),3),"Missing")</f>
        <v>124400</v>
      </c>
    </row>
    <row r="658" spans="1:21" x14ac:dyDescent="0.3">
      <c r="A658" s="21">
        <v>46132</v>
      </c>
      <c r="B658" s="22" t="s">
        <v>694</v>
      </c>
      <c r="C658" s="22" t="s">
        <v>18</v>
      </c>
      <c r="D658" s="22" t="s">
        <v>30</v>
      </c>
      <c r="E658" s="22" t="s">
        <v>14</v>
      </c>
      <c r="F658" s="22">
        <v>10</v>
      </c>
      <c r="G658" s="23">
        <v>1428.57</v>
      </c>
      <c r="H658" s="25" t="str">
        <f>IF(COUNTIF(tbl_clean_sales[Invoice_ID],tbl_clean_sales[[#This Row],[Invoice_ID]])&gt;1,"Duplicate","Unique")</f>
        <v>Unique</v>
      </c>
      <c r="I658" s="25"/>
      <c r="J65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8" s="25" t="str">
        <f>IFERROR(VLOOKUP(tbl_clean_sales[[#This Row],[Employee_ID]],'02_Employee_Master'!$A$1:$C$12,2,FALSE),"Employee Name Missing")</f>
        <v>Rahul M</v>
      </c>
      <c r="L658" s="25" t="str">
        <f>IFERROR(VLOOKUP(tbl_clean_sales[[#This Row],[Employee_ID]],'02_Employee_Master'!$A$1:$C$12,3,FALSE),"Department Name Missing")</f>
        <v>Sales</v>
      </c>
      <c r="M658" s="25" t="str">
        <f>IF('03_Clean_data'!D658="","Missing",IFERROR(IF(VLOOKUP(D658,'03_Product_Master'!$A$1:$D$14,1,FALSE)='03_Clean_data'!D658,"Valid","Invalid"),"Invalid"))</f>
        <v>Valid</v>
      </c>
      <c r="N658" s="25" t="str">
        <f>IFERROR(VLOOKUP(tbl_clean_sales[[#This Row],[Product_ID]],'03_Product_Master'!$A$1:$D$14,2,FALSE),"Missing")</f>
        <v>Cookies Pack</v>
      </c>
      <c r="O658" s="25" t="str">
        <f>IFERROR(VLOOKUP(tbl_clean_sales[[#This Row],[Product_ID]],'03_Product_Master'!$A$1:$D$14,3,FALSE),"Missing")</f>
        <v>Snacks</v>
      </c>
      <c r="P658" s="25">
        <f>IFERROR(VLOOKUP(tbl_clean_sales[[#This Row],[Product_ID]],'03_Product_Master'!$A$1:$D$14,4,FALSE),"Missing")</f>
        <v>160</v>
      </c>
      <c r="Q658" s="25" t="str">
        <f>IF('03_Clean_data'!E658="","Missing",IFERROR(IF(VLOOKUP(E658,'04_Branch_Master'!$A$1:$C$7,1,FALSE)='03_Clean_data'!E658,"Valid","Invalid"),"Invalid"))</f>
        <v>Valid</v>
      </c>
      <c r="R658" s="25" t="str">
        <f>IFERROR(VLOOKUP(tbl_clean_sales[[#This Row],[Branch_ID]],'04_Branch_Master'!$A$1:$C$7,2,FALSE),"Missing")</f>
        <v>Avinashi Road</v>
      </c>
      <c r="S658" s="25" t="str">
        <f>IFERROR(VLOOKUP(tbl_clean_sales[[#This Row],[Branch_ID]],'04_Branch_Master'!$A$1:$C$7,3,FALSE),"Missing")</f>
        <v>North</v>
      </c>
      <c r="T658" s="25" t="str">
        <f>C658&amp;"|"&amp;TEXT(tbl_clean_sales[[#This Row],[Date]],"yyyymm")</f>
        <v>E003|202604</v>
      </c>
      <c r="U658" s="25">
        <f>IFERROR(INDEX('05_Target_Master'!$A$1:$F$32,MATCH(tbl_clean_sales[[#This Row],[target key]],'05_Target_Master'!$F$1:$F$32,0),3),"Missing")</f>
        <v>116600</v>
      </c>
    </row>
    <row r="659" spans="1:21" x14ac:dyDescent="0.3">
      <c r="A659" s="21">
        <v>46171</v>
      </c>
      <c r="B659" s="22" t="s">
        <v>695</v>
      </c>
      <c r="C659" s="22" t="s">
        <v>18</v>
      </c>
      <c r="D659" s="22" t="s">
        <v>34</v>
      </c>
      <c r="E659" s="22" t="s">
        <v>14</v>
      </c>
      <c r="F659" s="22">
        <v>2</v>
      </c>
      <c r="G659" s="23">
        <v>207.13</v>
      </c>
      <c r="H659" s="25" t="str">
        <f>IF(COUNTIF(tbl_clean_sales[Invoice_ID],tbl_clean_sales[[#This Row],[Invoice_ID]])&gt;1,"Duplicate","Unique")</f>
        <v>Unique</v>
      </c>
      <c r="I659" s="25"/>
      <c r="J65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59" s="25" t="str">
        <f>IFERROR(VLOOKUP(tbl_clean_sales[[#This Row],[Employee_ID]],'02_Employee_Master'!$A$1:$C$12,2,FALSE),"Employee Name Missing")</f>
        <v>Rahul M</v>
      </c>
      <c r="L659" s="25" t="str">
        <f>IFERROR(VLOOKUP(tbl_clean_sales[[#This Row],[Employee_ID]],'02_Employee_Master'!$A$1:$C$12,3,FALSE),"Department Name Missing")</f>
        <v>Sales</v>
      </c>
      <c r="M659" s="25" t="str">
        <f>IF('03_Clean_data'!D659="","Missing",IFERROR(IF(VLOOKUP(D659,'03_Product_Master'!$A$1:$D$14,1,FALSE)='03_Clean_data'!D659,"Valid","Invalid"),"Invalid"))</f>
        <v>Valid</v>
      </c>
      <c r="N659" s="25" t="str">
        <f>IFERROR(VLOOKUP(tbl_clean_sales[[#This Row],[Product_ID]],'03_Product_Master'!$A$1:$D$14,2,FALSE),"Missing")</f>
        <v>Potato Chips</v>
      </c>
      <c r="O659" s="25" t="str">
        <f>IFERROR(VLOOKUP(tbl_clean_sales[[#This Row],[Product_ID]],'03_Product_Master'!$A$1:$D$14,3,FALSE),"Missing")</f>
        <v>Snacks</v>
      </c>
      <c r="P659" s="25">
        <f>IFERROR(VLOOKUP(tbl_clean_sales[[#This Row],[Product_ID]],'03_Product_Master'!$A$1:$D$14,4,FALSE),"Missing")</f>
        <v>110</v>
      </c>
      <c r="Q659" s="25" t="str">
        <f>IF('03_Clean_data'!E659="","Missing",IFERROR(IF(VLOOKUP(E659,'04_Branch_Master'!$A$1:$C$7,1,FALSE)='03_Clean_data'!E659,"Valid","Invalid"),"Invalid"))</f>
        <v>Valid</v>
      </c>
      <c r="R659" s="25" t="str">
        <f>IFERROR(VLOOKUP(tbl_clean_sales[[#This Row],[Branch_ID]],'04_Branch_Master'!$A$1:$C$7,2,FALSE),"Missing")</f>
        <v>Avinashi Road</v>
      </c>
      <c r="S659" s="25" t="str">
        <f>IFERROR(VLOOKUP(tbl_clean_sales[[#This Row],[Branch_ID]],'04_Branch_Master'!$A$1:$C$7,3,FALSE),"Missing")</f>
        <v>North</v>
      </c>
      <c r="T659" s="25" t="str">
        <f>C659&amp;"|"&amp;TEXT(tbl_clean_sales[[#This Row],[Date]],"yyyymm")</f>
        <v>E003|202605</v>
      </c>
      <c r="U659" s="25">
        <f>IFERROR(INDEX('05_Target_Master'!$A$1:$F$32,MATCH(tbl_clean_sales[[#This Row],[target key]],'05_Target_Master'!$F$1:$F$32,0),3),"Missing")</f>
        <v>126000</v>
      </c>
    </row>
    <row r="660" spans="1:21" x14ac:dyDescent="0.3">
      <c r="A660" s="21">
        <v>46193</v>
      </c>
      <c r="B660" s="22" t="s">
        <v>696</v>
      </c>
      <c r="C660" s="22" t="s">
        <v>18</v>
      </c>
      <c r="D660" s="22" t="s">
        <v>34</v>
      </c>
      <c r="E660" s="22" t="s">
        <v>14</v>
      </c>
      <c r="F660" s="22">
        <v>1</v>
      </c>
      <c r="G660" s="23">
        <v>104.03</v>
      </c>
      <c r="H660" s="25" t="str">
        <f>IF(COUNTIF(tbl_clean_sales[Invoice_ID],tbl_clean_sales[[#This Row],[Invoice_ID]])&gt;1,"Duplicate","Unique")</f>
        <v>Unique</v>
      </c>
      <c r="I660" s="25"/>
      <c r="J66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0" s="25" t="str">
        <f>IFERROR(VLOOKUP(tbl_clean_sales[[#This Row],[Employee_ID]],'02_Employee_Master'!$A$1:$C$12,2,FALSE),"Employee Name Missing")</f>
        <v>Rahul M</v>
      </c>
      <c r="L660" s="25" t="str">
        <f>IFERROR(VLOOKUP(tbl_clean_sales[[#This Row],[Employee_ID]],'02_Employee_Master'!$A$1:$C$12,3,FALSE),"Department Name Missing")</f>
        <v>Sales</v>
      </c>
      <c r="M660" s="25" t="str">
        <f>IF('03_Clean_data'!D660="","Missing",IFERROR(IF(VLOOKUP(D660,'03_Product_Master'!$A$1:$D$14,1,FALSE)='03_Clean_data'!D660,"Valid","Invalid"),"Invalid"))</f>
        <v>Valid</v>
      </c>
      <c r="N660" s="25" t="str">
        <f>IFERROR(VLOOKUP(tbl_clean_sales[[#This Row],[Product_ID]],'03_Product_Master'!$A$1:$D$14,2,FALSE),"Missing")</f>
        <v>Potato Chips</v>
      </c>
      <c r="O660" s="25" t="str">
        <f>IFERROR(VLOOKUP(tbl_clean_sales[[#This Row],[Product_ID]],'03_Product_Master'!$A$1:$D$14,3,FALSE),"Missing")</f>
        <v>Snacks</v>
      </c>
      <c r="P660" s="25">
        <f>IFERROR(VLOOKUP(tbl_clean_sales[[#This Row],[Product_ID]],'03_Product_Master'!$A$1:$D$14,4,FALSE),"Missing")</f>
        <v>110</v>
      </c>
      <c r="Q660" s="25" t="str">
        <f>IF('03_Clean_data'!E660="","Missing",IFERROR(IF(VLOOKUP(E660,'04_Branch_Master'!$A$1:$C$7,1,FALSE)='03_Clean_data'!E660,"Valid","Invalid"),"Invalid"))</f>
        <v>Valid</v>
      </c>
      <c r="R660" s="25" t="str">
        <f>IFERROR(VLOOKUP(tbl_clean_sales[[#This Row],[Branch_ID]],'04_Branch_Master'!$A$1:$C$7,2,FALSE),"Missing")</f>
        <v>Avinashi Road</v>
      </c>
      <c r="S660" s="25" t="str">
        <f>IFERROR(VLOOKUP(tbl_clean_sales[[#This Row],[Branch_ID]],'04_Branch_Master'!$A$1:$C$7,3,FALSE),"Missing")</f>
        <v>North</v>
      </c>
      <c r="T660" s="25" t="str">
        <f>C660&amp;"|"&amp;TEXT(tbl_clean_sales[[#This Row],[Date]],"yyyymm")</f>
        <v>E003|202606</v>
      </c>
      <c r="U660" s="25">
        <f>IFERROR(INDEX('05_Target_Master'!$A$1:$F$32,MATCH(tbl_clean_sales[[#This Row],[target key]],'05_Target_Master'!$F$1:$F$32,0),3),"Missing")</f>
        <v>112000</v>
      </c>
    </row>
    <row r="661" spans="1:21" x14ac:dyDescent="0.3">
      <c r="A661" s="21">
        <v>46139</v>
      </c>
      <c r="B661" s="22" t="s">
        <v>697</v>
      </c>
      <c r="C661" s="22" t="s">
        <v>18</v>
      </c>
      <c r="D661" s="22" t="s">
        <v>36</v>
      </c>
      <c r="E661" s="22" t="s">
        <v>14</v>
      </c>
      <c r="F661" s="22">
        <v>8</v>
      </c>
      <c r="G661" s="23">
        <v>1376.78</v>
      </c>
      <c r="H661" s="25" t="str">
        <f>IF(COUNTIF(tbl_clean_sales[Invoice_ID],tbl_clean_sales[[#This Row],[Invoice_ID]])&gt;1,"Duplicate","Unique")</f>
        <v>Unique</v>
      </c>
      <c r="I661" s="25"/>
      <c r="J66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1" s="25" t="str">
        <f>IFERROR(VLOOKUP(tbl_clean_sales[[#This Row],[Employee_ID]],'02_Employee_Master'!$A$1:$C$12,2,FALSE),"Employee Name Missing")</f>
        <v>Rahul M</v>
      </c>
      <c r="L661" s="25" t="str">
        <f>IFERROR(VLOOKUP(tbl_clean_sales[[#This Row],[Employee_ID]],'02_Employee_Master'!$A$1:$C$12,3,FALSE),"Department Name Missing")</f>
        <v>Sales</v>
      </c>
      <c r="M661" s="25" t="str">
        <f>IF('03_Clean_data'!D661="","Missing",IFERROR(IF(VLOOKUP(D661,'03_Product_Master'!$A$1:$D$14,1,FALSE)='03_Clean_data'!D661,"Valid","Invalid"),"Invalid"))</f>
        <v>Valid</v>
      </c>
      <c r="N661" s="25" t="str">
        <f>IFERROR(VLOOKUP(tbl_clean_sales[[#This Row],[Product_ID]],'03_Product_Master'!$A$1:$D$14,2,FALSE),"Missing")</f>
        <v>Dish Wash</v>
      </c>
      <c r="O661" s="25" t="str">
        <f>IFERROR(VLOOKUP(tbl_clean_sales[[#This Row],[Product_ID]],'03_Product_Master'!$A$1:$D$14,3,FALSE),"Missing")</f>
        <v>Home Care</v>
      </c>
      <c r="P661" s="25">
        <f>IFERROR(VLOOKUP(tbl_clean_sales[[#This Row],[Product_ID]],'03_Product_Master'!$A$1:$D$14,4,FALSE),"Missing")</f>
        <v>190</v>
      </c>
      <c r="Q661" s="25" t="str">
        <f>IF('03_Clean_data'!E661="","Missing",IFERROR(IF(VLOOKUP(E661,'04_Branch_Master'!$A$1:$C$7,1,FALSE)='03_Clean_data'!E661,"Valid","Invalid"),"Invalid"))</f>
        <v>Valid</v>
      </c>
      <c r="R661" s="25" t="str">
        <f>IFERROR(VLOOKUP(tbl_clean_sales[[#This Row],[Branch_ID]],'04_Branch_Master'!$A$1:$C$7,2,FALSE),"Missing")</f>
        <v>Avinashi Road</v>
      </c>
      <c r="S661" s="25" t="str">
        <f>IFERROR(VLOOKUP(tbl_clean_sales[[#This Row],[Branch_ID]],'04_Branch_Master'!$A$1:$C$7,3,FALSE),"Missing")</f>
        <v>North</v>
      </c>
      <c r="T661" s="25" t="str">
        <f>C661&amp;"|"&amp;TEXT(tbl_clean_sales[[#This Row],[Date]],"yyyymm")</f>
        <v>E003|202604</v>
      </c>
      <c r="U661" s="25">
        <f>IFERROR(INDEX('05_Target_Master'!$A$1:$F$32,MATCH(tbl_clean_sales[[#This Row],[target key]],'05_Target_Master'!$F$1:$F$32,0),3),"Missing")</f>
        <v>116600</v>
      </c>
    </row>
    <row r="662" spans="1:21" x14ac:dyDescent="0.3">
      <c r="A662" s="21">
        <v>46124</v>
      </c>
      <c r="B662" s="22" t="s">
        <v>698</v>
      </c>
      <c r="C662" s="22" t="s">
        <v>18</v>
      </c>
      <c r="D662" s="22" t="s">
        <v>36</v>
      </c>
      <c r="E662" s="22" t="s">
        <v>14</v>
      </c>
      <c r="F662" s="22">
        <v>7</v>
      </c>
      <c r="G662" s="23">
        <v>1265.6199999999999</v>
      </c>
      <c r="H662" s="25" t="str">
        <f>IF(COUNTIF(tbl_clean_sales[Invoice_ID],tbl_clean_sales[[#This Row],[Invoice_ID]])&gt;1,"Duplicate","Unique")</f>
        <v>Unique</v>
      </c>
      <c r="I662" s="25"/>
      <c r="J66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2" s="25" t="str">
        <f>IFERROR(VLOOKUP(tbl_clean_sales[[#This Row],[Employee_ID]],'02_Employee_Master'!$A$1:$C$12,2,FALSE),"Employee Name Missing")</f>
        <v>Rahul M</v>
      </c>
      <c r="L662" s="25" t="str">
        <f>IFERROR(VLOOKUP(tbl_clean_sales[[#This Row],[Employee_ID]],'02_Employee_Master'!$A$1:$C$12,3,FALSE),"Department Name Missing")</f>
        <v>Sales</v>
      </c>
      <c r="M662" s="25" t="str">
        <f>IF('03_Clean_data'!D662="","Missing",IFERROR(IF(VLOOKUP(D662,'03_Product_Master'!$A$1:$D$14,1,FALSE)='03_Clean_data'!D662,"Valid","Invalid"),"Invalid"))</f>
        <v>Valid</v>
      </c>
      <c r="N662" s="25" t="str">
        <f>IFERROR(VLOOKUP(tbl_clean_sales[[#This Row],[Product_ID]],'03_Product_Master'!$A$1:$D$14,2,FALSE),"Missing")</f>
        <v>Dish Wash</v>
      </c>
      <c r="O662" s="25" t="str">
        <f>IFERROR(VLOOKUP(tbl_clean_sales[[#This Row],[Product_ID]],'03_Product_Master'!$A$1:$D$14,3,FALSE),"Missing")</f>
        <v>Home Care</v>
      </c>
      <c r="P662" s="25">
        <f>IFERROR(VLOOKUP(tbl_clean_sales[[#This Row],[Product_ID]],'03_Product_Master'!$A$1:$D$14,4,FALSE),"Missing")</f>
        <v>190</v>
      </c>
      <c r="Q662" s="25" t="str">
        <f>IF('03_Clean_data'!E662="","Missing",IFERROR(IF(VLOOKUP(E662,'04_Branch_Master'!$A$1:$C$7,1,FALSE)='03_Clean_data'!E662,"Valid","Invalid"),"Invalid"))</f>
        <v>Valid</v>
      </c>
      <c r="R662" s="25" t="str">
        <f>IFERROR(VLOOKUP(tbl_clean_sales[[#This Row],[Branch_ID]],'04_Branch_Master'!$A$1:$C$7,2,FALSE),"Missing")</f>
        <v>Avinashi Road</v>
      </c>
      <c r="S662" s="25" t="str">
        <f>IFERROR(VLOOKUP(tbl_clean_sales[[#This Row],[Branch_ID]],'04_Branch_Master'!$A$1:$C$7,3,FALSE),"Missing")</f>
        <v>North</v>
      </c>
      <c r="T662" s="25" t="str">
        <f>C662&amp;"|"&amp;TEXT(tbl_clean_sales[[#This Row],[Date]],"yyyymm")</f>
        <v>E003|202604</v>
      </c>
      <c r="U662" s="25">
        <f>IFERROR(INDEX('05_Target_Master'!$A$1:$F$32,MATCH(tbl_clean_sales[[#This Row],[target key]],'05_Target_Master'!$F$1:$F$32,0),3),"Missing")</f>
        <v>116600</v>
      </c>
    </row>
    <row r="663" spans="1:21" x14ac:dyDescent="0.3">
      <c r="A663" s="21">
        <v>46174</v>
      </c>
      <c r="B663" s="22" t="s">
        <v>699</v>
      </c>
      <c r="C663" s="22" t="s">
        <v>46</v>
      </c>
      <c r="D663" s="22" t="s">
        <v>25</v>
      </c>
      <c r="E663" s="22" t="s">
        <v>32</v>
      </c>
      <c r="F663" s="22">
        <v>4</v>
      </c>
      <c r="G663" s="23">
        <v>1532.7</v>
      </c>
      <c r="H663" s="25" t="str">
        <f>IF(COUNTIF(tbl_clean_sales[Invoice_ID],tbl_clean_sales[[#This Row],[Invoice_ID]])&gt;1,"Duplicate","Unique")</f>
        <v>Unique</v>
      </c>
      <c r="I663" s="25"/>
      <c r="J66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3" s="25" t="str">
        <f>IFERROR(VLOOKUP(tbl_clean_sales[[#This Row],[Employee_ID]],'02_Employee_Master'!$A$1:$C$12,2,FALSE),"Employee Name Missing")</f>
        <v>Suresh B</v>
      </c>
      <c r="L663" s="25" t="str">
        <f>IFERROR(VLOOKUP(tbl_clean_sales[[#This Row],[Employee_ID]],'02_Employee_Master'!$A$1:$C$12,3,FALSE),"Department Name Missing")</f>
        <v>Sales</v>
      </c>
      <c r="M663" s="25" t="str">
        <f>IF('03_Clean_data'!D663="","Missing",IFERROR(IF(VLOOKUP(D663,'03_Product_Master'!$A$1:$D$14,1,FALSE)='03_Clean_data'!D663,"Valid","Invalid"),"Invalid"))</f>
        <v>Valid</v>
      </c>
      <c r="N663" s="25" t="str">
        <f>IFERROR(VLOOKUP(tbl_clean_sales[[#This Row],[Product_ID]],'03_Product_Master'!$A$1:$D$14,2,FALSE),"Missing")</f>
        <v>Premium Coffee</v>
      </c>
      <c r="O663" s="25" t="str">
        <f>IFERROR(VLOOKUP(tbl_clean_sales[[#This Row],[Product_ID]],'03_Product_Master'!$A$1:$D$14,3,FALSE),"Missing")</f>
        <v>Beverages</v>
      </c>
      <c r="P663" s="25">
        <f>IFERROR(VLOOKUP(tbl_clean_sales[[#This Row],[Product_ID]],'03_Product_Master'!$A$1:$D$14,4,FALSE),"Missing")</f>
        <v>420</v>
      </c>
      <c r="Q663" s="25" t="str">
        <f>IF('03_Clean_data'!E663="","Missing",IFERROR(IF(VLOOKUP(E663,'04_Branch_Master'!$A$1:$C$7,1,FALSE)='03_Clean_data'!E663,"Valid","Invalid"),"Invalid"))</f>
        <v>Valid</v>
      </c>
      <c r="R663" s="25" t="str">
        <f>IFERROR(VLOOKUP(tbl_clean_sales[[#This Row],[Branch_ID]],'04_Branch_Master'!$A$1:$C$7,2,FALSE),"Missing")</f>
        <v>Kangeyam</v>
      </c>
      <c r="S663" s="25" t="str">
        <f>IFERROR(VLOOKUP(tbl_clean_sales[[#This Row],[Branch_ID]],'04_Branch_Master'!$A$1:$C$7,3,FALSE),"Missing")</f>
        <v>East</v>
      </c>
      <c r="T663" s="25" t="str">
        <f>C663&amp;"|"&amp;TEXT(tbl_clean_sales[[#This Row],[Date]],"yyyymm")</f>
        <v>E007|202606</v>
      </c>
      <c r="U663" s="25">
        <f>IFERROR(INDEX('05_Target_Master'!$A$1:$F$32,MATCH(tbl_clean_sales[[#This Row],[target key]],'05_Target_Master'!$F$1:$F$32,0),3),"Missing")</f>
        <v>124400</v>
      </c>
    </row>
    <row r="664" spans="1:21" x14ac:dyDescent="0.3">
      <c r="A664" s="21">
        <v>46114</v>
      </c>
      <c r="B664" s="22" t="s">
        <v>700</v>
      </c>
      <c r="C664" s="22" t="s">
        <v>40</v>
      </c>
      <c r="D664" s="22" t="s">
        <v>13</v>
      </c>
      <c r="E664" s="22" t="s">
        <v>26</v>
      </c>
      <c r="F664" s="22">
        <v>11</v>
      </c>
      <c r="G664" s="23">
        <v>4287.88</v>
      </c>
      <c r="H664" s="25" t="str">
        <f>IF(COUNTIF(tbl_clean_sales[Invoice_ID],tbl_clean_sales[[#This Row],[Invoice_ID]])&gt;1,"Duplicate","Unique")</f>
        <v>Unique</v>
      </c>
      <c r="I664" s="25"/>
      <c r="J66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4" s="25" t="str">
        <f>IFERROR(VLOOKUP(tbl_clean_sales[[#This Row],[Employee_ID]],'02_Employee_Master'!$A$1:$C$12,2,FALSE),"Employee Name Missing")</f>
        <v>Meena V</v>
      </c>
      <c r="L664" s="25" t="str">
        <f>IFERROR(VLOOKUP(tbl_clean_sales[[#This Row],[Employee_ID]],'02_Employee_Master'!$A$1:$C$12,3,FALSE),"Department Name Missing")</f>
        <v>Sales</v>
      </c>
      <c r="M664" s="25" t="str">
        <f>IF('03_Clean_data'!D664="","Missing",IFERROR(IF(VLOOKUP(D664,'03_Product_Master'!$A$1:$D$14,1,FALSE)='03_Clean_data'!D664,"Valid","Invalid"),"Invalid"))</f>
        <v>Valid</v>
      </c>
      <c r="N664" s="25" t="str">
        <f>IFERROR(VLOOKUP(tbl_clean_sales[[#This Row],[Product_ID]],'03_Product_Master'!$A$1:$D$14,2,FALSE),"Missing")</f>
        <v>Body Lotion</v>
      </c>
      <c r="O664" s="25" t="str">
        <f>IFERROR(VLOOKUP(tbl_clean_sales[[#This Row],[Product_ID]],'03_Product_Master'!$A$1:$D$14,3,FALSE),"Missing")</f>
        <v>Personal Care</v>
      </c>
      <c r="P664" s="25">
        <f>IFERROR(VLOOKUP(tbl_clean_sales[[#This Row],[Product_ID]],'03_Product_Master'!$A$1:$D$14,4,FALSE),"Missing")</f>
        <v>390</v>
      </c>
      <c r="Q664" s="25" t="str">
        <f>IF('03_Clean_data'!E664="","Missing",IFERROR(IF(VLOOKUP(E664,'04_Branch_Master'!$A$1:$C$7,1,FALSE)='03_Clean_data'!E664,"Valid","Invalid"),"Invalid"))</f>
        <v>Valid</v>
      </c>
      <c r="R664" s="25" t="str">
        <f>IFERROR(VLOOKUP(tbl_clean_sales[[#This Row],[Branch_ID]],'04_Branch_Master'!$A$1:$C$7,2,FALSE),"Missing")</f>
        <v>Palladam</v>
      </c>
      <c r="S664" s="25" t="str">
        <f>IFERROR(VLOOKUP(tbl_clean_sales[[#This Row],[Branch_ID]],'04_Branch_Master'!$A$1:$C$7,3,FALSE),"Missing")</f>
        <v>South</v>
      </c>
      <c r="T664" s="25" t="str">
        <f>C664&amp;"|"&amp;TEXT(tbl_clean_sales[[#This Row],[Date]],"yyyymm")</f>
        <v>E006|202604</v>
      </c>
      <c r="U664" s="25">
        <f>IFERROR(INDEX('05_Target_Master'!$A$1:$F$32,MATCH(tbl_clean_sales[[#This Row],[target key]],'05_Target_Master'!$F$1:$F$32,0),3),"Missing")</f>
        <v>131000</v>
      </c>
    </row>
    <row r="665" spans="1:21" x14ac:dyDescent="0.3">
      <c r="A665" s="21">
        <v>46144</v>
      </c>
      <c r="B665" s="22" t="s">
        <v>701</v>
      </c>
      <c r="C665" s="22" t="s">
        <v>12</v>
      </c>
      <c r="D665" s="22" t="s">
        <v>19</v>
      </c>
      <c r="E665" s="22" t="s">
        <v>26</v>
      </c>
      <c r="F665" s="22">
        <v>3</v>
      </c>
      <c r="G665" s="23">
        <v>681.5</v>
      </c>
      <c r="H665" s="25" t="str">
        <f>IF(COUNTIF(tbl_clean_sales[Invoice_ID],tbl_clean_sales[[#This Row],[Invoice_ID]])&gt;1,"Duplicate","Unique")</f>
        <v>Unique</v>
      </c>
      <c r="I665" s="25"/>
      <c r="J66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5" s="25" t="str">
        <f>IFERROR(VLOOKUP(tbl_clean_sales[[#This Row],[Employee_ID]],'02_Employee_Master'!$A$1:$C$12,2,FALSE),"Employee Name Missing")</f>
        <v>Divya R</v>
      </c>
      <c r="L665" s="25" t="str">
        <f>IFERROR(VLOOKUP(tbl_clean_sales[[#This Row],[Employee_ID]],'02_Employee_Master'!$A$1:$C$12,3,FALSE),"Department Name Missing")</f>
        <v>Sales</v>
      </c>
      <c r="M665" s="25" t="str">
        <f>IF('03_Clean_data'!D665="","Missing",IFERROR(IF(VLOOKUP(D665,'03_Product_Master'!$A$1:$D$14,1,FALSE)='03_Clean_data'!D665,"Valid","Invalid"),"Invalid"))</f>
        <v>Valid</v>
      </c>
      <c r="N665" s="25" t="str">
        <f>IFERROR(VLOOKUP(tbl_clean_sales[[#This Row],[Product_ID]],'03_Product_Master'!$A$1:$D$14,2,FALSE),"Missing")</f>
        <v>Floor Cleaner</v>
      </c>
      <c r="O665" s="25" t="str">
        <f>IFERROR(VLOOKUP(tbl_clean_sales[[#This Row],[Product_ID]],'03_Product_Master'!$A$1:$D$14,3,FALSE),"Missing")</f>
        <v>Home Care</v>
      </c>
      <c r="P665" s="25">
        <f>IFERROR(VLOOKUP(tbl_clean_sales[[#This Row],[Product_ID]],'03_Product_Master'!$A$1:$D$14,4,FALSE),"Missing")</f>
        <v>230</v>
      </c>
      <c r="Q665" s="25" t="str">
        <f>IF('03_Clean_data'!E665="","Missing",IFERROR(IF(VLOOKUP(E665,'04_Branch_Master'!$A$1:$C$7,1,FALSE)='03_Clean_data'!E665,"Valid","Invalid"),"Invalid"))</f>
        <v>Valid</v>
      </c>
      <c r="R665" s="25" t="str">
        <f>IFERROR(VLOOKUP(tbl_clean_sales[[#This Row],[Branch_ID]],'04_Branch_Master'!$A$1:$C$7,2,FALSE),"Missing")</f>
        <v>Palladam</v>
      </c>
      <c r="S665" s="25" t="str">
        <f>IFERROR(VLOOKUP(tbl_clean_sales[[#This Row],[Branch_ID]],'04_Branch_Master'!$A$1:$C$7,3,FALSE),"Missing")</f>
        <v>South</v>
      </c>
      <c r="T665" s="25" t="str">
        <f>C665&amp;"|"&amp;TEXT(tbl_clean_sales[[#This Row],[Date]],"yyyymm")</f>
        <v>E004|202605</v>
      </c>
      <c r="U665" s="25">
        <f>IFERROR(INDEX('05_Target_Master'!$A$1:$F$32,MATCH(tbl_clean_sales[[#This Row],[target key]],'05_Target_Master'!$F$1:$F$32,0),3),"Missing")</f>
        <v>176700</v>
      </c>
    </row>
    <row r="666" spans="1:21" x14ac:dyDescent="0.3">
      <c r="A666" s="21">
        <v>46177</v>
      </c>
      <c r="B666" s="22" t="s">
        <v>702</v>
      </c>
      <c r="C666" s="22" t="s">
        <v>29</v>
      </c>
      <c r="D666" s="22" t="s">
        <v>82</v>
      </c>
      <c r="E666" s="22" t="s">
        <v>10</v>
      </c>
      <c r="F666" s="22">
        <v>1</v>
      </c>
      <c r="G666" s="23">
        <v>115.71</v>
      </c>
      <c r="H666" s="25" t="str">
        <f>IF(COUNTIF(tbl_clean_sales[Invoice_ID],tbl_clean_sales[[#This Row],[Invoice_ID]])&gt;1,"Duplicate","Unique")</f>
        <v>Unique</v>
      </c>
      <c r="I666" s="25"/>
      <c r="J66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6" s="25" t="str">
        <f>IFERROR(VLOOKUP(tbl_clean_sales[[#This Row],[Employee_ID]],'02_Employee_Master'!$A$1:$C$12,2,FALSE),"Employee Name Missing")</f>
        <v>Swetha L</v>
      </c>
      <c r="L666" s="25" t="str">
        <f>IFERROR(VLOOKUP(tbl_clean_sales[[#This Row],[Employee_ID]],'02_Employee_Master'!$A$1:$C$12,3,FALSE),"Department Name Missing")</f>
        <v>Sales</v>
      </c>
      <c r="M666" s="25" t="str">
        <f>IF('03_Clean_data'!D666="","Missing",IFERROR(IF(VLOOKUP(D666,'03_Product_Master'!$A$1:$D$14,1,FALSE)='03_Clean_data'!D666,"Valid","Invalid"),"Invalid"))</f>
        <v>Valid</v>
      </c>
      <c r="N666" s="25" t="str">
        <f>IFERROR(VLOOKUP(tbl_clean_sales[[#This Row],[Product_ID]],'03_Product_Master'!$A$1:$D$14,2,FALSE),"Missing")</f>
        <v>Chocolate Bar</v>
      </c>
      <c r="O666" s="25" t="str">
        <f>IFERROR(VLOOKUP(tbl_clean_sales[[#This Row],[Product_ID]],'03_Product_Master'!$A$1:$D$14,3,FALSE),"Missing")</f>
        <v>Snacks</v>
      </c>
      <c r="P666" s="25">
        <f>IFERROR(VLOOKUP(tbl_clean_sales[[#This Row],[Product_ID]],'03_Product_Master'!$A$1:$D$14,4,FALSE),"Missing")</f>
        <v>120</v>
      </c>
      <c r="Q666" s="25" t="str">
        <f>IF('03_Clean_data'!E666="","Missing",IFERROR(IF(VLOOKUP(E666,'04_Branch_Master'!$A$1:$C$7,1,FALSE)='03_Clean_data'!E666,"Valid","Invalid"),"Invalid"))</f>
        <v>Valid</v>
      </c>
      <c r="R666" s="25" t="str">
        <f>IFERROR(VLOOKUP(tbl_clean_sales[[#This Row],[Branch_ID]],'04_Branch_Master'!$A$1:$C$7,2,FALSE),"Missing")</f>
        <v>Dharapuram</v>
      </c>
      <c r="S666" s="25" t="str">
        <f>IFERROR(VLOOKUP(tbl_clean_sales[[#This Row],[Branch_ID]],'04_Branch_Master'!$A$1:$C$7,3,FALSE),"Missing")</f>
        <v>South</v>
      </c>
      <c r="T666" s="25" t="str">
        <f>C666&amp;"|"&amp;TEXT(tbl_clean_sales[[#This Row],[Date]],"yyyymm")</f>
        <v>E010|202606</v>
      </c>
      <c r="U666" s="25">
        <f>IFERROR(INDEX('05_Target_Master'!$A$1:$F$32,MATCH(tbl_clean_sales[[#This Row],[target key]],'05_Target_Master'!$F$1:$F$32,0),3),"Missing")</f>
        <v>116800</v>
      </c>
    </row>
    <row r="667" spans="1:21" x14ac:dyDescent="0.3">
      <c r="A667" s="21">
        <v>46150</v>
      </c>
      <c r="B667" s="22" t="s">
        <v>703</v>
      </c>
      <c r="C667" s="22" t="s">
        <v>38</v>
      </c>
      <c r="D667" s="22" t="s">
        <v>19</v>
      </c>
      <c r="E667" s="22" t="s">
        <v>32</v>
      </c>
      <c r="F667" s="22">
        <v>9</v>
      </c>
      <c r="G667" s="23">
        <v>1986.08</v>
      </c>
      <c r="H667" s="25" t="str">
        <f>IF(COUNTIF(tbl_clean_sales[Invoice_ID],tbl_clean_sales[[#This Row],[Invoice_ID]])&gt;1,"Duplicate","Unique")</f>
        <v>Unique</v>
      </c>
      <c r="I667" s="25"/>
      <c r="J66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7" s="25" t="str">
        <f>IFERROR(VLOOKUP(tbl_clean_sales[[#This Row],[Employee_ID]],'02_Employee_Master'!$A$1:$C$12,2,FALSE),"Employee Name Missing")</f>
        <v>Nandhini K</v>
      </c>
      <c r="L667" s="25" t="str">
        <f>IFERROR(VLOOKUP(tbl_clean_sales[[#This Row],[Employee_ID]],'02_Employee_Master'!$A$1:$C$12,3,FALSE),"Department Name Missing")</f>
        <v>Sales</v>
      </c>
      <c r="M667" s="25" t="str">
        <f>IF('03_Clean_data'!D667="","Missing",IFERROR(IF(VLOOKUP(D667,'03_Product_Master'!$A$1:$D$14,1,FALSE)='03_Clean_data'!D667,"Valid","Invalid"),"Invalid"))</f>
        <v>Valid</v>
      </c>
      <c r="N667" s="25" t="str">
        <f>IFERROR(VLOOKUP(tbl_clean_sales[[#This Row],[Product_ID]],'03_Product_Master'!$A$1:$D$14,2,FALSE),"Missing")</f>
        <v>Floor Cleaner</v>
      </c>
      <c r="O667" s="25" t="str">
        <f>IFERROR(VLOOKUP(tbl_clean_sales[[#This Row],[Product_ID]],'03_Product_Master'!$A$1:$D$14,3,FALSE),"Missing")</f>
        <v>Home Care</v>
      </c>
      <c r="P667" s="25">
        <f>IFERROR(VLOOKUP(tbl_clean_sales[[#This Row],[Product_ID]],'03_Product_Master'!$A$1:$D$14,4,FALSE),"Missing")</f>
        <v>230</v>
      </c>
      <c r="Q667" s="25" t="str">
        <f>IF('03_Clean_data'!E667="","Missing",IFERROR(IF(VLOOKUP(E667,'04_Branch_Master'!$A$1:$C$7,1,FALSE)='03_Clean_data'!E667,"Valid","Invalid"),"Invalid"))</f>
        <v>Valid</v>
      </c>
      <c r="R667" s="25" t="str">
        <f>IFERROR(VLOOKUP(tbl_clean_sales[[#This Row],[Branch_ID]],'04_Branch_Master'!$A$1:$C$7,2,FALSE),"Missing")</f>
        <v>Kangeyam</v>
      </c>
      <c r="S667" s="25" t="str">
        <f>IFERROR(VLOOKUP(tbl_clean_sales[[#This Row],[Branch_ID]],'04_Branch_Master'!$A$1:$C$7,3,FALSE),"Missing")</f>
        <v>East</v>
      </c>
      <c r="T667" s="25" t="str">
        <f>C667&amp;"|"&amp;TEXT(tbl_clean_sales[[#This Row],[Date]],"yyyymm")</f>
        <v>E008|202605</v>
      </c>
      <c r="U667" s="25">
        <f>IFERROR(INDEX('05_Target_Master'!$A$1:$F$32,MATCH(tbl_clean_sales[[#This Row],[target key]],'05_Target_Master'!$F$1:$F$32,0),3),"Missing")</f>
        <v>134100</v>
      </c>
    </row>
    <row r="668" spans="1:21" x14ac:dyDescent="0.3">
      <c r="A668" s="21">
        <v>46200</v>
      </c>
      <c r="B668" s="22" t="s">
        <v>704</v>
      </c>
      <c r="C668" s="22" t="s">
        <v>18</v>
      </c>
      <c r="D668" s="22" t="s">
        <v>34</v>
      </c>
      <c r="E668" s="22" t="s">
        <v>32</v>
      </c>
      <c r="F668" s="22">
        <v>6</v>
      </c>
      <c r="G668" s="23">
        <v>600.59</v>
      </c>
      <c r="H668" s="25" t="str">
        <f>IF(COUNTIF(tbl_clean_sales[Invoice_ID],tbl_clean_sales[[#This Row],[Invoice_ID]])&gt;1,"Duplicate","Unique")</f>
        <v>Unique</v>
      </c>
      <c r="I668" s="25"/>
      <c r="J66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8" s="25" t="str">
        <f>IFERROR(VLOOKUP(tbl_clean_sales[[#This Row],[Employee_ID]],'02_Employee_Master'!$A$1:$C$12,2,FALSE),"Employee Name Missing")</f>
        <v>Rahul M</v>
      </c>
      <c r="L668" s="25" t="str">
        <f>IFERROR(VLOOKUP(tbl_clean_sales[[#This Row],[Employee_ID]],'02_Employee_Master'!$A$1:$C$12,3,FALSE),"Department Name Missing")</f>
        <v>Sales</v>
      </c>
      <c r="M668" s="25" t="str">
        <f>IF('03_Clean_data'!D668="","Missing",IFERROR(IF(VLOOKUP(D668,'03_Product_Master'!$A$1:$D$14,1,FALSE)='03_Clean_data'!D668,"Valid","Invalid"),"Invalid"))</f>
        <v>Valid</v>
      </c>
      <c r="N668" s="25" t="str">
        <f>IFERROR(VLOOKUP(tbl_clean_sales[[#This Row],[Product_ID]],'03_Product_Master'!$A$1:$D$14,2,FALSE),"Missing")</f>
        <v>Potato Chips</v>
      </c>
      <c r="O668" s="25" t="str">
        <f>IFERROR(VLOOKUP(tbl_clean_sales[[#This Row],[Product_ID]],'03_Product_Master'!$A$1:$D$14,3,FALSE),"Missing")</f>
        <v>Snacks</v>
      </c>
      <c r="P668" s="25">
        <f>IFERROR(VLOOKUP(tbl_clean_sales[[#This Row],[Product_ID]],'03_Product_Master'!$A$1:$D$14,4,FALSE),"Missing")</f>
        <v>110</v>
      </c>
      <c r="Q668" s="25" t="str">
        <f>IF('03_Clean_data'!E668="","Missing",IFERROR(IF(VLOOKUP(E668,'04_Branch_Master'!$A$1:$C$7,1,FALSE)='03_Clean_data'!E668,"Valid","Invalid"),"Invalid"))</f>
        <v>Valid</v>
      </c>
      <c r="R668" s="25" t="str">
        <f>IFERROR(VLOOKUP(tbl_clean_sales[[#This Row],[Branch_ID]],'04_Branch_Master'!$A$1:$C$7,2,FALSE),"Missing")</f>
        <v>Kangeyam</v>
      </c>
      <c r="S668" s="25" t="str">
        <f>IFERROR(VLOOKUP(tbl_clean_sales[[#This Row],[Branch_ID]],'04_Branch_Master'!$A$1:$C$7,3,FALSE),"Missing")</f>
        <v>East</v>
      </c>
      <c r="T668" s="25" t="str">
        <f>C668&amp;"|"&amp;TEXT(tbl_clean_sales[[#This Row],[Date]],"yyyymm")</f>
        <v>E003|202606</v>
      </c>
      <c r="U668" s="25">
        <f>IFERROR(INDEX('05_Target_Master'!$A$1:$F$32,MATCH(tbl_clean_sales[[#This Row],[target key]],'05_Target_Master'!$F$1:$F$32,0),3),"Missing")</f>
        <v>112000</v>
      </c>
    </row>
    <row r="669" spans="1:21" x14ac:dyDescent="0.3">
      <c r="A669" s="21">
        <v>46134</v>
      </c>
      <c r="B669" s="22" t="s">
        <v>705</v>
      </c>
      <c r="C669" s="22" t="s">
        <v>46</v>
      </c>
      <c r="D669" s="22" t="s">
        <v>25</v>
      </c>
      <c r="E669" s="22" t="s">
        <v>32</v>
      </c>
      <c r="F669" s="22">
        <v>12</v>
      </c>
      <c r="G669" s="23">
        <v>4444.34</v>
      </c>
      <c r="H669" s="25" t="str">
        <f>IF(COUNTIF(tbl_clean_sales[Invoice_ID],tbl_clean_sales[[#This Row],[Invoice_ID]])&gt;1,"Duplicate","Unique")</f>
        <v>Unique</v>
      </c>
      <c r="I669" s="25"/>
      <c r="J66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69" s="25" t="str">
        <f>IFERROR(VLOOKUP(tbl_clean_sales[[#This Row],[Employee_ID]],'02_Employee_Master'!$A$1:$C$12,2,FALSE),"Employee Name Missing")</f>
        <v>Suresh B</v>
      </c>
      <c r="L669" s="25" t="str">
        <f>IFERROR(VLOOKUP(tbl_clean_sales[[#This Row],[Employee_ID]],'02_Employee_Master'!$A$1:$C$12,3,FALSE),"Department Name Missing")</f>
        <v>Sales</v>
      </c>
      <c r="M669" s="25" t="str">
        <f>IF('03_Clean_data'!D669="","Missing",IFERROR(IF(VLOOKUP(D669,'03_Product_Master'!$A$1:$D$14,1,FALSE)='03_Clean_data'!D669,"Valid","Invalid"),"Invalid"))</f>
        <v>Valid</v>
      </c>
      <c r="N669" s="25" t="str">
        <f>IFERROR(VLOOKUP(tbl_clean_sales[[#This Row],[Product_ID]],'03_Product_Master'!$A$1:$D$14,2,FALSE),"Missing")</f>
        <v>Premium Coffee</v>
      </c>
      <c r="O669" s="25" t="str">
        <f>IFERROR(VLOOKUP(tbl_clean_sales[[#This Row],[Product_ID]],'03_Product_Master'!$A$1:$D$14,3,FALSE),"Missing")</f>
        <v>Beverages</v>
      </c>
      <c r="P669" s="25">
        <f>IFERROR(VLOOKUP(tbl_clean_sales[[#This Row],[Product_ID]],'03_Product_Master'!$A$1:$D$14,4,FALSE),"Missing")</f>
        <v>420</v>
      </c>
      <c r="Q669" s="25" t="str">
        <f>IF('03_Clean_data'!E669="","Missing",IFERROR(IF(VLOOKUP(E669,'04_Branch_Master'!$A$1:$C$7,1,FALSE)='03_Clean_data'!E669,"Valid","Invalid"),"Invalid"))</f>
        <v>Valid</v>
      </c>
      <c r="R669" s="25" t="str">
        <f>IFERROR(VLOOKUP(tbl_clean_sales[[#This Row],[Branch_ID]],'04_Branch_Master'!$A$1:$C$7,2,FALSE),"Missing")</f>
        <v>Kangeyam</v>
      </c>
      <c r="S669" s="25" t="str">
        <f>IFERROR(VLOOKUP(tbl_clean_sales[[#This Row],[Branch_ID]],'04_Branch_Master'!$A$1:$C$7,3,FALSE),"Missing")</f>
        <v>East</v>
      </c>
      <c r="T669" s="25" t="str">
        <f>C669&amp;"|"&amp;TEXT(tbl_clean_sales[[#This Row],[Date]],"yyyymm")</f>
        <v>E007|202604</v>
      </c>
      <c r="U669" s="25">
        <f>IFERROR(INDEX('05_Target_Master'!$A$1:$F$32,MATCH(tbl_clean_sales[[#This Row],[target key]],'05_Target_Master'!$F$1:$F$32,0),3),"Missing")</f>
        <v>129600</v>
      </c>
    </row>
    <row r="670" spans="1:21" x14ac:dyDescent="0.3">
      <c r="A670" s="21">
        <v>46140</v>
      </c>
      <c r="B670" s="22" t="s">
        <v>706</v>
      </c>
      <c r="C670" s="22" t="s">
        <v>74</v>
      </c>
      <c r="D670" s="22" t="s">
        <v>36</v>
      </c>
      <c r="E670" s="22" t="s">
        <v>22</v>
      </c>
      <c r="F670" s="22">
        <v>2</v>
      </c>
      <c r="G670" s="23">
        <v>363.28</v>
      </c>
      <c r="H670" s="25" t="str">
        <f>IF(COUNTIF(tbl_clean_sales[Invoice_ID],tbl_clean_sales[[#This Row],[Invoice_ID]])&gt;1,"Duplicate","Unique")</f>
        <v>Unique</v>
      </c>
      <c r="I670" s="25"/>
      <c r="J67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0" s="25" t="str">
        <f>IFERROR(VLOOKUP(tbl_clean_sales[[#This Row],[Employee_ID]],'02_Employee_Master'!$A$1:$C$12,2,FALSE),"Employee Name Missing")</f>
        <v>Arun Kumar</v>
      </c>
      <c r="L670" s="25" t="str">
        <f>IFERROR(VLOOKUP(tbl_clean_sales[[#This Row],[Employee_ID]],'02_Employee_Master'!$A$1:$C$12,3,FALSE),"Department Name Missing")</f>
        <v>Sales</v>
      </c>
      <c r="M670" s="25" t="str">
        <f>IF('03_Clean_data'!D670="","Missing",IFERROR(IF(VLOOKUP(D670,'03_Product_Master'!$A$1:$D$14,1,FALSE)='03_Clean_data'!D670,"Valid","Invalid"),"Invalid"))</f>
        <v>Valid</v>
      </c>
      <c r="N670" s="25" t="str">
        <f>IFERROR(VLOOKUP(tbl_clean_sales[[#This Row],[Product_ID]],'03_Product_Master'!$A$1:$D$14,2,FALSE),"Missing")</f>
        <v>Dish Wash</v>
      </c>
      <c r="O670" s="25" t="str">
        <f>IFERROR(VLOOKUP(tbl_clean_sales[[#This Row],[Product_ID]],'03_Product_Master'!$A$1:$D$14,3,FALSE),"Missing")</f>
        <v>Home Care</v>
      </c>
      <c r="P670" s="25">
        <f>IFERROR(VLOOKUP(tbl_clean_sales[[#This Row],[Product_ID]],'03_Product_Master'!$A$1:$D$14,4,FALSE),"Missing")</f>
        <v>190</v>
      </c>
      <c r="Q670" s="25" t="str">
        <f>IF('03_Clean_data'!E670="","Missing",IFERROR(IF(VLOOKUP(E670,'04_Branch_Master'!$A$1:$C$7,1,FALSE)='03_Clean_data'!E670,"Valid","Invalid"),"Invalid"))</f>
        <v>Valid</v>
      </c>
      <c r="R670" s="25" t="str">
        <f>IFERROR(VLOOKUP(tbl_clean_sales[[#This Row],[Branch_ID]],'04_Branch_Master'!$A$1:$C$7,2,FALSE),"Missing")</f>
        <v>Tirupur Central</v>
      </c>
      <c r="S670" s="25" t="str">
        <f>IFERROR(VLOOKUP(tbl_clean_sales[[#This Row],[Branch_ID]],'04_Branch_Master'!$A$1:$C$7,3,FALSE),"Missing")</f>
        <v>North</v>
      </c>
      <c r="T670" s="25" t="str">
        <f>C670&amp;"|"&amp;TEXT(tbl_clean_sales[[#This Row],[Date]],"yyyymm")</f>
        <v>E001|202604</v>
      </c>
      <c r="U670" s="25">
        <f>IFERROR(INDEX('05_Target_Master'!$A$1:$F$32,MATCH(tbl_clean_sales[[#This Row],[target key]],'05_Target_Master'!$F$1:$F$32,0),3),"Missing")</f>
        <v>156900</v>
      </c>
    </row>
    <row r="671" spans="1:21" x14ac:dyDescent="0.3">
      <c r="A671" s="21">
        <v>46196</v>
      </c>
      <c r="B671" s="22" t="s">
        <v>707</v>
      </c>
      <c r="C671" s="22" t="s">
        <v>74</v>
      </c>
      <c r="D671" s="22" t="s">
        <v>16</v>
      </c>
      <c r="E671" s="22" t="s">
        <v>26</v>
      </c>
      <c r="F671" s="22">
        <v>9</v>
      </c>
      <c r="G671" s="23">
        <v>2581.37</v>
      </c>
      <c r="H671" s="25" t="str">
        <f>IF(COUNTIF(tbl_clean_sales[Invoice_ID],tbl_clean_sales[[#This Row],[Invoice_ID]])&gt;1,"Duplicate","Unique")</f>
        <v>Unique</v>
      </c>
      <c r="I671" s="25"/>
      <c r="J67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1" s="25" t="str">
        <f>IFERROR(VLOOKUP(tbl_clean_sales[[#This Row],[Employee_ID]],'02_Employee_Master'!$A$1:$C$12,2,FALSE),"Employee Name Missing")</f>
        <v>Arun Kumar</v>
      </c>
      <c r="L671" s="25" t="str">
        <f>IFERROR(VLOOKUP(tbl_clean_sales[[#This Row],[Employee_ID]],'02_Employee_Master'!$A$1:$C$12,3,FALSE),"Department Name Missing")</f>
        <v>Sales</v>
      </c>
      <c r="M671" s="25" t="str">
        <f>IF('03_Clean_data'!D671="","Missing",IFERROR(IF(VLOOKUP(D671,'03_Product_Master'!$A$1:$D$14,1,FALSE)='03_Clean_data'!D671,"Valid","Invalid"),"Invalid"))</f>
        <v>Valid</v>
      </c>
      <c r="N671" s="25" t="str">
        <f>IFERROR(VLOOKUP(tbl_clean_sales[[#This Row],[Product_ID]],'03_Product_Master'!$A$1:$D$14,2,FALSE),"Missing")</f>
        <v>Shampoo</v>
      </c>
      <c r="O671" s="25" t="str">
        <f>IFERROR(VLOOKUP(tbl_clean_sales[[#This Row],[Product_ID]],'03_Product_Master'!$A$1:$D$14,3,FALSE),"Missing")</f>
        <v>Personal Care</v>
      </c>
      <c r="P671" s="25">
        <f>IFERROR(VLOOKUP(tbl_clean_sales[[#This Row],[Product_ID]],'03_Product_Master'!$A$1:$D$14,4,FALSE),"Missing")</f>
        <v>310</v>
      </c>
      <c r="Q671" s="25" t="str">
        <f>IF('03_Clean_data'!E671="","Missing",IFERROR(IF(VLOOKUP(E671,'04_Branch_Master'!$A$1:$C$7,1,FALSE)='03_Clean_data'!E671,"Valid","Invalid"),"Invalid"))</f>
        <v>Valid</v>
      </c>
      <c r="R671" s="25" t="str">
        <f>IFERROR(VLOOKUP(tbl_clean_sales[[#This Row],[Branch_ID]],'04_Branch_Master'!$A$1:$C$7,2,FALSE),"Missing")</f>
        <v>Palladam</v>
      </c>
      <c r="S671" s="25" t="str">
        <f>IFERROR(VLOOKUP(tbl_clean_sales[[#This Row],[Branch_ID]],'04_Branch_Master'!$A$1:$C$7,3,FALSE),"Missing")</f>
        <v>South</v>
      </c>
      <c r="T671" s="25" t="str">
        <f>C671&amp;"|"&amp;TEXT(tbl_clean_sales[[#This Row],[Date]],"yyyymm")</f>
        <v>E001|202606</v>
      </c>
      <c r="U671" s="25">
        <f>IFERROR(INDEX('05_Target_Master'!$A$1:$F$32,MATCH(tbl_clean_sales[[#This Row],[target key]],'05_Target_Master'!$F$1:$F$32,0),3),"Missing")</f>
        <v>150600</v>
      </c>
    </row>
    <row r="672" spans="1:21" x14ac:dyDescent="0.3">
      <c r="A672" s="21">
        <v>46189</v>
      </c>
      <c r="B672" s="22" t="s">
        <v>708</v>
      </c>
      <c r="C672" s="22" t="s">
        <v>74</v>
      </c>
      <c r="D672" s="22" t="s">
        <v>43</v>
      </c>
      <c r="E672" s="22" t="s">
        <v>22</v>
      </c>
      <c r="F672" s="22">
        <v>1</v>
      </c>
      <c r="G672" s="23">
        <v>338.03</v>
      </c>
      <c r="H672" s="25" t="str">
        <f>IF(COUNTIF(tbl_clean_sales[Invoice_ID],tbl_clean_sales[[#This Row],[Invoice_ID]])&gt;1,"Duplicate","Unique")</f>
        <v>Unique</v>
      </c>
      <c r="I672" s="25"/>
      <c r="J67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2" s="25" t="str">
        <f>IFERROR(VLOOKUP(tbl_clean_sales[[#This Row],[Employee_ID]],'02_Employee_Master'!$A$1:$C$12,2,FALSE),"Employee Name Missing")</f>
        <v>Arun Kumar</v>
      </c>
      <c r="L672" s="25" t="str">
        <f>IFERROR(VLOOKUP(tbl_clean_sales[[#This Row],[Employee_ID]],'02_Employee_Master'!$A$1:$C$12,3,FALSE),"Department Name Missing")</f>
        <v>Sales</v>
      </c>
      <c r="M672" s="25" t="str">
        <f>IF('03_Clean_data'!D672="","Missing",IFERROR(IF(VLOOKUP(D672,'03_Product_Master'!$A$1:$D$14,1,FALSE)='03_Clean_data'!D672,"Valid","Invalid"),"Invalid"))</f>
        <v>Valid</v>
      </c>
      <c r="N672" s="25" t="str">
        <f>IFERROR(VLOOKUP(tbl_clean_sales[[#This Row],[Product_ID]],'03_Product_Master'!$A$1:$D$14,2,FALSE),"Missing")</f>
        <v>Laundry Liquid</v>
      </c>
      <c r="O672" s="25" t="str">
        <f>IFERROR(VLOOKUP(tbl_clean_sales[[#This Row],[Product_ID]],'03_Product_Master'!$A$1:$D$14,3,FALSE),"Missing")</f>
        <v>Home Care</v>
      </c>
      <c r="P672" s="25">
        <f>IFERROR(VLOOKUP(tbl_clean_sales[[#This Row],[Product_ID]],'03_Product_Master'!$A$1:$D$14,4,FALSE),"Missing")</f>
        <v>340</v>
      </c>
      <c r="Q672" s="25" t="str">
        <f>IF('03_Clean_data'!E672="","Missing",IFERROR(IF(VLOOKUP(E672,'04_Branch_Master'!$A$1:$C$7,1,FALSE)='03_Clean_data'!E672,"Valid","Invalid"),"Invalid"))</f>
        <v>Valid</v>
      </c>
      <c r="R672" s="25" t="str">
        <f>IFERROR(VLOOKUP(tbl_clean_sales[[#This Row],[Branch_ID]],'04_Branch_Master'!$A$1:$C$7,2,FALSE),"Missing")</f>
        <v>Tirupur Central</v>
      </c>
      <c r="S672" s="25" t="str">
        <f>IFERROR(VLOOKUP(tbl_clean_sales[[#This Row],[Branch_ID]],'04_Branch_Master'!$A$1:$C$7,3,FALSE),"Missing")</f>
        <v>North</v>
      </c>
      <c r="T672" s="25" t="str">
        <f>C672&amp;"|"&amp;TEXT(tbl_clean_sales[[#This Row],[Date]],"yyyymm")</f>
        <v>E001|202606</v>
      </c>
      <c r="U672" s="25">
        <f>IFERROR(INDEX('05_Target_Master'!$A$1:$F$32,MATCH(tbl_clean_sales[[#This Row],[target key]],'05_Target_Master'!$F$1:$F$32,0),3),"Missing")</f>
        <v>150600</v>
      </c>
    </row>
    <row r="673" spans="1:21" x14ac:dyDescent="0.3">
      <c r="A673" s="21">
        <v>46127</v>
      </c>
      <c r="B673" s="22" t="s">
        <v>709</v>
      </c>
      <c r="C673" s="22" t="s">
        <v>46</v>
      </c>
      <c r="D673" s="22" t="s">
        <v>48</v>
      </c>
      <c r="E673" s="22" t="s">
        <v>32</v>
      </c>
      <c r="F673" s="22">
        <v>9</v>
      </c>
      <c r="G673" s="23">
        <v>2269.0300000000002</v>
      </c>
      <c r="H673" s="25" t="str">
        <f>IF(COUNTIF(tbl_clean_sales[Invoice_ID],tbl_clean_sales[[#This Row],[Invoice_ID]])&gt;1,"Duplicate","Unique")</f>
        <v>Unique</v>
      </c>
      <c r="I673" s="25"/>
      <c r="J67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3" s="25" t="str">
        <f>IFERROR(VLOOKUP(tbl_clean_sales[[#This Row],[Employee_ID]],'02_Employee_Master'!$A$1:$C$12,2,FALSE),"Employee Name Missing")</f>
        <v>Suresh B</v>
      </c>
      <c r="L673" s="25" t="str">
        <f>IFERROR(VLOOKUP(tbl_clean_sales[[#This Row],[Employee_ID]],'02_Employee_Master'!$A$1:$C$12,3,FALSE),"Department Name Missing")</f>
        <v>Sales</v>
      </c>
      <c r="M673" s="25" t="str">
        <f>IF('03_Clean_data'!D673="","Missing",IFERROR(IF(VLOOKUP(D673,'03_Product_Master'!$A$1:$D$14,1,FALSE)='03_Clean_data'!D673,"Valid","Invalid"),"Invalid"))</f>
        <v>Valid</v>
      </c>
      <c r="N673" s="25" t="str">
        <f>IFERROR(VLOOKUP(tbl_clean_sales[[#This Row],[Product_ID]],'03_Product_Master'!$A$1:$D$14,2,FALSE),"Missing")</f>
        <v>Face Wash</v>
      </c>
      <c r="O673" s="25" t="str">
        <f>IFERROR(VLOOKUP(tbl_clean_sales[[#This Row],[Product_ID]],'03_Product_Master'!$A$1:$D$14,3,FALSE),"Missing")</f>
        <v>Personal Care</v>
      </c>
      <c r="P673" s="25">
        <f>IFERROR(VLOOKUP(tbl_clean_sales[[#This Row],[Product_ID]],'03_Product_Master'!$A$1:$D$14,4,FALSE),"Missing")</f>
        <v>260</v>
      </c>
      <c r="Q673" s="25" t="str">
        <f>IF('03_Clean_data'!E673="","Missing",IFERROR(IF(VLOOKUP(E673,'04_Branch_Master'!$A$1:$C$7,1,FALSE)='03_Clean_data'!E673,"Valid","Invalid"),"Invalid"))</f>
        <v>Valid</v>
      </c>
      <c r="R673" s="25" t="str">
        <f>IFERROR(VLOOKUP(tbl_clean_sales[[#This Row],[Branch_ID]],'04_Branch_Master'!$A$1:$C$7,2,FALSE),"Missing")</f>
        <v>Kangeyam</v>
      </c>
      <c r="S673" s="25" t="str">
        <f>IFERROR(VLOOKUP(tbl_clean_sales[[#This Row],[Branch_ID]],'04_Branch_Master'!$A$1:$C$7,3,FALSE),"Missing")</f>
        <v>East</v>
      </c>
      <c r="T673" s="25" t="str">
        <f>C673&amp;"|"&amp;TEXT(tbl_clean_sales[[#This Row],[Date]],"yyyymm")</f>
        <v>E007|202604</v>
      </c>
      <c r="U673" s="25">
        <f>IFERROR(INDEX('05_Target_Master'!$A$1:$F$32,MATCH(tbl_clean_sales[[#This Row],[target key]],'05_Target_Master'!$F$1:$F$32,0),3),"Missing")</f>
        <v>129600</v>
      </c>
    </row>
    <row r="674" spans="1:21" x14ac:dyDescent="0.3">
      <c r="A674" s="21">
        <v>46202</v>
      </c>
      <c r="B674" s="22" t="s">
        <v>710</v>
      </c>
      <c r="C674" s="22" t="s">
        <v>18</v>
      </c>
      <c r="D674" s="22" t="s">
        <v>30</v>
      </c>
      <c r="E674" s="22" t="s">
        <v>14</v>
      </c>
      <c r="F674" s="22">
        <v>11</v>
      </c>
      <c r="G674" s="23">
        <v>1758.03</v>
      </c>
      <c r="H674" s="25" t="str">
        <f>IF(COUNTIF(tbl_clean_sales[Invoice_ID],tbl_clean_sales[[#This Row],[Invoice_ID]])&gt;1,"Duplicate","Unique")</f>
        <v>Unique</v>
      </c>
      <c r="I674" s="25"/>
      <c r="J67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4" s="25" t="str">
        <f>IFERROR(VLOOKUP(tbl_clean_sales[[#This Row],[Employee_ID]],'02_Employee_Master'!$A$1:$C$12,2,FALSE),"Employee Name Missing")</f>
        <v>Rahul M</v>
      </c>
      <c r="L674" s="25" t="str">
        <f>IFERROR(VLOOKUP(tbl_clean_sales[[#This Row],[Employee_ID]],'02_Employee_Master'!$A$1:$C$12,3,FALSE),"Department Name Missing")</f>
        <v>Sales</v>
      </c>
      <c r="M674" s="25" t="str">
        <f>IF('03_Clean_data'!D674="","Missing",IFERROR(IF(VLOOKUP(D674,'03_Product_Master'!$A$1:$D$14,1,FALSE)='03_Clean_data'!D674,"Valid","Invalid"),"Invalid"))</f>
        <v>Valid</v>
      </c>
      <c r="N674" s="25" t="str">
        <f>IFERROR(VLOOKUP(tbl_clean_sales[[#This Row],[Product_ID]],'03_Product_Master'!$A$1:$D$14,2,FALSE),"Missing")</f>
        <v>Cookies Pack</v>
      </c>
      <c r="O674" s="25" t="str">
        <f>IFERROR(VLOOKUP(tbl_clean_sales[[#This Row],[Product_ID]],'03_Product_Master'!$A$1:$D$14,3,FALSE),"Missing")</f>
        <v>Snacks</v>
      </c>
      <c r="P674" s="25">
        <f>IFERROR(VLOOKUP(tbl_clean_sales[[#This Row],[Product_ID]],'03_Product_Master'!$A$1:$D$14,4,FALSE),"Missing")</f>
        <v>160</v>
      </c>
      <c r="Q674" s="25" t="str">
        <f>IF('03_Clean_data'!E674="","Missing",IFERROR(IF(VLOOKUP(E674,'04_Branch_Master'!$A$1:$C$7,1,FALSE)='03_Clean_data'!E674,"Valid","Invalid"),"Invalid"))</f>
        <v>Valid</v>
      </c>
      <c r="R674" s="25" t="str">
        <f>IFERROR(VLOOKUP(tbl_clean_sales[[#This Row],[Branch_ID]],'04_Branch_Master'!$A$1:$C$7,2,FALSE),"Missing")</f>
        <v>Avinashi Road</v>
      </c>
      <c r="S674" s="25" t="str">
        <f>IFERROR(VLOOKUP(tbl_clean_sales[[#This Row],[Branch_ID]],'04_Branch_Master'!$A$1:$C$7,3,FALSE),"Missing")</f>
        <v>North</v>
      </c>
      <c r="T674" s="25" t="str">
        <f>C674&amp;"|"&amp;TEXT(tbl_clean_sales[[#This Row],[Date]],"yyyymm")</f>
        <v>E003|202606</v>
      </c>
      <c r="U674" s="25">
        <f>IFERROR(INDEX('05_Target_Master'!$A$1:$F$32,MATCH(tbl_clean_sales[[#This Row],[target key]],'05_Target_Master'!$F$1:$F$32,0),3),"Missing")</f>
        <v>112000</v>
      </c>
    </row>
    <row r="675" spans="1:21" x14ac:dyDescent="0.3">
      <c r="A675" s="21">
        <v>46166</v>
      </c>
      <c r="B675" s="22" t="s">
        <v>711</v>
      </c>
      <c r="C675" s="22" t="s">
        <v>21</v>
      </c>
      <c r="D675" s="22" t="s">
        <v>43</v>
      </c>
      <c r="E675" s="22" t="s">
        <v>22</v>
      </c>
      <c r="F675" s="22">
        <v>10</v>
      </c>
      <c r="G675" s="23">
        <v>3152.9</v>
      </c>
      <c r="H675" s="25" t="str">
        <f>IF(COUNTIF(tbl_clean_sales[Invoice_ID],tbl_clean_sales[[#This Row],[Invoice_ID]])&gt;1,"Duplicate","Unique")</f>
        <v>Unique</v>
      </c>
      <c r="I675" s="25"/>
      <c r="J67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5" s="25" t="str">
        <f>IFERROR(VLOOKUP(tbl_clean_sales[[#This Row],[Employee_ID]],'02_Employee_Master'!$A$1:$C$12,2,FALSE),"Employee Name Missing")</f>
        <v>Priya S</v>
      </c>
      <c r="L675" s="25" t="str">
        <f>IFERROR(VLOOKUP(tbl_clean_sales[[#This Row],[Employee_ID]],'02_Employee_Master'!$A$1:$C$12,3,FALSE),"Department Name Missing")</f>
        <v>Sales</v>
      </c>
      <c r="M675" s="25" t="str">
        <f>IF('03_Clean_data'!D675="","Missing",IFERROR(IF(VLOOKUP(D675,'03_Product_Master'!$A$1:$D$14,1,FALSE)='03_Clean_data'!D675,"Valid","Invalid"),"Invalid"))</f>
        <v>Valid</v>
      </c>
      <c r="N675" s="25" t="str">
        <f>IFERROR(VLOOKUP(tbl_clean_sales[[#This Row],[Product_ID]],'03_Product_Master'!$A$1:$D$14,2,FALSE),"Missing")</f>
        <v>Laundry Liquid</v>
      </c>
      <c r="O675" s="25" t="str">
        <f>IFERROR(VLOOKUP(tbl_clean_sales[[#This Row],[Product_ID]],'03_Product_Master'!$A$1:$D$14,3,FALSE),"Missing")</f>
        <v>Home Care</v>
      </c>
      <c r="P675" s="25">
        <f>IFERROR(VLOOKUP(tbl_clean_sales[[#This Row],[Product_ID]],'03_Product_Master'!$A$1:$D$14,4,FALSE),"Missing")</f>
        <v>340</v>
      </c>
      <c r="Q675" s="25" t="str">
        <f>IF('03_Clean_data'!E675="","Missing",IFERROR(IF(VLOOKUP(E675,'04_Branch_Master'!$A$1:$C$7,1,FALSE)='03_Clean_data'!E675,"Valid","Invalid"),"Invalid"))</f>
        <v>Valid</v>
      </c>
      <c r="R675" s="25" t="str">
        <f>IFERROR(VLOOKUP(tbl_clean_sales[[#This Row],[Branch_ID]],'04_Branch_Master'!$A$1:$C$7,2,FALSE),"Missing")</f>
        <v>Tirupur Central</v>
      </c>
      <c r="S675" s="25" t="str">
        <f>IFERROR(VLOOKUP(tbl_clean_sales[[#This Row],[Branch_ID]],'04_Branch_Master'!$A$1:$C$7,3,FALSE),"Missing")</f>
        <v>North</v>
      </c>
      <c r="T675" s="25" t="str">
        <f>C675&amp;"|"&amp;TEXT(tbl_clean_sales[[#This Row],[Date]],"yyyymm")</f>
        <v>E002|202605</v>
      </c>
      <c r="U675" s="25">
        <f>IFERROR(INDEX('05_Target_Master'!$A$1:$F$32,MATCH(tbl_clean_sales[[#This Row],[target key]],'05_Target_Master'!$F$1:$F$32,0),3),"Missing")</f>
        <v>132100</v>
      </c>
    </row>
    <row r="676" spans="1:21" x14ac:dyDescent="0.3">
      <c r="A676" s="21">
        <v>46130</v>
      </c>
      <c r="B676" s="22" t="s">
        <v>712</v>
      </c>
      <c r="C676" s="22" t="s">
        <v>46</v>
      </c>
      <c r="D676" s="22" t="s">
        <v>9</v>
      </c>
      <c r="E676" s="22" t="s">
        <v>32</v>
      </c>
      <c r="F676" s="22">
        <v>10</v>
      </c>
      <c r="G676" s="23">
        <v>2760.44</v>
      </c>
      <c r="H676" s="25" t="str">
        <f>IF(COUNTIF(tbl_clean_sales[Invoice_ID],tbl_clean_sales[[#This Row],[Invoice_ID]])&gt;1,"Duplicate","Unique")</f>
        <v>Unique</v>
      </c>
      <c r="I676" s="25"/>
      <c r="J67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6" s="25" t="str">
        <f>IFERROR(VLOOKUP(tbl_clean_sales[[#This Row],[Employee_ID]],'02_Employee_Master'!$A$1:$C$12,2,FALSE),"Employee Name Missing")</f>
        <v>Suresh B</v>
      </c>
      <c r="L676" s="25" t="str">
        <f>IFERROR(VLOOKUP(tbl_clean_sales[[#This Row],[Employee_ID]],'02_Employee_Master'!$A$1:$C$12,3,FALSE),"Department Name Missing")</f>
        <v>Sales</v>
      </c>
      <c r="M676" s="25" t="str">
        <f>IF('03_Clean_data'!D676="","Missing",IFERROR(IF(VLOOKUP(D676,'03_Product_Master'!$A$1:$D$14,1,FALSE)='03_Clean_data'!D676,"Valid","Invalid"),"Invalid"))</f>
        <v>Valid</v>
      </c>
      <c r="N676" s="25" t="str">
        <f>IFERROR(VLOOKUP(tbl_clean_sales[[#This Row],[Product_ID]],'03_Product_Master'!$A$1:$D$14,2,FALSE),"Missing")</f>
        <v>Green Tea</v>
      </c>
      <c r="O676" s="25" t="str">
        <f>IFERROR(VLOOKUP(tbl_clean_sales[[#This Row],[Product_ID]],'03_Product_Master'!$A$1:$D$14,3,FALSE),"Missing")</f>
        <v>Beverages</v>
      </c>
      <c r="P676" s="25">
        <f>IFERROR(VLOOKUP(tbl_clean_sales[[#This Row],[Product_ID]],'03_Product_Master'!$A$1:$D$14,4,FALSE),"Missing")</f>
        <v>280</v>
      </c>
      <c r="Q676" s="25" t="str">
        <f>IF('03_Clean_data'!E676="","Missing",IFERROR(IF(VLOOKUP(E676,'04_Branch_Master'!$A$1:$C$7,1,FALSE)='03_Clean_data'!E676,"Valid","Invalid"),"Invalid"))</f>
        <v>Valid</v>
      </c>
      <c r="R676" s="25" t="str">
        <f>IFERROR(VLOOKUP(tbl_clean_sales[[#This Row],[Branch_ID]],'04_Branch_Master'!$A$1:$C$7,2,FALSE),"Missing")</f>
        <v>Kangeyam</v>
      </c>
      <c r="S676" s="25" t="str">
        <f>IFERROR(VLOOKUP(tbl_clean_sales[[#This Row],[Branch_ID]],'04_Branch_Master'!$A$1:$C$7,3,FALSE),"Missing")</f>
        <v>East</v>
      </c>
      <c r="T676" s="25" t="str">
        <f>C676&amp;"|"&amp;TEXT(tbl_clean_sales[[#This Row],[Date]],"yyyymm")</f>
        <v>E007|202604</v>
      </c>
      <c r="U676" s="25">
        <f>IFERROR(INDEX('05_Target_Master'!$A$1:$F$32,MATCH(tbl_clean_sales[[#This Row],[target key]],'05_Target_Master'!$F$1:$F$32,0),3),"Missing")</f>
        <v>129600</v>
      </c>
    </row>
    <row r="677" spans="1:21" x14ac:dyDescent="0.3">
      <c r="A677" s="21">
        <v>46127</v>
      </c>
      <c r="B677" s="22" t="s">
        <v>713</v>
      </c>
      <c r="C677" s="22" t="s">
        <v>21</v>
      </c>
      <c r="D677" s="22" t="s">
        <v>48</v>
      </c>
      <c r="E677" s="22" t="s">
        <v>22</v>
      </c>
      <c r="F677" s="22">
        <v>4</v>
      </c>
      <c r="G677" s="23">
        <v>942.91</v>
      </c>
      <c r="H677" s="25" t="str">
        <f>IF(COUNTIF(tbl_clean_sales[Invoice_ID],tbl_clean_sales[[#This Row],[Invoice_ID]])&gt;1,"Duplicate","Unique")</f>
        <v>Unique</v>
      </c>
      <c r="I677" s="25"/>
      <c r="J67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7" s="25" t="str">
        <f>IFERROR(VLOOKUP(tbl_clean_sales[[#This Row],[Employee_ID]],'02_Employee_Master'!$A$1:$C$12,2,FALSE),"Employee Name Missing")</f>
        <v>Priya S</v>
      </c>
      <c r="L677" s="25" t="str">
        <f>IFERROR(VLOOKUP(tbl_clean_sales[[#This Row],[Employee_ID]],'02_Employee_Master'!$A$1:$C$12,3,FALSE),"Department Name Missing")</f>
        <v>Sales</v>
      </c>
      <c r="M677" s="25" t="str">
        <f>IF('03_Clean_data'!D677="","Missing",IFERROR(IF(VLOOKUP(D677,'03_Product_Master'!$A$1:$D$14,1,FALSE)='03_Clean_data'!D677,"Valid","Invalid"),"Invalid"))</f>
        <v>Valid</v>
      </c>
      <c r="N677" s="25" t="str">
        <f>IFERROR(VLOOKUP(tbl_clean_sales[[#This Row],[Product_ID]],'03_Product_Master'!$A$1:$D$14,2,FALSE),"Missing")</f>
        <v>Face Wash</v>
      </c>
      <c r="O677" s="25" t="str">
        <f>IFERROR(VLOOKUP(tbl_clean_sales[[#This Row],[Product_ID]],'03_Product_Master'!$A$1:$D$14,3,FALSE),"Missing")</f>
        <v>Personal Care</v>
      </c>
      <c r="P677" s="25">
        <f>IFERROR(VLOOKUP(tbl_clean_sales[[#This Row],[Product_ID]],'03_Product_Master'!$A$1:$D$14,4,FALSE),"Missing")</f>
        <v>260</v>
      </c>
      <c r="Q677" s="25" t="str">
        <f>IF('03_Clean_data'!E677="","Missing",IFERROR(IF(VLOOKUP(E677,'04_Branch_Master'!$A$1:$C$7,1,FALSE)='03_Clean_data'!E677,"Valid","Invalid"),"Invalid"))</f>
        <v>Valid</v>
      </c>
      <c r="R677" s="25" t="str">
        <f>IFERROR(VLOOKUP(tbl_clean_sales[[#This Row],[Branch_ID]],'04_Branch_Master'!$A$1:$C$7,2,FALSE),"Missing")</f>
        <v>Tirupur Central</v>
      </c>
      <c r="S677" s="25" t="str">
        <f>IFERROR(VLOOKUP(tbl_clean_sales[[#This Row],[Branch_ID]],'04_Branch_Master'!$A$1:$C$7,3,FALSE),"Missing")</f>
        <v>North</v>
      </c>
      <c r="T677" s="25" t="str">
        <f>C677&amp;"|"&amp;TEXT(tbl_clean_sales[[#This Row],[Date]],"yyyymm")</f>
        <v>E002|202604</v>
      </c>
      <c r="U677" s="25">
        <f>IFERROR(INDEX('05_Target_Master'!$A$1:$F$32,MATCH(tbl_clean_sales[[#This Row],[target key]],'05_Target_Master'!$F$1:$F$32,0),3),"Missing")</f>
        <v>122300</v>
      </c>
    </row>
    <row r="678" spans="1:21" x14ac:dyDescent="0.3">
      <c r="A678" s="21">
        <v>46179</v>
      </c>
      <c r="B678" s="22" t="s">
        <v>714</v>
      </c>
      <c r="C678" s="22" t="s">
        <v>12</v>
      </c>
      <c r="D678" s="22" t="s">
        <v>34</v>
      </c>
      <c r="E678" s="22" t="s">
        <v>14</v>
      </c>
      <c r="F678" s="22">
        <v>5</v>
      </c>
      <c r="G678" s="23">
        <v>539.41999999999996</v>
      </c>
      <c r="H678" s="25" t="str">
        <f>IF(COUNTIF(tbl_clean_sales[Invoice_ID],tbl_clean_sales[[#This Row],[Invoice_ID]])&gt;1,"Duplicate","Unique")</f>
        <v>Unique</v>
      </c>
      <c r="I678" s="25"/>
      <c r="J67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8" s="25" t="str">
        <f>IFERROR(VLOOKUP(tbl_clean_sales[[#This Row],[Employee_ID]],'02_Employee_Master'!$A$1:$C$12,2,FALSE),"Employee Name Missing")</f>
        <v>Divya R</v>
      </c>
      <c r="L678" s="25" t="str">
        <f>IFERROR(VLOOKUP(tbl_clean_sales[[#This Row],[Employee_ID]],'02_Employee_Master'!$A$1:$C$12,3,FALSE),"Department Name Missing")</f>
        <v>Sales</v>
      </c>
      <c r="M678" s="25" t="str">
        <f>IF('03_Clean_data'!D678="","Missing",IFERROR(IF(VLOOKUP(D678,'03_Product_Master'!$A$1:$D$14,1,FALSE)='03_Clean_data'!D678,"Valid","Invalid"),"Invalid"))</f>
        <v>Valid</v>
      </c>
      <c r="N678" s="25" t="str">
        <f>IFERROR(VLOOKUP(tbl_clean_sales[[#This Row],[Product_ID]],'03_Product_Master'!$A$1:$D$14,2,FALSE),"Missing")</f>
        <v>Potato Chips</v>
      </c>
      <c r="O678" s="25" t="str">
        <f>IFERROR(VLOOKUP(tbl_clean_sales[[#This Row],[Product_ID]],'03_Product_Master'!$A$1:$D$14,3,FALSE),"Missing")</f>
        <v>Snacks</v>
      </c>
      <c r="P678" s="25">
        <f>IFERROR(VLOOKUP(tbl_clean_sales[[#This Row],[Product_ID]],'03_Product_Master'!$A$1:$D$14,4,FALSE),"Missing")</f>
        <v>110</v>
      </c>
      <c r="Q678" s="25" t="str">
        <f>IF('03_Clean_data'!E678="","Missing",IFERROR(IF(VLOOKUP(E678,'04_Branch_Master'!$A$1:$C$7,1,FALSE)='03_Clean_data'!E678,"Valid","Invalid"),"Invalid"))</f>
        <v>Valid</v>
      </c>
      <c r="R678" s="25" t="str">
        <f>IFERROR(VLOOKUP(tbl_clean_sales[[#This Row],[Branch_ID]],'04_Branch_Master'!$A$1:$C$7,2,FALSE),"Missing")</f>
        <v>Avinashi Road</v>
      </c>
      <c r="S678" s="25" t="str">
        <f>IFERROR(VLOOKUP(tbl_clean_sales[[#This Row],[Branch_ID]],'04_Branch_Master'!$A$1:$C$7,3,FALSE),"Missing")</f>
        <v>North</v>
      </c>
      <c r="T678" s="25" t="str">
        <f>C678&amp;"|"&amp;TEXT(tbl_clean_sales[[#This Row],[Date]],"yyyymm")</f>
        <v>E004|202606</v>
      </c>
      <c r="U678" s="25">
        <f>IFERROR(INDEX('05_Target_Master'!$A$1:$F$32,MATCH(tbl_clean_sales[[#This Row],[target key]],'05_Target_Master'!$F$1:$F$32,0),3),"Missing")</f>
        <v>157100</v>
      </c>
    </row>
    <row r="679" spans="1:21" x14ac:dyDescent="0.3">
      <c r="A679" s="21">
        <v>46183</v>
      </c>
      <c r="B679" s="22" t="s">
        <v>715</v>
      </c>
      <c r="C679" s="22" t="s">
        <v>38</v>
      </c>
      <c r="D679" s="22" t="s">
        <v>30</v>
      </c>
      <c r="E679" s="22" t="s">
        <v>32</v>
      </c>
      <c r="F679" s="22">
        <v>8</v>
      </c>
      <c r="G679" s="23">
        <v>1229.22</v>
      </c>
      <c r="H679" s="25" t="str">
        <f>IF(COUNTIF(tbl_clean_sales[Invoice_ID],tbl_clean_sales[[#This Row],[Invoice_ID]])&gt;1,"Duplicate","Unique")</f>
        <v>Unique</v>
      </c>
      <c r="I679" s="25"/>
      <c r="J67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79" s="25" t="str">
        <f>IFERROR(VLOOKUP(tbl_clean_sales[[#This Row],[Employee_ID]],'02_Employee_Master'!$A$1:$C$12,2,FALSE),"Employee Name Missing")</f>
        <v>Nandhini K</v>
      </c>
      <c r="L679" s="25" t="str">
        <f>IFERROR(VLOOKUP(tbl_clean_sales[[#This Row],[Employee_ID]],'02_Employee_Master'!$A$1:$C$12,3,FALSE),"Department Name Missing")</f>
        <v>Sales</v>
      </c>
      <c r="M679" s="25" t="str">
        <f>IF('03_Clean_data'!D679="","Missing",IFERROR(IF(VLOOKUP(D679,'03_Product_Master'!$A$1:$D$14,1,FALSE)='03_Clean_data'!D679,"Valid","Invalid"),"Invalid"))</f>
        <v>Valid</v>
      </c>
      <c r="N679" s="25" t="str">
        <f>IFERROR(VLOOKUP(tbl_clean_sales[[#This Row],[Product_ID]],'03_Product_Master'!$A$1:$D$14,2,FALSE),"Missing")</f>
        <v>Cookies Pack</v>
      </c>
      <c r="O679" s="25" t="str">
        <f>IFERROR(VLOOKUP(tbl_clean_sales[[#This Row],[Product_ID]],'03_Product_Master'!$A$1:$D$14,3,FALSE),"Missing")</f>
        <v>Snacks</v>
      </c>
      <c r="P679" s="25">
        <f>IFERROR(VLOOKUP(tbl_clean_sales[[#This Row],[Product_ID]],'03_Product_Master'!$A$1:$D$14,4,FALSE),"Missing")</f>
        <v>160</v>
      </c>
      <c r="Q679" s="25" t="str">
        <f>IF('03_Clean_data'!E679="","Missing",IFERROR(IF(VLOOKUP(E679,'04_Branch_Master'!$A$1:$C$7,1,FALSE)='03_Clean_data'!E679,"Valid","Invalid"),"Invalid"))</f>
        <v>Valid</v>
      </c>
      <c r="R679" s="25" t="str">
        <f>IFERROR(VLOOKUP(tbl_clean_sales[[#This Row],[Branch_ID]],'04_Branch_Master'!$A$1:$C$7,2,FALSE),"Missing")</f>
        <v>Kangeyam</v>
      </c>
      <c r="S679" s="25" t="str">
        <f>IFERROR(VLOOKUP(tbl_clean_sales[[#This Row],[Branch_ID]],'04_Branch_Master'!$A$1:$C$7,3,FALSE),"Missing")</f>
        <v>East</v>
      </c>
      <c r="T679" s="25" t="str">
        <f>C679&amp;"|"&amp;TEXT(tbl_clean_sales[[#This Row],[Date]],"yyyymm")</f>
        <v>E008|202606</v>
      </c>
      <c r="U679" s="25">
        <f>IFERROR(INDEX('05_Target_Master'!$A$1:$F$32,MATCH(tbl_clean_sales[[#This Row],[target key]],'05_Target_Master'!$F$1:$F$32,0),3),"Missing")</f>
        <v>119200</v>
      </c>
    </row>
    <row r="680" spans="1:21" x14ac:dyDescent="0.3">
      <c r="A680" s="21">
        <v>46113</v>
      </c>
      <c r="B680" s="22" t="s">
        <v>716</v>
      </c>
      <c r="C680" s="22" t="s">
        <v>74</v>
      </c>
      <c r="D680" s="22" t="s">
        <v>43</v>
      </c>
      <c r="E680" s="22" t="s">
        <v>22</v>
      </c>
      <c r="F680" s="22">
        <v>2</v>
      </c>
      <c r="G680" s="23">
        <v>611.85</v>
      </c>
      <c r="H680" s="25" t="str">
        <f>IF(COUNTIF(tbl_clean_sales[Invoice_ID],tbl_clean_sales[[#This Row],[Invoice_ID]])&gt;1,"Duplicate","Unique")</f>
        <v>Unique</v>
      </c>
      <c r="I680" s="25"/>
      <c r="J68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0" s="25" t="str">
        <f>IFERROR(VLOOKUP(tbl_clean_sales[[#This Row],[Employee_ID]],'02_Employee_Master'!$A$1:$C$12,2,FALSE),"Employee Name Missing")</f>
        <v>Arun Kumar</v>
      </c>
      <c r="L680" s="25" t="str">
        <f>IFERROR(VLOOKUP(tbl_clean_sales[[#This Row],[Employee_ID]],'02_Employee_Master'!$A$1:$C$12,3,FALSE),"Department Name Missing")</f>
        <v>Sales</v>
      </c>
      <c r="M680" s="25" t="str">
        <f>IF('03_Clean_data'!D680="","Missing",IFERROR(IF(VLOOKUP(D680,'03_Product_Master'!$A$1:$D$14,1,FALSE)='03_Clean_data'!D680,"Valid","Invalid"),"Invalid"))</f>
        <v>Valid</v>
      </c>
      <c r="N680" s="25" t="str">
        <f>IFERROR(VLOOKUP(tbl_clean_sales[[#This Row],[Product_ID]],'03_Product_Master'!$A$1:$D$14,2,FALSE),"Missing")</f>
        <v>Laundry Liquid</v>
      </c>
      <c r="O680" s="25" t="str">
        <f>IFERROR(VLOOKUP(tbl_clean_sales[[#This Row],[Product_ID]],'03_Product_Master'!$A$1:$D$14,3,FALSE),"Missing")</f>
        <v>Home Care</v>
      </c>
      <c r="P680" s="25">
        <f>IFERROR(VLOOKUP(tbl_clean_sales[[#This Row],[Product_ID]],'03_Product_Master'!$A$1:$D$14,4,FALSE),"Missing")</f>
        <v>340</v>
      </c>
      <c r="Q680" s="25" t="str">
        <f>IF('03_Clean_data'!E680="","Missing",IFERROR(IF(VLOOKUP(E680,'04_Branch_Master'!$A$1:$C$7,1,FALSE)='03_Clean_data'!E680,"Valid","Invalid"),"Invalid"))</f>
        <v>Valid</v>
      </c>
      <c r="R680" s="25" t="str">
        <f>IFERROR(VLOOKUP(tbl_clean_sales[[#This Row],[Branch_ID]],'04_Branch_Master'!$A$1:$C$7,2,FALSE),"Missing")</f>
        <v>Tirupur Central</v>
      </c>
      <c r="S680" s="25" t="str">
        <f>IFERROR(VLOOKUP(tbl_clean_sales[[#This Row],[Branch_ID]],'04_Branch_Master'!$A$1:$C$7,3,FALSE),"Missing")</f>
        <v>North</v>
      </c>
      <c r="T680" s="25" t="str">
        <f>C680&amp;"|"&amp;TEXT(tbl_clean_sales[[#This Row],[Date]],"yyyymm")</f>
        <v>E001|202604</v>
      </c>
      <c r="U680" s="25">
        <f>IFERROR(INDEX('05_Target_Master'!$A$1:$F$32,MATCH(tbl_clean_sales[[#This Row],[target key]],'05_Target_Master'!$F$1:$F$32,0),3),"Missing")</f>
        <v>156900</v>
      </c>
    </row>
    <row r="681" spans="1:21" x14ac:dyDescent="0.3">
      <c r="A681" s="21">
        <v>46198</v>
      </c>
      <c r="B681" s="22" t="s">
        <v>717</v>
      </c>
      <c r="C681" s="22" t="s">
        <v>38</v>
      </c>
      <c r="D681" s="22" t="s">
        <v>53</v>
      </c>
      <c r="E681" s="22" t="s">
        <v>10</v>
      </c>
      <c r="F681" s="22">
        <v>2</v>
      </c>
      <c r="G681" s="23">
        <v>639.22</v>
      </c>
      <c r="H681" s="25" t="str">
        <f>IF(COUNTIF(tbl_clean_sales[Invoice_ID],tbl_clean_sales[[#This Row],[Invoice_ID]])&gt;1,"Duplicate","Unique")</f>
        <v>Unique</v>
      </c>
      <c r="I681" s="25"/>
      <c r="J68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1" s="25" t="str">
        <f>IFERROR(VLOOKUP(tbl_clean_sales[[#This Row],[Employee_ID]],'02_Employee_Master'!$A$1:$C$12,2,FALSE),"Employee Name Missing")</f>
        <v>Nandhini K</v>
      </c>
      <c r="L681" s="25" t="str">
        <f>IFERROR(VLOOKUP(tbl_clean_sales[[#This Row],[Employee_ID]],'02_Employee_Master'!$A$1:$C$12,3,FALSE),"Department Name Missing")</f>
        <v>Sales</v>
      </c>
      <c r="M681" s="25" t="str">
        <f>IF('03_Clean_data'!D681="","Missing",IFERROR(IF(VLOOKUP(D681,'03_Product_Master'!$A$1:$D$14,1,FALSE)='03_Clean_data'!D681,"Valid","Invalid"),"Invalid"))</f>
        <v>Valid</v>
      </c>
      <c r="N681" s="25" t="str">
        <f>IFERROR(VLOOKUP(tbl_clean_sales[[#This Row],[Product_ID]],'03_Product_Master'!$A$1:$D$14,2,FALSE),"Missing")</f>
        <v>Instant Coffee</v>
      </c>
      <c r="O681" s="25" t="str">
        <f>IFERROR(VLOOKUP(tbl_clean_sales[[#This Row],[Product_ID]],'03_Product_Master'!$A$1:$D$14,3,FALSE),"Missing")</f>
        <v>Beverages</v>
      </c>
      <c r="P681" s="25">
        <f>IFERROR(VLOOKUP(tbl_clean_sales[[#This Row],[Product_ID]],'03_Product_Master'!$A$1:$D$14,4,FALSE),"Missing")</f>
        <v>350</v>
      </c>
      <c r="Q681" s="25" t="str">
        <f>IF('03_Clean_data'!E681="","Missing",IFERROR(IF(VLOOKUP(E681,'04_Branch_Master'!$A$1:$C$7,1,FALSE)='03_Clean_data'!E681,"Valid","Invalid"),"Invalid"))</f>
        <v>Valid</v>
      </c>
      <c r="R681" s="25" t="str">
        <f>IFERROR(VLOOKUP(tbl_clean_sales[[#This Row],[Branch_ID]],'04_Branch_Master'!$A$1:$C$7,2,FALSE),"Missing")</f>
        <v>Dharapuram</v>
      </c>
      <c r="S681" s="25" t="str">
        <f>IFERROR(VLOOKUP(tbl_clean_sales[[#This Row],[Branch_ID]],'04_Branch_Master'!$A$1:$C$7,3,FALSE),"Missing")</f>
        <v>South</v>
      </c>
      <c r="T681" s="25" t="str">
        <f>C681&amp;"|"&amp;TEXT(tbl_clean_sales[[#This Row],[Date]],"yyyymm")</f>
        <v>E008|202606</v>
      </c>
      <c r="U681" s="25">
        <f>IFERROR(INDEX('05_Target_Master'!$A$1:$F$32,MATCH(tbl_clean_sales[[#This Row],[target key]],'05_Target_Master'!$F$1:$F$32,0),3),"Missing")</f>
        <v>119200</v>
      </c>
    </row>
    <row r="682" spans="1:21" x14ac:dyDescent="0.3">
      <c r="A682" s="21">
        <v>46125</v>
      </c>
      <c r="B682" s="22" t="s">
        <v>718</v>
      </c>
      <c r="C682" s="22" t="s">
        <v>24</v>
      </c>
      <c r="D682" s="22" t="s">
        <v>43</v>
      </c>
      <c r="E682" s="22" t="s">
        <v>26</v>
      </c>
      <c r="F682" s="22">
        <v>5</v>
      </c>
      <c r="G682" s="23">
        <v>1646.12</v>
      </c>
      <c r="H682" s="25" t="str">
        <f>IF(COUNTIF(tbl_clean_sales[Invoice_ID],tbl_clean_sales[[#This Row],[Invoice_ID]])&gt;1,"Duplicate","Unique")</f>
        <v>Unique</v>
      </c>
      <c r="I682" s="25"/>
      <c r="J68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2" s="25" t="str">
        <f>IFERROR(VLOOKUP(tbl_clean_sales[[#This Row],[Employee_ID]],'02_Employee_Master'!$A$1:$C$12,2,FALSE),"Employee Name Missing")</f>
        <v>Karthik P</v>
      </c>
      <c r="L682" s="25" t="str">
        <f>IFERROR(VLOOKUP(tbl_clean_sales[[#This Row],[Employee_ID]],'02_Employee_Master'!$A$1:$C$12,3,FALSE),"Department Name Missing")</f>
        <v>Sales</v>
      </c>
      <c r="M682" s="25" t="str">
        <f>IF('03_Clean_data'!D682="","Missing",IFERROR(IF(VLOOKUP(D682,'03_Product_Master'!$A$1:$D$14,1,FALSE)='03_Clean_data'!D682,"Valid","Invalid"),"Invalid"))</f>
        <v>Valid</v>
      </c>
      <c r="N682" s="25" t="str">
        <f>IFERROR(VLOOKUP(tbl_clean_sales[[#This Row],[Product_ID]],'03_Product_Master'!$A$1:$D$14,2,FALSE),"Missing")</f>
        <v>Laundry Liquid</v>
      </c>
      <c r="O682" s="25" t="str">
        <f>IFERROR(VLOOKUP(tbl_clean_sales[[#This Row],[Product_ID]],'03_Product_Master'!$A$1:$D$14,3,FALSE),"Missing")</f>
        <v>Home Care</v>
      </c>
      <c r="P682" s="25">
        <f>IFERROR(VLOOKUP(tbl_clean_sales[[#This Row],[Product_ID]],'03_Product_Master'!$A$1:$D$14,4,FALSE),"Missing")</f>
        <v>340</v>
      </c>
      <c r="Q682" s="25" t="str">
        <f>IF('03_Clean_data'!E682="","Missing",IFERROR(IF(VLOOKUP(E682,'04_Branch_Master'!$A$1:$C$7,1,FALSE)='03_Clean_data'!E682,"Valid","Invalid"),"Invalid"))</f>
        <v>Valid</v>
      </c>
      <c r="R682" s="25" t="str">
        <f>IFERROR(VLOOKUP(tbl_clean_sales[[#This Row],[Branch_ID]],'04_Branch_Master'!$A$1:$C$7,2,FALSE),"Missing")</f>
        <v>Palladam</v>
      </c>
      <c r="S682" s="25" t="str">
        <f>IFERROR(VLOOKUP(tbl_clean_sales[[#This Row],[Branch_ID]],'04_Branch_Master'!$A$1:$C$7,3,FALSE),"Missing")</f>
        <v>South</v>
      </c>
      <c r="T682" s="25" t="str">
        <f>C682&amp;"|"&amp;TEXT(tbl_clean_sales[[#This Row],[Date]],"yyyymm")</f>
        <v>E005|202604</v>
      </c>
      <c r="U682" s="25">
        <f>IFERROR(INDEX('05_Target_Master'!$A$1:$F$32,MATCH(tbl_clean_sales[[#This Row],[target key]],'05_Target_Master'!$F$1:$F$32,0),3),"Missing")</f>
        <v>133000</v>
      </c>
    </row>
    <row r="683" spans="1:21" x14ac:dyDescent="0.3">
      <c r="A683" s="21">
        <v>46119</v>
      </c>
      <c r="B683" s="22" t="s">
        <v>719</v>
      </c>
      <c r="C683" s="22" t="s">
        <v>21</v>
      </c>
      <c r="D683" s="22" t="s">
        <v>53</v>
      </c>
      <c r="E683" s="22" t="s">
        <v>26</v>
      </c>
      <c r="F683" s="22">
        <v>6</v>
      </c>
      <c r="G683" s="23">
        <v>1898</v>
      </c>
      <c r="H683" s="25" t="str">
        <f>IF(COUNTIF(tbl_clean_sales[Invoice_ID],tbl_clean_sales[[#This Row],[Invoice_ID]])&gt;1,"Duplicate","Unique")</f>
        <v>Unique</v>
      </c>
      <c r="I683" s="25"/>
      <c r="J68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3" s="25" t="str">
        <f>IFERROR(VLOOKUP(tbl_clean_sales[[#This Row],[Employee_ID]],'02_Employee_Master'!$A$1:$C$12,2,FALSE),"Employee Name Missing")</f>
        <v>Priya S</v>
      </c>
      <c r="L683" s="25" t="str">
        <f>IFERROR(VLOOKUP(tbl_clean_sales[[#This Row],[Employee_ID]],'02_Employee_Master'!$A$1:$C$12,3,FALSE),"Department Name Missing")</f>
        <v>Sales</v>
      </c>
      <c r="M683" s="25" t="str">
        <f>IF('03_Clean_data'!D683="","Missing",IFERROR(IF(VLOOKUP(D683,'03_Product_Master'!$A$1:$D$14,1,FALSE)='03_Clean_data'!D683,"Valid","Invalid"),"Invalid"))</f>
        <v>Valid</v>
      </c>
      <c r="N683" s="25" t="str">
        <f>IFERROR(VLOOKUP(tbl_clean_sales[[#This Row],[Product_ID]],'03_Product_Master'!$A$1:$D$14,2,FALSE),"Missing")</f>
        <v>Instant Coffee</v>
      </c>
      <c r="O683" s="25" t="str">
        <f>IFERROR(VLOOKUP(tbl_clean_sales[[#This Row],[Product_ID]],'03_Product_Master'!$A$1:$D$14,3,FALSE),"Missing")</f>
        <v>Beverages</v>
      </c>
      <c r="P683" s="25">
        <f>IFERROR(VLOOKUP(tbl_clean_sales[[#This Row],[Product_ID]],'03_Product_Master'!$A$1:$D$14,4,FALSE),"Missing")</f>
        <v>350</v>
      </c>
      <c r="Q683" s="25" t="str">
        <f>IF('03_Clean_data'!E683="","Missing",IFERROR(IF(VLOOKUP(E683,'04_Branch_Master'!$A$1:$C$7,1,FALSE)='03_Clean_data'!E683,"Valid","Invalid"),"Invalid"))</f>
        <v>Valid</v>
      </c>
      <c r="R683" s="25" t="str">
        <f>IFERROR(VLOOKUP(tbl_clean_sales[[#This Row],[Branch_ID]],'04_Branch_Master'!$A$1:$C$7,2,FALSE),"Missing")</f>
        <v>Palladam</v>
      </c>
      <c r="S683" s="25" t="str">
        <f>IFERROR(VLOOKUP(tbl_clean_sales[[#This Row],[Branch_ID]],'04_Branch_Master'!$A$1:$C$7,3,FALSE),"Missing")</f>
        <v>South</v>
      </c>
      <c r="T683" s="25" t="str">
        <f>C683&amp;"|"&amp;TEXT(tbl_clean_sales[[#This Row],[Date]],"yyyymm")</f>
        <v>E002|202604</v>
      </c>
      <c r="U683" s="25">
        <f>IFERROR(INDEX('05_Target_Master'!$A$1:$F$32,MATCH(tbl_clean_sales[[#This Row],[target key]],'05_Target_Master'!$F$1:$F$32,0),3),"Missing")</f>
        <v>122300</v>
      </c>
    </row>
    <row r="684" spans="1:21" x14ac:dyDescent="0.3">
      <c r="A684" s="21">
        <v>46153</v>
      </c>
      <c r="B684" s="22" t="s">
        <v>720</v>
      </c>
      <c r="C684" s="22" t="s">
        <v>46</v>
      </c>
      <c r="D684" s="22" t="s">
        <v>19</v>
      </c>
      <c r="E684" s="22" t="s">
        <v>32</v>
      </c>
      <c r="F684" s="22">
        <v>1</v>
      </c>
      <c r="G684" s="23">
        <v>229.73</v>
      </c>
      <c r="H684" s="25" t="str">
        <f>IF(COUNTIF(tbl_clean_sales[Invoice_ID],tbl_clean_sales[[#This Row],[Invoice_ID]])&gt;1,"Duplicate","Unique")</f>
        <v>Unique</v>
      </c>
      <c r="I684" s="25"/>
      <c r="J68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4" s="25" t="str">
        <f>IFERROR(VLOOKUP(tbl_clean_sales[[#This Row],[Employee_ID]],'02_Employee_Master'!$A$1:$C$12,2,FALSE),"Employee Name Missing")</f>
        <v>Suresh B</v>
      </c>
      <c r="L684" s="25" t="str">
        <f>IFERROR(VLOOKUP(tbl_clean_sales[[#This Row],[Employee_ID]],'02_Employee_Master'!$A$1:$C$12,3,FALSE),"Department Name Missing")</f>
        <v>Sales</v>
      </c>
      <c r="M684" s="25" t="str">
        <f>IF('03_Clean_data'!D684="","Missing",IFERROR(IF(VLOOKUP(D684,'03_Product_Master'!$A$1:$D$14,1,FALSE)='03_Clean_data'!D684,"Valid","Invalid"),"Invalid"))</f>
        <v>Valid</v>
      </c>
      <c r="N684" s="25" t="str">
        <f>IFERROR(VLOOKUP(tbl_clean_sales[[#This Row],[Product_ID]],'03_Product_Master'!$A$1:$D$14,2,FALSE),"Missing")</f>
        <v>Floor Cleaner</v>
      </c>
      <c r="O684" s="25" t="str">
        <f>IFERROR(VLOOKUP(tbl_clean_sales[[#This Row],[Product_ID]],'03_Product_Master'!$A$1:$D$14,3,FALSE),"Missing")</f>
        <v>Home Care</v>
      </c>
      <c r="P684" s="25">
        <f>IFERROR(VLOOKUP(tbl_clean_sales[[#This Row],[Product_ID]],'03_Product_Master'!$A$1:$D$14,4,FALSE),"Missing")</f>
        <v>230</v>
      </c>
      <c r="Q684" s="25" t="str">
        <f>IF('03_Clean_data'!E684="","Missing",IFERROR(IF(VLOOKUP(E684,'04_Branch_Master'!$A$1:$C$7,1,FALSE)='03_Clean_data'!E684,"Valid","Invalid"),"Invalid"))</f>
        <v>Valid</v>
      </c>
      <c r="R684" s="25" t="str">
        <f>IFERROR(VLOOKUP(tbl_clean_sales[[#This Row],[Branch_ID]],'04_Branch_Master'!$A$1:$C$7,2,FALSE),"Missing")</f>
        <v>Kangeyam</v>
      </c>
      <c r="S684" s="25" t="str">
        <f>IFERROR(VLOOKUP(tbl_clean_sales[[#This Row],[Branch_ID]],'04_Branch_Master'!$A$1:$C$7,3,FALSE),"Missing")</f>
        <v>East</v>
      </c>
      <c r="T684" s="25" t="str">
        <f>C684&amp;"|"&amp;TEXT(tbl_clean_sales[[#This Row],[Date]],"yyyymm")</f>
        <v>E007|202605</v>
      </c>
      <c r="U684" s="25">
        <f>IFERROR(INDEX('05_Target_Master'!$A$1:$F$32,MATCH(tbl_clean_sales[[#This Row],[target key]],'05_Target_Master'!$F$1:$F$32,0),3),"Missing")</f>
        <v>140000</v>
      </c>
    </row>
    <row r="685" spans="1:21" x14ac:dyDescent="0.3">
      <c r="A685" s="21">
        <v>46130</v>
      </c>
      <c r="B685" s="22" t="s">
        <v>721</v>
      </c>
      <c r="C685" s="22" t="s">
        <v>18</v>
      </c>
      <c r="D685" s="22" t="s">
        <v>34</v>
      </c>
      <c r="E685" s="22" t="s">
        <v>14</v>
      </c>
      <c r="F685" s="22">
        <v>8</v>
      </c>
      <c r="G685" s="23">
        <v>779.14</v>
      </c>
      <c r="H685" s="25" t="str">
        <f>IF(COUNTIF(tbl_clean_sales[Invoice_ID],tbl_clean_sales[[#This Row],[Invoice_ID]])&gt;1,"Duplicate","Unique")</f>
        <v>Unique</v>
      </c>
      <c r="I685" s="25"/>
      <c r="J68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5" s="25" t="str">
        <f>IFERROR(VLOOKUP(tbl_clean_sales[[#This Row],[Employee_ID]],'02_Employee_Master'!$A$1:$C$12,2,FALSE),"Employee Name Missing")</f>
        <v>Rahul M</v>
      </c>
      <c r="L685" s="25" t="str">
        <f>IFERROR(VLOOKUP(tbl_clean_sales[[#This Row],[Employee_ID]],'02_Employee_Master'!$A$1:$C$12,3,FALSE),"Department Name Missing")</f>
        <v>Sales</v>
      </c>
      <c r="M685" s="25" t="str">
        <f>IF('03_Clean_data'!D685="","Missing",IFERROR(IF(VLOOKUP(D685,'03_Product_Master'!$A$1:$D$14,1,FALSE)='03_Clean_data'!D685,"Valid","Invalid"),"Invalid"))</f>
        <v>Valid</v>
      </c>
      <c r="N685" s="25" t="str">
        <f>IFERROR(VLOOKUP(tbl_clean_sales[[#This Row],[Product_ID]],'03_Product_Master'!$A$1:$D$14,2,FALSE),"Missing")</f>
        <v>Potato Chips</v>
      </c>
      <c r="O685" s="25" t="str">
        <f>IFERROR(VLOOKUP(tbl_clean_sales[[#This Row],[Product_ID]],'03_Product_Master'!$A$1:$D$14,3,FALSE),"Missing")</f>
        <v>Snacks</v>
      </c>
      <c r="P685" s="25">
        <f>IFERROR(VLOOKUP(tbl_clean_sales[[#This Row],[Product_ID]],'03_Product_Master'!$A$1:$D$14,4,FALSE),"Missing")</f>
        <v>110</v>
      </c>
      <c r="Q685" s="25" t="str">
        <f>IF('03_Clean_data'!E685="","Missing",IFERROR(IF(VLOOKUP(E685,'04_Branch_Master'!$A$1:$C$7,1,FALSE)='03_Clean_data'!E685,"Valid","Invalid"),"Invalid"))</f>
        <v>Valid</v>
      </c>
      <c r="R685" s="25" t="str">
        <f>IFERROR(VLOOKUP(tbl_clean_sales[[#This Row],[Branch_ID]],'04_Branch_Master'!$A$1:$C$7,2,FALSE),"Missing")</f>
        <v>Avinashi Road</v>
      </c>
      <c r="S685" s="25" t="str">
        <f>IFERROR(VLOOKUP(tbl_clean_sales[[#This Row],[Branch_ID]],'04_Branch_Master'!$A$1:$C$7,3,FALSE),"Missing")</f>
        <v>North</v>
      </c>
      <c r="T685" s="25" t="str">
        <f>C685&amp;"|"&amp;TEXT(tbl_clean_sales[[#This Row],[Date]],"yyyymm")</f>
        <v>E003|202604</v>
      </c>
      <c r="U685" s="25">
        <f>IFERROR(INDEX('05_Target_Master'!$A$1:$F$32,MATCH(tbl_clean_sales[[#This Row],[target key]],'05_Target_Master'!$F$1:$F$32,0),3),"Missing")</f>
        <v>116600</v>
      </c>
    </row>
    <row r="686" spans="1:21" x14ac:dyDescent="0.3">
      <c r="A686" s="21">
        <v>46147</v>
      </c>
      <c r="B686" s="22" t="s">
        <v>722</v>
      </c>
      <c r="C686" s="22" t="s">
        <v>21</v>
      </c>
      <c r="D686" s="22" t="s">
        <v>34</v>
      </c>
      <c r="E686" s="22" t="s">
        <v>14</v>
      </c>
      <c r="F686" s="22">
        <v>2</v>
      </c>
      <c r="G686" s="23">
        <v>209.42</v>
      </c>
      <c r="H686" s="25" t="str">
        <f>IF(COUNTIF(tbl_clean_sales[Invoice_ID],tbl_clean_sales[[#This Row],[Invoice_ID]])&gt;1,"Duplicate","Unique")</f>
        <v>Unique</v>
      </c>
      <c r="I686" s="25"/>
      <c r="J68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6" s="25" t="str">
        <f>IFERROR(VLOOKUP(tbl_clean_sales[[#This Row],[Employee_ID]],'02_Employee_Master'!$A$1:$C$12,2,FALSE),"Employee Name Missing")</f>
        <v>Priya S</v>
      </c>
      <c r="L686" s="25" t="str">
        <f>IFERROR(VLOOKUP(tbl_clean_sales[[#This Row],[Employee_ID]],'02_Employee_Master'!$A$1:$C$12,3,FALSE),"Department Name Missing")</f>
        <v>Sales</v>
      </c>
      <c r="M686" s="25" t="str">
        <f>IF('03_Clean_data'!D686="","Missing",IFERROR(IF(VLOOKUP(D686,'03_Product_Master'!$A$1:$D$14,1,FALSE)='03_Clean_data'!D686,"Valid","Invalid"),"Invalid"))</f>
        <v>Valid</v>
      </c>
      <c r="N686" s="25" t="str">
        <f>IFERROR(VLOOKUP(tbl_clean_sales[[#This Row],[Product_ID]],'03_Product_Master'!$A$1:$D$14,2,FALSE),"Missing")</f>
        <v>Potato Chips</v>
      </c>
      <c r="O686" s="25" t="str">
        <f>IFERROR(VLOOKUP(tbl_clean_sales[[#This Row],[Product_ID]],'03_Product_Master'!$A$1:$D$14,3,FALSE),"Missing")</f>
        <v>Snacks</v>
      </c>
      <c r="P686" s="25">
        <f>IFERROR(VLOOKUP(tbl_clean_sales[[#This Row],[Product_ID]],'03_Product_Master'!$A$1:$D$14,4,FALSE),"Missing")</f>
        <v>110</v>
      </c>
      <c r="Q686" s="25" t="str">
        <f>IF('03_Clean_data'!E686="","Missing",IFERROR(IF(VLOOKUP(E686,'04_Branch_Master'!$A$1:$C$7,1,FALSE)='03_Clean_data'!E686,"Valid","Invalid"),"Invalid"))</f>
        <v>Valid</v>
      </c>
      <c r="R686" s="25" t="str">
        <f>IFERROR(VLOOKUP(tbl_clean_sales[[#This Row],[Branch_ID]],'04_Branch_Master'!$A$1:$C$7,2,FALSE),"Missing")</f>
        <v>Avinashi Road</v>
      </c>
      <c r="S686" s="25" t="str">
        <f>IFERROR(VLOOKUP(tbl_clean_sales[[#This Row],[Branch_ID]],'04_Branch_Master'!$A$1:$C$7,3,FALSE),"Missing")</f>
        <v>North</v>
      </c>
      <c r="T686" s="25" t="str">
        <f>C686&amp;"|"&amp;TEXT(tbl_clean_sales[[#This Row],[Date]],"yyyymm")</f>
        <v>E002|202605</v>
      </c>
      <c r="U686" s="25">
        <f>IFERROR(INDEX('05_Target_Master'!$A$1:$F$32,MATCH(tbl_clean_sales[[#This Row],[target key]],'05_Target_Master'!$F$1:$F$32,0),3),"Missing")</f>
        <v>132100</v>
      </c>
    </row>
    <row r="687" spans="1:21" x14ac:dyDescent="0.3">
      <c r="A687" s="21">
        <v>46171</v>
      </c>
      <c r="B687" s="22" t="s">
        <v>723</v>
      </c>
      <c r="C687" s="22" t="s">
        <v>24</v>
      </c>
      <c r="D687" s="22" t="s">
        <v>16</v>
      </c>
      <c r="E687" s="22" t="s">
        <v>26</v>
      </c>
      <c r="F687" s="22">
        <v>8</v>
      </c>
      <c r="G687" s="23">
        <v>2241.9499999999998</v>
      </c>
      <c r="H687" s="25" t="str">
        <f>IF(COUNTIF(tbl_clean_sales[Invoice_ID],tbl_clean_sales[[#This Row],[Invoice_ID]])&gt;1,"Duplicate","Unique")</f>
        <v>Unique</v>
      </c>
      <c r="I687" s="25"/>
      <c r="J68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7" s="25" t="str">
        <f>IFERROR(VLOOKUP(tbl_clean_sales[[#This Row],[Employee_ID]],'02_Employee_Master'!$A$1:$C$12,2,FALSE),"Employee Name Missing")</f>
        <v>Karthik P</v>
      </c>
      <c r="L687" s="25" t="str">
        <f>IFERROR(VLOOKUP(tbl_clean_sales[[#This Row],[Employee_ID]],'02_Employee_Master'!$A$1:$C$12,3,FALSE),"Department Name Missing")</f>
        <v>Sales</v>
      </c>
      <c r="M687" s="25" t="str">
        <f>IF('03_Clean_data'!D687="","Missing",IFERROR(IF(VLOOKUP(D687,'03_Product_Master'!$A$1:$D$14,1,FALSE)='03_Clean_data'!D687,"Valid","Invalid"),"Invalid"))</f>
        <v>Valid</v>
      </c>
      <c r="N687" s="25" t="str">
        <f>IFERROR(VLOOKUP(tbl_clean_sales[[#This Row],[Product_ID]],'03_Product_Master'!$A$1:$D$14,2,FALSE),"Missing")</f>
        <v>Shampoo</v>
      </c>
      <c r="O687" s="25" t="str">
        <f>IFERROR(VLOOKUP(tbl_clean_sales[[#This Row],[Product_ID]],'03_Product_Master'!$A$1:$D$14,3,FALSE),"Missing")</f>
        <v>Personal Care</v>
      </c>
      <c r="P687" s="25">
        <f>IFERROR(VLOOKUP(tbl_clean_sales[[#This Row],[Product_ID]],'03_Product_Master'!$A$1:$D$14,4,FALSE),"Missing")</f>
        <v>310</v>
      </c>
      <c r="Q687" s="25" t="str">
        <f>IF('03_Clean_data'!E687="","Missing",IFERROR(IF(VLOOKUP(E687,'04_Branch_Master'!$A$1:$C$7,1,FALSE)='03_Clean_data'!E687,"Valid","Invalid"),"Invalid"))</f>
        <v>Valid</v>
      </c>
      <c r="R687" s="25" t="str">
        <f>IFERROR(VLOOKUP(tbl_clean_sales[[#This Row],[Branch_ID]],'04_Branch_Master'!$A$1:$C$7,2,FALSE),"Missing")</f>
        <v>Palladam</v>
      </c>
      <c r="S687" s="25" t="str">
        <f>IFERROR(VLOOKUP(tbl_clean_sales[[#This Row],[Branch_ID]],'04_Branch_Master'!$A$1:$C$7,3,FALSE),"Missing")</f>
        <v>South</v>
      </c>
      <c r="T687" s="25" t="str">
        <f>C687&amp;"|"&amp;TEXT(tbl_clean_sales[[#This Row],[Date]],"yyyymm")</f>
        <v>E005|202605</v>
      </c>
      <c r="U687" s="25">
        <f>IFERROR(INDEX('05_Target_Master'!$A$1:$F$32,MATCH(tbl_clean_sales[[#This Row],[target key]],'05_Target_Master'!$F$1:$F$32,0),3),"Missing")</f>
        <v>143700</v>
      </c>
    </row>
    <row r="688" spans="1:21" x14ac:dyDescent="0.3">
      <c r="A688" s="21">
        <v>46196</v>
      </c>
      <c r="B688" s="22" t="s">
        <v>724</v>
      </c>
      <c r="C688" s="22" t="s">
        <v>18</v>
      </c>
      <c r="D688" s="22" t="s">
        <v>9</v>
      </c>
      <c r="E688" s="22" t="s">
        <v>14</v>
      </c>
      <c r="F688" s="22">
        <v>12</v>
      </c>
      <c r="G688" s="23">
        <v>3336.35</v>
      </c>
      <c r="H688" s="25" t="str">
        <f>IF(COUNTIF(tbl_clean_sales[Invoice_ID],tbl_clean_sales[[#This Row],[Invoice_ID]])&gt;1,"Duplicate","Unique")</f>
        <v>Unique</v>
      </c>
      <c r="I688" s="25"/>
      <c r="J68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8" s="25" t="str">
        <f>IFERROR(VLOOKUP(tbl_clean_sales[[#This Row],[Employee_ID]],'02_Employee_Master'!$A$1:$C$12,2,FALSE),"Employee Name Missing")</f>
        <v>Rahul M</v>
      </c>
      <c r="L688" s="25" t="str">
        <f>IFERROR(VLOOKUP(tbl_clean_sales[[#This Row],[Employee_ID]],'02_Employee_Master'!$A$1:$C$12,3,FALSE),"Department Name Missing")</f>
        <v>Sales</v>
      </c>
      <c r="M688" s="25" t="str">
        <f>IF('03_Clean_data'!D688="","Missing",IFERROR(IF(VLOOKUP(D688,'03_Product_Master'!$A$1:$D$14,1,FALSE)='03_Clean_data'!D688,"Valid","Invalid"),"Invalid"))</f>
        <v>Valid</v>
      </c>
      <c r="N688" s="25" t="str">
        <f>IFERROR(VLOOKUP(tbl_clean_sales[[#This Row],[Product_ID]],'03_Product_Master'!$A$1:$D$14,2,FALSE),"Missing")</f>
        <v>Green Tea</v>
      </c>
      <c r="O688" s="25" t="str">
        <f>IFERROR(VLOOKUP(tbl_clean_sales[[#This Row],[Product_ID]],'03_Product_Master'!$A$1:$D$14,3,FALSE),"Missing")</f>
        <v>Beverages</v>
      </c>
      <c r="P688" s="25">
        <f>IFERROR(VLOOKUP(tbl_clean_sales[[#This Row],[Product_ID]],'03_Product_Master'!$A$1:$D$14,4,FALSE),"Missing")</f>
        <v>280</v>
      </c>
      <c r="Q688" s="25" t="str">
        <f>IF('03_Clean_data'!E688="","Missing",IFERROR(IF(VLOOKUP(E688,'04_Branch_Master'!$A$1:$C$7,1,FALSE)='03_Clean_data'!E688,"Valid","Invalid"),"Invalid"))</f>
        <v>Valid</v>
      </c>
      <c r="R688" s="25" t="str">
        <f>IFERROR(VLOOKUP(tbl_clean_sales[[#This Row],[Branch_ID]],'04_Branch_Master'!$A$1:$C$7,2,FALSE),"Missing")</f>
        <v>Avinashi Road</v>
      </c>
      <c r="S688" s="25" t="str">
        <f>IFERROR(VLOOKUP(tbl_clean_sales[[#This Row],[Branch_ID]],'04_Branch_Master'!$A$1:$C$7,3,FALSE),"Missing")</f>
        <v>North</v>
      </c>
      <c r="T688" s="25" t="str">
        <f>C688&amp;"|"&amp;TEXT(tbl_clean_sales[[#This Row],[Date]],"yyyymm")</f>
        <v>E003|202606</v>
      </c>
      <c r="U688" s="25">
        <f>IFERROR(INDEX('05_Target_Master'!$A$1:$F$32,MATCH(tbl_clean_sales[[#This Row],[target key]],'05_Target_Master'!$F$1:$F$32,0),3),"Missing")</f>
        <v>112000</v>
      </c>
    </row>
    <row r="689" spans="1:21" x14ac:dyDescent="0.3">
      <c r="A689" s="21">
        <v>46133</v>
      </c>
      <c r="B689" s="22" t="s">
        <v>725</v>
      </c>
      <c r="C689" s="22" t="s">
        <v>21</v>
      </c>
      <c r="D689" s="22" t="s">
        <v>16</v>
      </c>
      <c r="E689" s="22" t="s">
        <v>32</v>
      </c>
      <c r="F689" s="22">
        <v>10</v>
      </c>
      <c r="G689" s="23">
        <v>2847.64</v>
      </c>
      <c r="H689" s="25" t="str">
        <f>IF(COUNTIF(tbl_clean_sales[Invoice_ID],tbl_clean_sales[[#This Row],[Invoice_ID]])&gt;1,"Duplicate","Unique")</f>
        <v>Unique</v>
      </c>
      <c r="I689" s="25"/>
      <c r="J68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89" s="25" t="str">
        <f>IFERROR(VLOOKUP(tbl_clean_sales[[#This Row],[Employee_ID]],'02_Employee_Master'!$A$1:$C$12,2,FALSE),"Employee Name Missing")</f>
        <v>Priya S</v>
      </c>
      <c r="L689" s="25" t="str">
        <f>IFERROR(VLOOKUP(tbl_clean_sales[[#This Row],[Employee_ID]],'02_Employee_Master'!$A$1:$C$12,3,FALSE),"Department Name Missing")</f>
        <v>Sales</v>
      </c>
      <c r="M689" s="25" t="str">
        <f>IF('03_Clean_data'!D689="","Missing",IFERROR(IF(VLOOKUP(D689,'03_Product_Master'!$A$1:$D$14,1,FALSE)='03_Clean_data'!D689,"Valid","Invalid"),"Invalid"))</f>
        <v>Valid</v>
      </c>
      <c r="N689" s="25" t="str">
        <f>IFERROR(VLOOKUP(tbl_clean_sales[[#This Row],[Product_ID]],'03_Product_Master'!$A$1:$D$14,2,FALSE),"Missing")</f>
        <v>Shampoo</v>
      </c>
      <c r="O689" s="25" t="str">
        <f>IFERROR(VLOOKUP(tbl_clean_sales[[#This Row],[Product_ID]],'03_Product_Master'!$A$1:$D$14,3,FALSE),"Missing")</f>
        <v>Personal Care</v>
      </c>
      <c r="P689" s="25">
        <f>IFERROR(VLOOKUP(tbl_clean_sales[[#This Row],[Product_ID]],'03_Product_Master'!$A$1:$D$14,4,FALSE),"Missing")</f>
        <v>310</v>
      </c>
      <c r="Q689" s="25" t="str">
        <f>IF('03_Clean_data'!E689="","Missing",IFERROR(IF(VLOOKUP(E689,'04_Branch_Master'!$A$1:$C$7,1,FALSE)='03_Clean_data'!E689,"Valid","Invalid"),"Invalid"))</f>
        <v>Valid</v>
      </c>
      <c r="R689" s="25" t="str">
        <f>IFERROR(VLOOKUP(tbl_clean_sales[[#This Row],[Branch_ID]],'04_Branch_Master'!$A$1:$C$7,2,FALSE),"Missing")</f>
        <v>Kangeyam</v>
      </c>
      <c r="S689" s="25" t="str">
        <f>IFERROR(VLOOKUP(tbl_clean_sales[[#This Row],[Branch_ID]],'04_Branch_Master'!$A$1:$C$7,3,FALSE),"Missing")</f>
        <v>East</v>
      </c>
      <c r="T689" s="25" t="str">
        <f>C689&amp;"|"&amp;TEXT(tbl_clean_sales[[#This Row],[Date]],"yyyymm")</f>
        <v>E002|202604</v>
      </c>
      <c r="U689" s="25">
        <f>IFERROR(INDEX('05_Target_Master'!$A$1:$F$32,MATCH(tbl_clean_sales[[#This Row],[target key]],'05_Target_Master'!$F$1:$F$32,0),3),"Missing")</f>
        <v>122300</v>
      </c>
    </row>
    <row r="690" spans="1:21" x14ac:dyDescent="0.3">
      <c r="A690" s="21">
        <v>46136</v>
      </c>
      <c r="B690" s="22" t="s">
        <v>726</v>
      </c>
      <c r="C690" s="22" t="s">
        <v>29</v>
      </c>
      <c r="D690" s="22" t="s">
        <v>16</v>
      </c>
      <c r="E690" s="22" t="s">
        <v>10</v>
      </c>
      <c r="F690" s="22">
        <v>10</v>
      </c>
      <c r="G690" s="23">
        <v>3089.28</v>
      </c>
      <c r="H690" s="25" t="str">
        <f>IF(COUNTIF(tbl_clean_sales[Invoice_ID],tbl_clean_sales[[#This Row],[Invoice_ID]])&gt;1,"Duplicate","Unique")</f>
        <v>Unique</v>
      </c>
      <c r="I690" s="25"/>
      <c r="J69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0" s="25" t="str">
        <f>IFERROR(VLOOKUP(tbl_clean_sales[[#This Row],[Employee_ID]],'02_Employee_Master'!$A$1:$C$12,2,FALSE),"Employee Name Missing")</f>
        <v>Swetha L</v>
      </c>
      <c r="L690" s="25" t="str">
        <f>IFERROR(VLOOKUP(tbl_clean_sales[[#This Row],[Employee_ID]],'02_Employee_Master'!$A$1:$C$12,3,FALSE),"Department Name Missing")</f>
        <v>Sales</v>
      </c>
      <c r="M690" s="25" t="str">
        <f>IF('03_Clean_data'!D690="","Missing",IFERROR(IF(VLOOKUP(D690,'03_Product_Master'!$A$1:$D$14,1,FALSE)='03_Clean_data'!D690,"Valid","Invalid"),"Invalid"))</f>
        <v>Valid</v>
      </c>
      <c r="N690" s="25" t="str">
        <f>IFERROR(VLOOKUP(tbl_clean_sales[[#This Row],[Product_ID]],'03_Product_Master'!$A$1:$D$14,2,FALSE),"Missing")</f>
        <v>Shampoo</v>
      </c>
      <c r="O690" s="25" t="str">
        <f>IFERROR(VLOOKUP(tbl_clean_sales[[#This Row],[Product_ID]],'03_Product_Master'!$A$1:$D$14,3,FALSE),"Missing")</f>
        <v>Personal Care</v>
      </c>
      <c r="P690" s="25">
        <f>IFERROR(VLOOKUP(tbl_clean_sales[[#This Row],[Product_ID]],'03_Product_Master'!$A$1:$D$14,4,FALSE),"Missing")</f>
        <v>310</v>
      </c>
      <c r="Q690" s="25" t="str">
        <f>IF('03_Clean_data'!E690="","Missing",IFERROR(IF(VLOOKUP(E690,'04_Branch_Master'!$A$1:$C$7,1,FALSE)='03_Clean_data'!E690,"Valid","Invalid"),"Invalid"))</f>
        <v>Valid</v>
      </c>
      <c r="R690" s="25" t="str">
        <f>IFERROR(VLOOKUP(tbl_clean_sales[[#This Row],[Branch_ID]],'04_Branch_Master'!$A$1:$C$7,2,FALSE),"Missing")</f>
        <v>Dharapuram</v>
      </c>
      <c r="S690" s="25" t="str">
        <f>IFERROR(VLOOKUP(tbl_clean_sales[[#This Row],[Branch_ID]],'04_Branch_Master'!$A$1:$C$7,3,FALSE),"Missing")</f>
        <v>South</v>
      </c>
      <c r="T690" s="25" t="str">
        <f>C690&amp;"|"&amp;TEXT(tbl_clean_sales[[#This Row],[Date]],"yyyymm")</f>
        <v>E010|202604</v>
      </c>
      <c r="U690" s="25">
        <f>IFERROR(INDEX('05_Target_Master'!$A$1:$F$32,MATCH(tbl_clean_sales[[#This Row],[target key]],'05_Target_Master'!$F$1:$F$32,0),3),"Missing")</f>
        <v>121700</v>
      </c>
    </row>
    <row r="691" spans="1:21" x14ac:dyDescent="0.3">
      <c r="A691" s="21">
        <v>46200</v>
      </c>
      <c r="B691" s="22" t="s">
        <v>727</v>
      </c>
      <c r="C691" s="22" t="s">
        <v>18</v>
      </c>
      <c r="D691" s="22" t="s">
        <v>48</v>
      </c>
      <c r="E691" s="22" t="s">
        <v>22</v>
      </c>
      <c r="F691" s="22">
        <v>-1</v>
      </c>
      <c r="G691" s="23">
        <v>1723.75</v>
      </c>
      <c r="H691" s="25" t="str">
        <f>IF(COUNTIF(tbl_clean_sales[Invoice_ID],tbl_clean_sales[[#This Row],[Invoice_ID]])&gt;1,"Duplicate","Unique")</f>
        <v>Unique</v>
      </c>
      <c r="I691" s="25"/>
      <c r="J69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1" s="25" t="str">
        <f>IFERROR(VLOOKUP(tbl_clean_sales[[#This Row],[Employee_ID]],'02_Employee_Master'!$A$1:$C$12,2,FALSE),"Employee Name Missing")</f>
        <v>Rahul M</v>
      </c>
      <c r="L691" s="25" t="str">
        <f>IFERROR(VLOOKUP(tbl_clean_sales[[#This Row],[Employee_ID]],'02_Employee_Master'!$A$1:$C$12,3,FALSE),"Department Name Missing")</f>
        <v>Sales</v>
      </c>
      <c r="M691" s="25" t="str">
        <f>IF('03_Clean_data'!D691="","Missing",IFERROR(IF(VLOOKUP(D691,'03_Product_Master'!$A$1:$D$14,1,FALSE)='03_Clean_data'!D691,"Valid","Invalid"),"Invalid"))</f>
        <v>Valid</v>
      </c>
      <c r="N691" s="25" t="str">
        <f>IFERROR(VLOOKUP(tbl_clean_sales[[#This Row],[Product_ID]],'03_Product_Master'!$A$1:$D$14,2,FALSE),"Missing")</f>
        <v>Face Wash</v>
      </c>
      <c r="O691" s="25" t="str">
        <f>IFERROR(VLOOKUP(tbl_clean_sales[[#This Row],[Product_ID]],'03_Product_Master'!$A$1:$D$14,3,FALSE),"Missing")</f>
        <v>Personal Care</v>
      </c>
      <c r="P691" s="25">
        <f>IFERROR(VLOOKUP(tbl_clean_sales[[#This Row],[Product_ID]],'03_Product_Master'!$A$1:$D$14,4,FALSE),"Missing")</f>
        <v>260</v>
      </c>
      <c r="Q691" s="25" t="str">
        <f>IF('03_Clean_data'!E691="","Missing",IFERROR(IF(VLOOKUP(E691,'04_Branch_Master'!$A$1:$C$7,1,FALSE)='03_Clean_data'!E691,"Valid","Invalid"),"Invalid"))</f>
        <v>Valid</v>
      </c>
      <c r="R691" s="25" t="str">
        <f>IFERROR(VLOOKUP(tbl_clean_sales[[#This Row],[Branch_ID]],'04_Branch_Master'!$A$1:$C$7,2,FALSE),"Missing")</f>
        <v>Tirupur Central</v>
      </c>
      <c r="S691" s="25" t="str">
        <f>IFERROR(VLOOKUP(tbl_clean_sales[[#This Row],[Branch_ID]],'04_Branch_Master'!$A$1:$C$7,3,FALSE),"Missing")</f>
        <v>North</v>
      </c>
      <c r="T691" s="25" t="str">
        <f>C691&amp;"|"&amp;TEXT(tbl_clean_sales[[#This Row],[Date]],"yyyymm")</f>
        <v>E003|202606</v>
      </c>
      <c r="U691" s="25">
        <f>IFERROR(INDEX('05_Target_Master'!$A$1:$F$32,MATCH(tbl_clean_sales[[#This Row],[target key]],'05_Target_Master'!$F$1:$F$32,0),3),"Missing")</f>
        <v>112000</v>
      </c>
    </row>
    <row r="692" spans="1:21" x14ac:dyDescent="0.3">
      <c r="A692" s="21">
        <v>46121</v>
      </c>
      <c r="B692" s="22" t="s">
        <v>728</v>
      </c>
      <c r="C692" s="22" t="s">
        <v>24</v>
      </c>
      <c r="D692" s="22" t="s">
        <v>43</v>
      </c>
      <c r="E692" s="22" t="s">
        <v>26</v>
      </c>
      <c r="F692" s="22">
        <v>12</v>
      </c>
      <c r="G692" s="23">
        <v>3654.86</v>
      </c>
      <c r="H692" s="25" t="str">
        <f>IF(COUNTIF(tbl_clean_sales[Invoice_ID],tbl_clean_sales[[#This Row],[Invoice_ID]])&gt;1,"Duplicate","Unique")</f>
        <v>Unique</v>
      </c>
      <c r="I692" s="25"/>
      <c r="J69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2" s="25" t="str">
        <f>IFERROR(VLOOKUP(tbl_clean_sales[[#This Row],[Employee_ID]],'02_Employee_Master'!$A$1:$C$12,2,FALSE),"Employee Name Missing")</f>
        <v>Karthik P</v>
      </c>
      <c r="L692" s="25" t="str">
        <f>IFERROR(VLOOKUP(tbl_clean_sales[[#This Row],[Employee_ID]],'02_Employee_Master'!$A$1:$C$12,3,FALSE),"Department Name Missing")</f>
        <v>Sales</v>
      </c>
      <c r="M692" s="25" t="str">
        <f>IF('03_Clean_data'!D692="","Missing",IFERROR(IF(VLOOKUP(D692,'03_Product_Master'!$A$1:$D$14,1,FALSE)='03_Clean_data'!D692,"Valid","Invalid"),"Invalid"))</f>
        <v>Valid</v>
      </c>
      <c r="N692" s="25" t="str">
        <f>IFERROR(VLOOKUP(tbl_clean_sales[[#This Row],[Product_ID]],'03_Product_Master'!$A$1:$D$14,2,FALSE),"Missing")</f>
        <v>Laundry Liquid</v>
      </c>
      <c r="O692" s="25" t="str">
        <f>IFERROR(VLOOKUP(tbl_clean_sales[[#This Row],[Product_ID]],'03_Product_Master'!$A$1:$D$14,3,FALSE),"Missing")</f>
        <v>Home Care</v>
      </c>
      <c r="P692" s="25">
        <f>IFERROR(VLOOKUP(tbl_clean_sales[[#This Row],[Product_ID]],'03_Product_Master'!$A$1:$D$14,4,FALSE),"Missing")</f>
        <v>340</v>
      </c>
      <c r="Q692" s="25" t="str">
        <f>IF('03_Clean_data'!E692="","Missing",IFERROR(IF(VLOOKUP(E692,'04_Branch_Master'!$A$1:$C$7,1,FALSE)='03_Clean_data'!E692,"Valid","Invalid"),"Invalid"))</f>
        <v>Valid</v>
      </c>
      <c r="R692" s="25" t="str">
        <f>IFERROR(VLOOKUP(tbl_clean_sales[[#This Row],[Branch_ID]],'04_Branch_Master'!$A$1:$C$7,2,FALSE),"Missing")</f>
        <v>Palladam</v>
      </c>
      <c r="S692" s="25" t="str">
        <f>IFERROR(VLOOKUP(tbl_clean_sales[[#This Row],[Branch_ID]],'04_Branch_Master'!$A$1:$C$7,3,FALSE),"Missing")</f>
        <v>South</v>
      </c>
      <c r="T692" s="25" t="str">
        <f>C692&amp;"|"&amp;TEXT(tbl_clean_sales[[#This Row],[Date]],"yyyymm")</f>
        <v>E005|202604</v>
      </c>
      <c r="U692" s="25">
        <f>IFERROR(INDEX('05_Target_Master'!$A$1:$F$32,MATCH(tbl_clean_sales[[#This Row],[target key]],'05_Target_Master'!$F$1:$F$32,0),3),"Missing")</f>
        <v>133000</v>
      </c>
    </row>
    <row r="693" spans="1:21" x14ac:dyDescent="0.3">
      <c r="A693" s="21">
        <v>46180</v>
      </c>
      <c r="B693" s="22" t="s">
        <v>729</v>
      </c>
      <c r="C693" s="22" t="s">
        <v>29</v>
      </c>
      <c r="D693" s="22" t="s">
        <v>19</v>
      </c>
      <c r="E693" s="22" t="s">
        <v>10</v>
      </c>
      <c r="F693" s="22">
        <v>11</v>
      </c>
      <c r="G693" s="23">
        <v>2264.91</v>
      </c>
      <c r="H693" s="25" t="str">
        <f>IF(COUNTIF(tbl_clean_sales[Invoice_ID],tbl_clean_sales[[#This Row],[Invoice_ID]])&gt;1,"Duplicate","Unique")</f>
        <v>Unique</v>
      </c>
      <c r="I693" s="25"/>
      <c r="J69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3" s="25" t="str">
        <f>IFERROR(VLOOKUP(tbl_clean_sales[[#This Row],[Employee_ID]],'02_Employee_Master'!$A$1:$C$12,2,FALSE),"Employee Name Missing")</f>
        <v>Swetha L</v>
      </c>
      <c r="L693" s="25" t="str">
        <f>IFERROR(VLOOKUP(tbl_clean_sales[[#This Row],[Employee_ID]],'02_Employee_Master'!$A$1:$C$12,3,FALSE),"Department Name Missing")</f>
        <v>Sales</v>
      </c>
      <c r="M693" s="25" t="str">
        <f>IF('03_Clean_data'!D693="","Missing",IFERROR(IF(VLOOKUP(D693,'03_Product_Master'!$A$1:$D$14,1,FALSE)='03_Clean_data'!D693,"Valid","Invalid"),"Invalid"))</f>
        <v>Valid</v>
      </c>
      <c r="N693" s="25" t="str">
        <f>IFERROR(VLOOKUP(tbl_clean_sales[[#This Row],[Product_ID]],'03_Product_Master'!$A$1:$D$14,2,FALSE),"Missing")</f>
        <v>Floor Cleaner</v>
      </c>
      <c r="O693" s="25" t="str">
        <f>IFERROR(VLOOKUP(tbl_clean_sales[[#This Row],[Product_ID]],'03_Product_Master'!$A$1:$D$14,3,FALSE),"Missing")</f>
        <v>Home Care</v>
      </c>
      <c r="P693" s="25">
        <f>IFERROR(VLOOKUP(tbl_clean_sales[[#This Row],[Product_ID]],'03_Product_Master'!$A$1:$D$14,4,FALSE),"Missing")</f>
        <v>230</v>
      </c>
      <c r="Q693" s="25" t="str">
        <f>IF('03_Clean_data'!E693="","Missing",IFERROR(IF(VLOOKUP(E693,'04_Branch_Master'!$A$1:$C$7,1,FALSE)='03_Clean_data'!E693,"Valid","Invalid"),"Invalid"))</f>
        <v>Valid</v>
      </c>
      <c r="R693" s="25" t="str">
        <f>IFERROR(VLOOKUP(tbl_clean_sales[[#This Row],[Branch_ID]],'04_Branch_Master'!$A$1:$C$7,2,FALSE),"Missing")</f>
        <v>Dharapuram</v>
      </c>
      <c r="S693" s="25" t="str">
        <f>IFERROR(VLOOKUP(tbl_clean_sales[[#This Row],[Branch_ID]],'04_Branch_Master'!$A$1:$C$7,3,FALSE),"Missing")</f>
        <v>South</v>
      </c>
      <c r="T693" s="25" t="str">
        <f>C693&amp;"|"&amp;TEXT(tbl_clean_sales[[#This Row],[Date]],"yyyymm")</f>
        <v>E010|202606</v>
      </c>
      <c r="U693" s="25">
        <f>IFERROR(INDEX('05_Target_Master'!$A$1:$F$32,MATCH(tbl_clean_sales[[#This Row],[target key]],'05_Target_Master'!$F$1:$F$32,0),3),"Missing")</f>
        <v>116800</v>
      </c>
    </row>
    <row r="694" spans="1:21" x14ac:dyDescent="0.3">
      <c r="A694" s="21">
        <v>46179</v>
      </c>
      <c r="B694" s="22" t="s">
        <v>730</v>
      </c>
      <c r="C694" s="22" t="s">
        <v>8</v>
      </c>
      <c r="D694" s="22" t="s">
        <v>19</v>
      </c>
      <c r="E694" s="22" t="s">
        <v>10</v>
      </c>
      <c r="F694" s="22">
        <v>2</v>
      </c>
      <c r="G694" s="23">
        <v>436.11</v>
      </c>
      <c r="H694" s="25" t="str">
        <f>IF(COUNTIF(tbl_clean_sales[Invoice_ID],tbl_clean_sales[[#This Row],[Invoice_ID]])&gt;1,"Duplicate","Unique")</f>
        <v>Unique</v>
      </c>
      <c r="I694" s="25"/>
      <c r="J69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4" s="25" t="str">
        <f>IFERROR(VLOOKUP(tbl_clean_sales[[#This Row],[Employee_ID]],'02_Employee_Master'!$A$1:$C$12,2,FALSE),"Employee Name Missing")</f>
        <v>Vignesh R</v>
      </c>
      <c r="L694" s="25" t="str">
        <f>IFERROR(VLOOKUP(tbl_clean_sales[[#This Row],[Employee_ID]],'02_Employee_Master'!$A$1:$C$12,3,FALSE),"Department Name Missing")</f>
        <v>Sales</v>
      </c>
      <c r="M694" s="25" t="str">
        <f>IF('03_Clean_data'!D694="","Missing",IFERROR(IF(VLOOKUP(D694,'03_Product_Master'!$A$1:$D$14,1,FALSE)='03_Clean_data'!D694,"Valid","Invalid"),"Invalid"))</f>
        <v>Valid</v>
      </c>
      <c r="N694" s="25" t="str">
        <f>IFERROR(VLOOKUP(tbl_clean_sales[[#This Row],[Product_ID]],'03_Product_Master'!$A$1:$D$14,2,FALSE),"Missing")</f>
        <v>Floor Cleaner</v>
      </c>
      <c r="O694" s="25" t="str">
        <f>IFERROR(VLOOKUP(tbl_clean_sales[[#This Row],[Product_ID]],'03_Product_Master'!$A$1:$D$14,3,FALSE),"Missing")</f>
        <v>Home Care</v>
      </c>
      <c r="P694" s="25">
        <f>IFERROR(VLOOKUP(tbl_clean_sales[[#This Row],[Product_ID]],'03_Product_Master'!$A$1:$D$14,4,FALSE),"Missing")</f>
        <v>230</v>
      </c>
      <c r="Q694" s="25" t="str">
        <f>IF('03_Clean_data'!E694="","Missing",IFERROR(IF(VLOOKUP(E694,'04_Branch_Master'!$A$1:$C$7,1,FALSE)='03_Clean_data'!E694,"Valid","Invalid"),"Invalid"))</f>
        <v>Valid</v>
      </c>
      <c r="R694" s="25" t="str">
        <f>IFERROR(VLOOKUP(tbl_clean_sales[[#This Row],[Branch_ID]],'04_Branch_Master'!$A$1:$C$7,2,FALSE),"Missing")</f>
        <v>Dharapuram</v>
      </c>
      <c r="S694" s="25" t="str">
        <f>IFERROR(VLOOKUP(tbl_clean_sales[[#This Row],[Branch_ID]],'04_Branch_Master'!$A$1:$C$7,3,FALSE),"Missing")</f>
        <v>South</v>
      </c>
      <c r="T694" s="25" t="str">
        <f>C694&amp;"|"&amp;TEXT(tbl_clean_sales[[#This Row],[Date]],"yyyymm")</f>
        <v>E009|202606</v>
      </c>
      <c r="U694" s="25">
        <f>IFERROR(INDEX('05_Target_Master'!$A$1:$F$32,MATCH(tbl_clean_sales[[#This Row],[target key]],'05_Target_Master'!$F$1:$F$32,0),3),"Missing")</f>
        <v>156700</v>
      </c>
    </row>
    <row r="695" spans="1:21" x14ac:dyDescent="0.3">
      <c r="A695" s="21">
        <v>46144</v>
      </c>
      <c r="B695" s="22" t="s">
        <v>731</v>
      </c>
      <c r="C695" s="22" t="s">
        <v>38</v>
      </c>
      <c r="D695" s="22" t="s">
        <v>34</v>
      </c>
      <c r="E695" s="22" t="s">
        <v>32</v>
      </c>
      <c r="F695" s="22">
        <v>11</v>
      </c>
      <c r="G695" s="23">
        <v>1154.1199999999999</v>
      </c>
      <c r="H695" s="25" t="str">
        <f>IF(COUNTIF(tbl_clean_sales[Invoice_ID],tbl_clean_sales[[#This Row],[Invoice_ID]])&gt;1,"Duplicate","Unique")</f>
        <v>Unique</v>
      </c>
      <c r="I695" s="25"/>
      <c r="J69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5" s="25" t="str">
        <f>IFERROR(VLOOKUP(tbl_clean_sales[[#This Row],[Employee_ID]],'02_Employee_Master'!$A$1:$C$12,2,FALSE),"Employee Name Missing")</f>
        <v>Nandhini K</v>
      </c>
      <c r="L695" s="25" t="str">
        <f>IFERROR(VLOOKUP(tbl_clean_sales[[#This Row],[Employee_ID]],'02_Employee_Master'!$A$1:$C$12,3,FALSE),"Department Name Missing")</f>
        <v>Sales</v>
      </c>
      <c r="M695" s="25" t="str">
        <f>IF('03_Clean_data'!D695="","Missing",IFERROR(IF(VLOOKUP(D695,'03_Product_Master'!$A$1:$D$14,1,FALSE)='03_Clean_data'!D695,"Valid","Invalid"),"Invalid"))</f>
        <v>Valid</v>
      </c>
      <c r="N695" s="25" t="str">
        <f>IFERROR(VLOOKUP(tbl_clean_sales[[#This Row],[Product_ID]],'03_Product_Master'!$A$1:$D$14,2,FALSE),"Missing")</f>
        <v>Potato Chips</v>
      </c>
      <c r="O695" s="25" t="str">
        <f>IFERROR(VLOOKUP(tbl_clean_sales[[#This Row],[Product_ID]],'03_Product_Master'!$A$1:$D$14,3,FALSE),"Missing")</f>
        <v>Snacks</v>
      </c>
      <c r="P695" s="25">
        <f>IFERROR(VLOOKUP(tbl_clean_sales[[#This Row],[Product_ID]],'03_Product_Master'!$A$1:$D$14,4,FALSE),"Missing")</f>
        <v>110</v>
      </c>
      <c r="Q695" s="25" t="str">
        <f>IF('03_Clean_data'!E695="","Missing",IFERROR(IF(VLOOKUP(E695,'04_Branch_Master'!$A$1:$C$7,1,FALSE)='03_Clean_data'!E695,"Valid","Invalid"),"Invalid"))</f>
        <v>Valid</v>
      </c>
      <c r="R695" s="25" t="str">
        <f>IFERROR(VLOOKUP(tbl_clean_sales[[#This Row],[Branch_ID]],'04_Branch_Master'!$A$1:$C$7,2,FALSE),"Missing")</f>
        <v>Kangeyam</v>
      </c>
      <c r="S695" s="25" t="str">
        <f>IFERROR(VLOOKUP(tbl_clean_sales[[#This Row],[Branch_ID]],'04_Branch_Master'!$A$1:$C$7,3,FALSE),"Missing")</f>
        <v>East</v>
      </c>
      <c r="T695" s="25" t="str">
        <f>C695&amp;"|"&amp;TEXT(tbl_clean_sales[[#This Row],[Date]],"yyyymm")</f>
        <v>E008|202605</v>
      </c>
      <c r="U695" s="25">
        <f>IFERROR(INDEX('05_Target_Master'!$A$1:$F$32,MATCH(tbl_clean_sales[[#This Row],[target key]],'05_Target_Master'!$F$1:$F$32,0),3),"Missing")</f>
        <v>134100</v>
      </c>
    </row>
    <row r="696" spans="1:21" x14ac:dyDescent="0.3">
      <c r="A696" s="21">
        <v>46184</v>
      </c>
      <c r="B696" s="22" t="s">
        <v>732</v>
      </c>
      <c r="C696" s="22" t="s">
        <v>29</v>
      </c>
      <c r="D696" s="22" t="s">
        <v>25</v>
      </c>
      <c r="E696" s="22" t="s">
        <v>10</v>
      </c>
      <c r="F696" s="22">
        <v>3</v>
      </c>
      <c r="G696" s="23">
        <v>1183.56</v>
      </c>
      <c r="H696" s="25" t="str">
        <f>IF(COUNTIF(tbl_clean_sales[Invoice_ID],tbl_clean_sales[[#This Row],[Invoice_ID]])&gt;1,"Duplicate","Unique")</f>
        <v>Unique</v>
      </c>
      <c r="I696" s="25"/>
      <c r="J69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6" s="25" t="str">
        <f>IFERROR(VLOOKUP(tbl_clean_sales[[#This Row],[Employee_ID]],'02_Employee_Master'!$A$1:$C$12,2,FALSE),"Employee Name Missing")</f>
        <v>Swetha L</v>
      </c>
      <c r="L696" s="25" t="str">
        <f>IFERROR(VLOOKUP(tbl_clean_sales[[#This Row],[Employee_ID]],'02_Employee_Master'!$A$1:$C$12,3,FALSE),"Department Name Missing")</f>
        <v>Sales</v>
      </c>
      <c r="M696" s="25" t="str">
        <f>IF('03_Clean_data'!D696="","Missing",IFERROR(IF(VLOOKUP(D696,'03_Product_Master'!$A$1:$D$14,1,FALSE)='03_Clean_data'!D696,"Valid","Invalid"),"Invalid"))</f>
        <v>Valid</v>
      </c>
      <c r="N696" s="25" t="str">
        <f>IFERROR(VLOOKUP(tbl_clean_sales[[#This Row],[Product_ID]],'03_Product_Master'!$A$1:$D$14,2,FALSE),"Missing")</f>
        <v>Premium Coffee</v>
      </c>
      <c r="O696" s="25" t="str">
        <f>IFERROR(VLOOKUP(tbl_clean_sales[[#This Row],[Product_ID]],'03_Product_Master'!$A$1:$D$14,3,FALSE),"Missing")</f>
        <v>Beverages</v>
      </c>
      <c r="P696" s="25">
        <f>IFERROR(VLOOKUP(tbl_clean_sales[[#This Row],[Product_ID]],'03_Product_Master'!$A$1:$D$14,4,FALSE),"Missing")</f>
        <v>420</v>
      </c>
      <c r="Q696" s="25" t="str">
        <f>IF('03_Clean_data'!E696="","Missing",IFERROR(IF(VLOOKUP(E696,'04_Branch_Master'!$A$1:$C$7,1,FALSE)='03_Clean_data'!E696,"Valid","Invalid"),"Invalid"))</f>
        <v>Valid</v>
      </c>
      <c r="R696" s="25" t="str">
        <f>IFERROR(VLOOKUP(tbl_clean_sales[[#This Row],[Branch_ID]],'04_Branch_Master'!$A$1:$C$7,2,FALSE),"Missing")</f>
        <v>Dharapuram</v>
      </c>
      <c r="S696" s="25" t="str">
        <f>IFERROR(VLOOKUP(tbl_clean_sales[[#This Row],[Branch_ID]],'04_Branch_Master'!$A$1:$C$7,3,FALSE),"Missing")</f>
        <v>South</v>
      </c>
      <c r="T696" s="25" t="str">
        <f>C696&amp;"|"&amp;TEXT(tbl_clean_sales[[#This Row],[Date]],"yyyymm")</f>
        <v>E010|202606</v>
      </c>
      <c r="U696" s="25">
        <f>IFERROR(INDEX('05_Target_Master'!$A$1:$F$32,MATCH(tbl_clean_sales[[#This Row],[target key]],'05_Target_Master'!$F$1:$F$32,0),3),"Missing")</f>
        <v>116800</v>
      </c>
    </row>
    <row r="697" spans="1:21" x14ac:dyDescent="0.3">
      <c r="A697" s="21">
        <v>46173</v>
      </c>
      <c r="B697" s="22" t="s">
        <v>733</v>
      </c>
      <c r="C697" s="22" t="s">
        <v>38</v>
      </c>
      <c r="D697" s="22" t="s">
        <v>53</v>
      </c>
      <c r="E697" s="22" t="s">
        <v>32</v>
      </c>
      <c r="F697" s="22">
        <v>8</v>
      </c>
      <c r="G697" s="23">
        <v>2692.27</v>
      </c>
      <c r="H697" s="25" t="str">
        <f>IF(COUNTIF(tbl_clean_sales[Invoice_ID],tbl_clean_sales[[#This Row],[Invoice_ID]])&gt;1,"Duplicate","Unique")</f>
        <v>Unique</v>
      </c>
      <c r="I697" s="25"/>
      <c r="J69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7" s="25" t="str">
        <f>IFERROR(VLOOKUP(tbl_clean_sales[[#This Row],[Employee_ID]],'02_Employee_Master'!$A$1:$C$12,2,FALSE),"Employee Name Missing")</f>
        <v>Nandhini K</v>
      </c>
      <c r="L697" s="25" t="str">
        <f>IFERROR(VLOOKUP(tbl_clean_sales[[#This Row],[Employee_ID]],'02_Employee_Master'!$A$1:$C$12,3,FALSE),"Department Name Missing")</f>
        <v>Sales</v>
      </c>
      <c r="M697" s="25" t="str">
        <f>IF('03_Clean_data'!D697="","Missing",IFERROR(IF(VLOOKUP(D697,'03_Product_Master'!$A$1:$D$14,1,FALSE)='03_Clean_data'!D697,"Valid","Invalid"),"Invalid"))</f>
        <v>Valid</v>
      </c>
      <c r="N697" s="25" t="str">
        <f>IFERROR(VLOOKUP(tbl_clean_sales[[#This Row],[Product_ID]],'03_Product_Master'!$A$1:$D$14,2,FALSE),"Missing")</f>
        <v>Instant Coffee</v>
      </c>
      <c r="O697" s="25" t="str">
        <f>IFERROR(VLOOKUP(tbl_clean_sales[[#This Row],[Product_ID]],'03_Product_Master'!$A$1:$D$14,3,FALSE),"Missing")</f>
        <v>Beverages</v>
      </c>
      <c r="P697" s="25">
        <f>IFERROR(VLOOKUP(tbl_clean_sales[[#This Row],[Product_ID]],'03_Product_Master'!$A$1:$D$14,4,FALSE),"Missing")</f>
        <v>350</v>
      </c>
      <c r="Q697" s="25" t="str">
        <f>IF('03_Clean_data'!E697="","Missing",IFERROR(IF(VLOOKUP(E697,'04_Branch_Master'!$A$1:$C$7,1,FALSE)='03_Clean_data'!E697,"Valid","Invalid"),"Invalid"))</f>
        <v>Valid</v>
      </c>
      <c r="R697" s="25" t="str">
        <f>IFERROR(VLOOKUP(tbl_clean_sales[[#This Row],[Branch_ID]],'04_Branch_Master'!$A$1:$C$7,2,FALSE),"Missing")</f>
        <v>Kangeyam</v>
      </c>
      <c r="S697" s="25" t="str">
        <f>IFERROR(VLOOKUP(tbl_clean_sales[[#This Row],[Branch_ID]],'04_Branch_Master'!$A$1:$C$7,3,FALSE),"Missing")</f>
        <v>East</v>
      </c>
      <c r="T697" s="25" t="str">
        <f>C697&amp;"|"&amp;TEXT(tbl_clean_sales[[#This Row],[Date]],"yyyymm")</f>
        <v>E008|202605</v>
      </c>
      <c r="U697" s="25">
        <f>IFERROR(INDEX('05_Target_Master'!$A$1:$F$32,MATCH(tbl_clean_sales[[#This Row],[target key]],'05_Target_Master'!$F$1:$F$32,0),3),"Missing")</f>
        <v>134100</v>
      </c>
    </row>
    <row r="698" spans="1:21" x14ac:dyDescent="0.3">
      <c r="A698" s="21">
        <v>46155</v>
      </c>
      <c r="B698" s="22" t="s">
        <v>734</v>
      </c>
      <c r="C698" s="22" t="s">
        <v>24</v>
      </c>
      <c r="D698" s="22" t="s">
        <v>25</v>
      </c>
      <c r="E698" s="22" t="s">
        <v>26</v>
      </c>
      <c r="F698" s="22">
        <v>9</v>
      </c>
      <c r="G698" s="23">
        <v>3488.19</v>
      </c>
      <c r="H698" s="25" t="str">
        <f>IF(COUNTIF(tbl_clean_sales[Invoice_ID],tbl_clean_sales[[#This Row],[Invoice_ID]])&gt;1,"Duplicate","Unique")</f>
        <v>Unique</v>
      </c>
      <c r="I698" s="25"/>
      <c r="J69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8" s="25" t="str">
        <f>IFERROR(VLOOKUP(tbl_clean_sales[[#This Row],[Employee_ID]],'02_Employee_Master'!$A$1:$C$12,2,FALSE),"Employee Name Missing")</f>
        <v>Karthik P</v>
      </c>
      <c r="L698" s="25" t="str">
        <f>IFERROR(VLOOKUP(tbl_clean_sales[[#This Row],[Employee_ID]],'02_Employee_Master'!$A$1:$C$12,3,FALSE),"Department Name Missing")</f>
        <v>Sales</v>
      </c>
      <c r="M698" s="25" t="str">
        <f>IF('03_Clean_data'!D698="","Missing",IFERROR(IF(VLOOKUP(D698,'03_Product_Master'!$A$1:$D$14,1,FALSE)='03_Clean_data'!D698,"Valid","Invalid"),"Invalid"))</f>
        <v>Valid</v>
      </c>
      <c r="N698" s="25" t="str">
        <f>IFERROR(VLOOKUP(tbl_clean_sales[[#This Row],[Product_ID]],'03_Product_Master'!$A$1:$D$14,2,FALSE),"Missing")</f>
        <v>Premium Coffee</v>
      </c>
      <c r="O698" s="25" t="str">
        <f>IFERROR(VLOOKUP(tbl_clean_sales[[#This Row],[Product_ID]],'03_Product_Master'!$A$1:$D$14,3,FALSE),"Missing")</f>
        <v>Beverages</v>
      </c>
      <c r="P698" s="25">
        <f>IFERROR(VLOOKUP(tbl_clean_sales[[#This Row],[Product_ID]],'03_Product_Master'!$A$1:$D$14,4,FALSE),"Missing")</f>
        <v>420</v>
      </c>
      <c r="Q698" s="25" t="str">
        <f>IF('03_Clean_data'!E698="","Missing",IFERROR(IF(VLOOKUP(E698,'04_Branch_Master'!$A$1:$C$7,1,FALSE)='03_Clean_data'!E698,"Valid","Invalid"),"Invalid"))</f>
        <v>Valid</v>
      </c>
      <c r="R698" s="25" t="str">
        <f>IFERROR(VLOOKUP(tbl_clean_sales[[#This Row],[Branch_ID]],'04_Branch_Master'!$A$1:$C$7,2,FALSE),"Missing")</f>
        <v>Palladam</v>
      </c>
      <c r="S698" s="25" t="str">
        <f>IFERROR(VLOOKUP(tbl_clean_sales[[#This Row],[Branch_ID]],'04_Branch_Master'!$A$1:$C$7,3,FALSE),"Missing")</f>
        <v>South</v>
      </c>
      <c r="T698" s="25" t="str">
        <f>C698&amp;"|"&amp;TEXT(tbl_clean_sales[[#This Row],[Date]],"yyyymm")</f>
        <v>E005|202605</v>
      </c>
      <c r="U698" s="25">
        <f>IFERROR(INDEX('05_Target_Master'!$A$1:$F$32,MATCH(tbl_clean_sales[[#This Row],[target key]],'05_Target_Master'!$F$1:$F$32,0),3),"Missing")</f>
        <v>143700</v>
      </c>
    </row>
    <row r="699" spans="1:21" x14ac:dyDescent="0.3">
      <c r="A699" s="21">
        <v>46164</v>
      </c>
      <c r="B699" s="22" t="s">
        <v>735</v>
      </c>
      <c r="C699" s="22" t="s">
        <v>12</v>
      </c>
      <c r="D699" s="22" t="s">
        <v>9</v>
      </c>
      <c r="E699" s="22" t="s">
        <v>14</v>
      </c>
      <c r="F699" s="22">
        <v>10</v>
      </c>
      <c r="G699" s="23">
        <v>2649.44</v>
      </c>
      <c r="H699" s="25" t="str">
        <f>IF(COUNTIF(tbl_clean_sales[Invoice_ID],tbl_clean_sales[[#This Row],[Invoice_ID]])&gt;1,"Duplicate","Unique")</f>
        <v>Unique</v>
      </c>
      <c r="I699" s="25"/>
      <c r="J69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699" s="25" t="str">
        <f>IFERROR(VLOOKUP(tbl_clean_sales[[#This Row],[Employee_ID]],'02_Employee_Master'!$A$1:$C$12,2,FALSE),"Employee Name Missing")</f>
        <v>Divya R</v>
      </c>
      <c r="L699" s="25" t="str">
        <f>IFERROR(VLOOKUP(tbl_clean_sales[[#This Row],[Employee_ID]],'02_Employee_Master'!$A$1:$C$12,3,FALSE),"Department Name Missing")</f>
        <v>Sales</v>
      </c>
      <c r="M699" s="25" t="str">
        <f>IF('03_Clean_data'!D699="","Missing",IFERROR(IF(VLOOKUP(D699,'03_Product_Master'!$A$1:$D$14,1,FALSE)='03_Clean_data'!D699,"Valid","Invalid"),"Invalid"))</f>
        <v>Valid</v>
      </c>
      <c r="N699" s="25" t="str">
        <f>IFERROR(VLOOKUP(tbl_clean_sales[[#This Row],[Product_ID]],'03_Product_Master'!$A$1:$D$14,2,FALSE),"Missing")</f>
        <v>Green Tea</v>
      </c>
      <c r="O699" s="25" t="str">
        <f>IFERROR(VLOOKUP(tbl_clean_sales[[#This Row],[Product_ID]],'03_Product_Master'!$A$1:$D$14,3,FALSE),"Missing")</f>
        <v>Beverages</v>
      </c>
      <c r="P699" s="25">
        <f>IFERROR(VLOOKUP(tbl_clean_sales[[#This Row],[Product_ID]],'03_Product_Master'!$A$1:$D$14,4,FALSE),"Missing")</f>
        <v>280</v>
      </c>
      <c r="Q699" s="25" t="str">
        <f>IF('03_Clean_data'!E699="","Missing",IFERROR(IF(VLOOKUP(E699,'04_Branch_Master'!$A$1:$C$7,1,FALSE)='03_Clean_data'!E699,"Valid","Invalid"),"Invalid"))</f>
        <v>Valid</v>
      </c>
      <c r="R699" s="25" t="str">
        <f>IFERROR(VLOOKUP(tbl_clean_sales[[#This Row],[Branch_ID]],'04_Branch_Master'!$A$1:$C$7,2,FALSE),"Missing")</f>
        <v>Avinashi Road</v>
      </c>
      <c r="S699" s="25" t="str">
        <f>IFERROR(VLOOKUP(tbl_clean_sales[[#This Row],[Branch_ID]],'04_Branch_Master'!$A$1:$C$7,3,FALSE),"Missing")</f>
        <v>North</v>
      </c>
      <c r="T699" s="25" t="str">
        <f>C699&amp;"|"&amp;TEXT(tbl_clean_sales[[#This Row],[Date]],"yyyymm")</f>
        <v>E004|202605</v>
      </c>
      <c r="U699" s="25">
        <f>IFERROR(INDEX('05_Target_Master'!$A$1:$F$32,MATCH(tbl_clean_sales[[#This Row],[target key]],'05_Target_Master'!$F$1:$F$32,0),3),"Missing")</f>
        <v>176700</v>
      </c>
    </row>
    <row r="700" spans="1:21" x14ac:dyDescent="0.3">
      <c r="A700" s="21">
        <v>46176</v>
      </c>
      <c r="B700" s="22" t="s">
        <v>736</v>
      </c>
      <c r="C700" s="22" t="s">
        <v>38</v>
      </c>
      <c r="D700" s="22" t="s">
        <v>34</v>
      </c>
      <c r="E700" s="22" t="s">
        <v>32</v>
      </c>
      <c r="F700" s="22">
        <v>8</v>
      </c>
      <c r="G700" s="23">
        <v>801.3</v>
      </c>
      <c r="H700" s="25" t="str">
        <f>IF(COUNTIF(tbl_clean_sales[Invoice_ID],tbl_clean_sales[[#This Row],[Invoice_ID]])&gt;1,"Duplicate","Unique")</f>
        <v>Unique</v>
      </c>
      <c r="I700" s="25"/>
      <c r="J70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0" s="25" t="str">
        <f>IFERROR(VLOOKUP(tbl_clean_sales[[#This Row],[Employee_ID]],'02_Employee_Master'!$A$1:$C$12,2,FALSE),"Employee Name Missing")</f>
        <v>Nandhini K</v>
      </c>
      <c r="L700" s="25" t="str">
        <f>IFERROR(VLOOKUP(tbl_clean_sales[[#This Row],[Employee_ID]],'02_Employee_Master'!$A$1:$C$12,3,FALSE),"Department Name Missing")</f>
        <v>Sales</v>
      </c>
      <c r="M700" s="25" t="str">
        <f>IF('03_Clean_data'!D700="","Missing",IFERROR(IF(VLOOKUP(D700,'03_Product_Master'!$A$1:$D$14,1,FALSE)='03_Clean_data'!D700,"Valid","Invalid"),"Invalid"))</f>
        <v>Valid</v>
      </c>
      <c r="N700" s="25" t="str">
        <f>IFERROR(VLOOKUP(tbl_clean_sales[[#This Row],[Product_ID]],'03_Product_Master'!$A$1:$D$14,2,FALSE),"Missing")</f>
        <v>Potato Chips</v>
      </c>
      <c r="O700" s="25" t="str">
        <f>IFERROR(VLOOKUP(tbl_clean_sales[[#This Row],[Product_ID]],'03_Product_Master'!$A$1:$D$14,3,FALSE),"Missing")</f>
        <v>Snacks</v>
      </c>
      <c r="P700" s="25">
        <f>IFERROR(VLOOKUP(tbl_clean_sales[[#This Row],[Product_ID]],'03_Product_Master'!$A$1:$D$14,4,FALSE),"Missing")</f>
        <v>110</v>
      </c>
      <c r="Q700" s="25" t="str">
        <f>IF('03_Clean_data'!E700="","Missing",IFERROR(IF(VLOOKUP(E700,'04_Branch_Master'!$A$1:$C$7,1,FALSE)='03_Clean_data'!E700,"Valid","Invalid"),"Invalid"))</f>
        <v>Valid</v>
      </c>
      <c r="R700" s="25" t="str">
        <f>IFERROR(VLOOKUP(tbl_clean_sales[[#This Row],[Branch_ID]],'04_Branch_Master'!$A$1:$C$7,2,FALSE),"Missing")</f>
        <v>Kangeyam</v>
      </c>
      <c r="S700" s="25" t="str">
        <f>IFERROR(VLOOKUP(tbl_clean_sales[[#This Row],[Branch_ID]],'04_Branch_Master'!$A$1:$C$7,3,FALSE),"Missing")</f>
        <v>East</v>
      </c>
      <c r="T700" s="25" t="str">
        <f>C700&amp;"|"&amp;TEXT(tbl_clean_sales[[#This Row],[Date]],"yyyymm")</f>
        <v>E008|202606</v>
      </c>
      <c r="U700" s="25">
        <f>IFERROR(INDEX('05_Target_Master'!$A$1:$F$32,MATCH(tbl_clean_sales[[#This Row],[target key]],'05_Target_Master'!$F$1:$F$32,0),3),"Missing")</f>
        <v>119200</v>
      </c>
    </row>
    <row r="701" spans="1:21" x14ac:dyDescent="0.3">
      <c r="A701" s="21">
        <v>46115</v>
      </c>
      <c r="B701" s="22" t="s">
        <v>737</v>
      </c>
      <c r="C701" s="22" t="s">
        <v>21</v>
      </c>
      <c r="D701" s="22" t="s">
        <v>16</v>
      </c>
      <c r="E701" s="22" t="s">
        <v>22</v>
      </c>
      <c r="F701" s="22">
        <v>9</v>
      </c>
      <c r="G701" s="23">
        <v>2606.16</v>
      </c>
      <c r="H701" s="25" t="str">
        <f>IF(COUNTIF(tbl_clean_sales[Invoice_ID],tbl_clean_sales[[#This Row],[Invoice_ID]])&gt;1,"Duplicate","Unique")</f>
        <v>Unique</v>
      </c>
      <c r="I701" s="25"/>
      <c r="J70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1" s="25" t="str">
        <f>IFERROR(VLOOKUP(tbl_clean_sales[[#This Row],[Employee_ID]],'02_Employee_Master'!$A$1:$C$12,2,FALSE),"Employee Name Missing")</f>
        <v>Priya S</v>
      </c>
      <c r="L701" s="25" t="str">
        <f>IFERROR(VLOOKUP(tbl_clean_sales[[#This Row],[Employee_ID]],'02_Employee_Master'!$A$1:$C$12,3,FALSE),"Department Name Missing")</f>
        <v>Sales</v>
      </c>
      <c r="M701" s="25" t="str">
        <f>IF('03_Clean_data'!D701="","Missing",IFERROR(IF(VLOOKUP(D701,'03_Product_Master'!$A$1:$D$14,1,FALSE)='03_Clean_data'!D701,"Valid","Invalid"),"Invalid"))</f>
        <v>Valid</v>
      </c>
      <c r="N701" s="25" t="str">
        <f>IFERROR(VLOOKUP(tbl_clean_sales[[#This Row],[Product_ID]],'03_Product_Master'!$A$1:$D$14,2,FALSE),"Missing")</f>
        <v>Shampoo</v>
      </c>
      <c r="O701" s="25" t="str">
        <f>IFERROR(VLOOKUP(tbl_clean_sales[[#This Row],[Product_ID]],'03_Product_Master'!$A$1:$D$14,3,FALSE),"Missing")</f>
        <v>Personal Care</v>
      </c>
      <c r="P701" s="25">
        <f>IFERROR(VLOOKUP(tbl_clean_sales[[#This Row],[Product_ID]],'03_Product_Master'!$A$1:$D$14,4,FALSE),"Missing")</f>
        <v>310</v>
      </c>
      <c r="Q701" s="25" t="str">
        <f>IF('03_Clean_data'!E701="","Missing",IFERROR(IF(VLOOKUP(E701,'04_Branch_Master'!$A$1:$C$7,1,FALSE)='03_Clean_data'!E701,"Valid","Invalid"),"Invalid"))</f>
        <v>Valid</v>
      </c>
      <c r="R701" s="25" t="str">
        <f>IFERROR(VLOOKUP(tbl_clean_sales[[#This Row],[Branch_ID]],'04_Branch_Master'!$A$1:$C$7,2,FALSE),"Missing")</f>
        <v>Tirupur Central</v>
      </c>
      <c r="S701" s="25" t="str">
        <f>IFERROR(VLOOKUP(tbl_clean_sales[[#This Row],[Branch_ID]],'04_Branch_Master'!$A$1:$C$7,3,FALSE),"Missing")</f>
        <v>North</v>
      </c>
      <c r="T701" s="25" t="str">
        <f>C701&amp;"|"&amp;TEXT(tbl_clean_sales[[#This Row],[Date]],"yyyymm")</f>
        <v>E002|202604</v>
      </c>
      <c r="U701" s="25">
        <f>IFERROR(INDEX('05_Target_Master'!$A$1:$F$32,MATCH(tbl_clean_sales[[#This Row],[target key]],'05_Target_Master'!$F$1:$F$32,0),3),"Missing")</f>
        <v>122300</v>
      </c>
    </row>
    <row r="702" spans="1:21" x14ac:dyDescent="0.3">
      <c r="A702" s="21">
        <v>46124</v>
      </c>
      <c r="B702" s="22" t="s">
        <v>738</v>
      </c>
      <c r="C702" s="22" t="s">
        <v>29</v>
      </c>
      <c r="D702" s="22" t="s">
        <v>36</v>
      </c>
      <c r="E702" s="22" t="s">
        <v>10</v>
      </c>
      <c r="F702" s="22">
        <v>9</v>
      </c>
      <c r="G702" s="23">
        <v>1594.61</v>
      </c>
      <c r="H702" s="25" t="str">
        <f>IF(COUNTIF(tbl_clean_sales[Invoice_ID],tbl_clean_sales[[#This Row],[Invoice_ID]])&gt;1,"Duplicate","Unique")</f>
        <v>Unique</v>
      </c>
      <c r="I702" s="25"/>
      <c r="J70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2" s="25" t="str">
        <f>IFERROR(VLOOKUP(tbl_clean_sales[[#This Row],[Employee_ID]],'02_Employee_Master'!$A$1:$C$12,2,FALSE),"Employee Name Missing")</f>
        <v>Swetha L</v>
      </c>
      <c r="L702" s="25" t="str">
        <f>IFERROR(VLOOKUP(tbl_clean_sales[[#This Row],[Employee_ID]],'02_Employee_Master'!$A$1:$C$12,3,FALSE),"Department Name Missing")</f>
        <v>Sales</v>
      </c>
      <c r="M702" s="25" t="str">
        <f>IF('03_Clean_data'!D702="","Missing",IFERROR(IF(VLOOKUP(D702,'03_Product_Master'!$A$1:$D$14,1,FALSE)='03_Clean_data'!D702,"Valid","Invalid"),"Invalid"))</f>
        <v>Valid</v>
      </c>
      <c r="N702" s="25" t="str">
        <f>IFERROR(VLOOKUP(tbl_clean_sales[[#This Row],[Product_ID]],'03_Product_Master'!$A$1:$D$14,2,FALSE),"Missing")</f>
        <v>Dish Wash</v>
      </c>
      <c r="O702" s="25" t="str">
        <f>IFERROR(VLOOKUP(tbl_clean_sales[[#This Row],[Product_ID]],'03_Product_Master'!$A$1:$D$14,3,FALSE),"Missing")</f>
        <v>Home Care</v>
      </c>
      <c r="P702" s="25">
        <f>IFERROR(VLOOKUP(tbl_clean_sales[[#This Row],[Product_ID]],'03_Product_Master'!$A$1:$D$14,4,FALSE),"Missing")</f>
        <v>190</v>
      </c>
      <c r="Q702" s="25" t="str">
        <f>IF('03_Clean_data'!E702="","Missing",IFERROR(IF(VLOOKUP(E702,'04_Branch_Master'!$A$1:$C$7,1,FALSE)='03_Clean_data'!E702,"Valid","Invalid"),"Invalid"))</f>
        <v>Valid</v>
      </c>
      <c r="R702" s="25" t="str">
        <f>IFERROR(VLOOKUP(tbl_clean_sales[[#This Row],[Branch_ID]],'04_Branch_Master'!$A$1:$C$7,2,FALSE),"Missing")</f>
        <v>Dharapuram</v>
      </c>
      <c r="S702" s="25" t="str">
        <f>IFERROR(VLOOKUP(tbl_clean_sales[[#This Row],[Branch_ID]],'04_Branch_Master'!$A$1:$C$7,3,FALSE),"Missing")</f>
        <v>South</v>
      </c>
      <c r="T702" s="25" t="str">
        <f>C702&amp;"|"&amp;TEXT(tbl_clean_sales[[#This Row],[Date]],"yyyymm")</f>
        <v>E010|202604</v>
      </c>
      <c r="U702" s="25">
        <f>IFERROR(INDEX('05_Target_Master'!$A$1:$F$32,MATCH(tbl_clean_sales[[#This Row],[target key]],'05_Target_Master'!$F$1:$F$32,0),3),"Missing")</f>
        <v>121700</v>
      </c>
    </row>
    <row r="703" spans="1:21" x14ac:dyDescent="0.3">
      <c r="A703" s="21">
        <v>46196</v>
      </c>
      <c r="B703" s="22" t="s">
        <v>739</v>
      </c>
      <c r="C703" s="22" t="s">
        <v>38</v>
      </c>
      <c r="D703" s="22" t="s">
        <v>740</v>
      </c>
      <c r="E703" s="22" t="s">
        <v>32</v>
      </c>
      <c r="F703" s="22">
        <v>1</v>
      </c>
      <c r="G703" s="23">
        <v>99.22</v>
      </c>
      <c r="H703" s="25" t="str">
        <f>IF(COUNTIF(tbl_clean_sales[Invoice_ID],tbl_clean_sales[[#This Row],[Invoice_ID]])&gt;1,"Duplicate","Unique")</f>
        <v>Unique</v>
      </c>
      <c r="I703" s="25"/>
      <c r="J70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3" s="25" t="str">
        <f>IFERROR(VLOOKUP(tbl_clean_sales[[#This Row],[Employee_ID]],'02_Employee_Master'!$A$1:$C$12,2,FALSE),"Employee Name Missing")</f>
        <v>Nandhini K</v>
      </c>
      <c r="L703" s="25" t="str">
        <f>IFERROR(VLOOKUP(tbl_clean_sales[[#This Row],[Employee_ID]],'02_Employee_Master'!$A$1:$C$12,3,FALSE),"Department Name Missing")</f>
        <v>Sales</v>
      </c>
      <c r="M703" s="25" t="str">
        <f>IF('03_Clean_data'!D703="","Missing",IFERROR(IF(VLOOKUP(D703,'03_Product_Master'!$A$1:$D$14,1,FALSE)='03_Clean_data'!D703,"Valid","Invalid"),"Invalid"))</f>
        <v>Invalid</v>
      </c>
      <c r="N703" s="25" t="str">
        <f>IFERROR(VLOOKUP(tbl_clean_sales[[#This Row],[Product_ID]],'03_Product_Master'!$A$1:$D$14,2,FALSE),"Missing")</f>
        <v>Missing</v>
      </c>
      <c r="O703" s="25" t="str">
        <f>IFERROR(VLOOKUP(tbl_clean_sales[[#This Row],[Product_ID]],'03_Product_Master'!$A$1:$D$14,3,FALSE),"Missing")</f>
        <v>Missing</v>
      </c>
      <c r="P703" s="25" t="str">
        <f>IFERROR(VLOOKUP(tbl_clean_sales[[#This Row],[Product_ID]],'03_Product_Master'!$A$1:$D$14,4,FALSE),"Missing")</f>
        <v>Missing</v>
      </c>
      <c r="Q703" s="25" t="str">
        <f>IF('03_Clean_data'!E703="","Missing",IFERROR(IF(VLOOKUP(E703,'04_Branch_Master'!$A$1:$C$7,1,FALSE)='03_Clean_data'!E703,"Valid","Invalid"),"Invalid"))</f>
        <v>Valid</v>
      </c>
      <c r="R703" s="25" t="str">
        <f>IFERROR(VLOOKUP(tbl_clean_sales[[#This Row],[Branch_ID]],'04_Branch_Master'!$A$1:$C$7,2,FALSE),"Missing")</f>
        <v>Kangeyam</v>
      </c>
      <c r="S703" s="25" t="str">
        <f>IFERROR(VLOOKUP(tbl_clean_sales[[#This Row],[Branch_ID]],'04_Branch_Master'!$A$1:$C$7,3,FALSE),"Missing")</f>
        <v>East</v>
      </c>
      <c r="T703" s="25" t="str">
        <f>C703&amp;"|"&amp;TEXT(tbl_clean_sales[[#This Row],[Date]],"yyyymm")</f>
        <v>E008|202606</v>
      </c>
      <c r="U703" s="25">
        <f>IFERROR(INDEX('05_Target_Master'!$A$1:$F$32,MATCH(tbl_clean_sales[[#This Row],[target key]],'05_Target_Master'!$F$1:$F$32,0),3),"Missing")</f>
        <v>119200</v>
      </c>
    </row>
    <row r="704" spans="1:21" x14ac:dyDescent="0.3">
      <c r="A704" s="21">
        <v>46171</v>
      </c>
      <c r="B704" s="22" t="s">
        <v>741</v>
      </c>
      <c r="C704" s="22" t="s">
        <v>40</v>
      </c>
      <c r="D704" s="22" t="s">
        <v>13</v>
      </c>
      <c r="E704" s="22" t="s">
        <v>26</v>
      </c>
      <c r="F704" s="22">
        <v>10</v>
      </c>
      <c r="G704" s="23">
        <v>3678.57</v>
      </c>
      <c r="H704" s="25" t="str">
        <f>IF(COUNTIF(tbl_clean_sales[Invoice_ID],tbl_clean_sales[[#This Row],[Invoice_ID]])&gt;1,"Duplicate","Unique")</f>
        <v>Unique</v>
      </c>
      <c r="I704" s="25"/>
      <c r="J70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4" s="25" t="str">
        <f>IFERROR(VLOOKUP(tbl_clean_sales[[#This Row],[Employee_ID]],'02_Employee_Master'!$A$1:$C$12,2,FALSE),"Employee Name Missing")</f>
        <v>Meena V</v>
      </c>
      <c r="L704" s="25" t="str">
        <f>IFERROR(VLOOKUP(tbl_clean_sales[[#This Row],[Employee_ID]],'02_Employee_Master'!$A$1:$C$12,3,FALSE),"Department Name Missing")</f>
        <v>Sales</v>
      </c>
      <c r="M704" s="25" t="str">
        <f>IF('03_Clean_data'!D704="","Missing",IFERROR(IF(VLOOKUP(D704,'03_Product_Master'!$A$1:$D$14,1,FALSE)='03_Clean_data'!D704,"Valid","Invalid"),"Invalid"))</f>
        <v>Valid</v>
      </c>
      <c r="N704" s="25" t="str">
        <f>IFERROR(VLOOKUP(tbl_clean_sales[[#This Row],[Product_ID]],'03_Product_Master'!$A$1:$D$14,2,FALSE),"Missing")</f>
        <v>Body Lotion</v>
      </c>
      <c r="O704" s="25" t="str">
        <f>IFERROR(VLOOKUP(tbl_clean_sales[[#This Row],[Product_ID]],'03_Product_Master'!$A$1:$D$14,3,FALSE),"Missing")</f>
        <v>Personal Care</v>
      </c>
      <c r="P704" s="25">
        <f>IFERROR(VLOOKUP(tbl_clean_sales[[#This Row],[Product_ID]],'03_Product_Master'!$A$1:$D$14,4,FALSE),"Missing")</f>
        <v>390</v>
      </c>
      <c r="Q704" s="25" t="str">
        <f>IF('03_Clean_data'!E704="","Missing",IFERROR(IF(VLOOKUP(E704,'04_Branch_Master'!$A$1:$C$7,1,FALSE)='03_Clean_data'!E704,"Valid","Invalid"),"Invalid"))</f>
        <v>Valid</v>
      </c>
      <c r="R704" s="25" t="str">
        <f>IFERROR(VLOOKUP(tbl_clean_sales[[#This Row],[Branch_ID]],'04_Branch_Master'!$A$1:$C$7,2,FALSE),"Missing")</f>
        <v>Palladam</v>
      </c>
      <c r="S704" s="25" t="str">
        <f>IFERROR(VLOOKUP(tbl_clean_sales[[#This Row],[Branch_ID]],'04_Branch_Master'!$A$1:$C$7,3,FALSE),"Missing")</f>
        <v>South</v>
      </c>
      <c r="T704" s="25" t="str">
        <f>C704&amp;"|"&amp;TEXT(tbl_clean_sales[[#This Row],[Date]],"yyyymm")</f>
        <v>E006|202605</v>
      </c>
      <c r="U704" s="25">
        <f>IFERROR(INDEX('05_Target_Master'!$A$1:$F$32,MATCH(tbl_clean_sales[[#This Row],[target key]],'05_Target_Master'!$F$1:$F$32,0),3),"Missing")</f>
        <v>141500</v>
      </c>
    </row>
    <row r="705" spans="1:21" x14ac:dyDescent="0.3">
      <c r="A705" s="21">
        <v>46197</v>
      </c>
      <c r="B705" s="22" t="s">
        <v>742</v>
      </c>
      <c r="C705" s="22" t="s">
        <v>40</v>
      </c>
      <c r="D705" s="22" t="s">
        <v>19</v>
      </c>
      <c r="E705" s="22" t="s">
        <v>26</v>
      </c>
      <c r="F705" s="22">
        <v>2</v>
      </c>
      <c r="G705" s="23">
        <v>418.09</v>
      </c>
      <c r="H705" s="25" t="str">
        <f>IF(COUNTIF(tbl_clean_sales[Invoice_ID],tbl_clean_sales[[#This Row],[Invoice_ID]])&gt;1,"Duplicate","Unique")</f>
        <v>Unique</v>
      </c>
      <c r="I705" s="25"/>
      <c r="J70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5" s="25" t="str">
        <f>IFERROR(VLOOKUP(tbl_clean_sales[[#This Row],[Employee_ID]],'02_Employee_Master'!$A$1:$C$12,2,FALSE),"Employee Name Missing")</f>
        <v>Meena V</v>
      </c>
      <c r="L705" s="25" t="str">
        <f>IFERROR(VLOOKUP(tbl_clean_sales[[#This Row],[Employee_ID]],'02_Employee_Master'!$A$1:$C$12,3,FALSE),"Department Name Missing")</f>
        <v>Sales</v>
      </c>
      <c r="M705" s="25" t="str">
        <f>IF('03_Clean_data'!D705="","Missing",IFERROR(IF(VLOOKUP(D705,'03_Product_Master'!$A$1:$D$14,1,FALSE)='03_Clean_data'!D705,"Valid","Invalid"),"Invalid"))</f>
        <v>Valid</v>
      </c>
      <c r="N705" s="25" t="str">
        <f>IFERROR(VLOOKUP(tbl_clean_sales[[#This Row],[Product_ID]],'03_Product_Master'!$A$1:$D$14,2,FALSE),"Missing")</f>
        <v>Floor Cleaner</v>
      </c>
      <c r="O705" s="25" t="str">
        <f>IFERROR(VLOOKUP(tbl_clean_sales[[#This Row],[Product_ID]],'03_Product_Master'!$A$1:$D$14,3,FALSE),"Missing")</f>
        <v>Home Care</v>
      </c>
      <c r="P705" s="25">
        <f>IFERROR(VLOOKUP(tbl_clean_sales[[#This Row],[Product_ID]],'03_Product_Master'!$A$1:$D$14,4,FALSE),"Missing")</f>
        <v>230</v>
      </c>
      <c r="Q705" s="25" t="str">
        <f>IF('03_Clean_data'!E705="","Missing",IFERROR(IF(VLOOKUP(E705,'04_Branch_Master'!$A$1:$C$7,1,FALSE)='03_Clean_data'!E705,"Valid","Invalid"),"Invalid"))</f>
        <v>Valid</v>
      </c>
      <c r="R705" s="25" t="str">
        <f>IFERROR(VLOOKUP(tbl_clean_sales[[#This Row],[Branch_ID]],'04_Branch_Master'!$A$1:$C$7,2,FALSE),"Missing")</f>
        <v>Palladam</v>
      </c>
      <c r="S705" s="25" t="str">
        <f>IFERROR(VLOOKUP(tbl_clean_sales[[#This Row],[Branch_ID]],'04_Branch_Master'!$A$1:$C$7,3,FALSE),"Missing")</f>
        <v>South</v>
      </c>
      <c r="T705" s="25" t="str">
        <f>C705&amp;"|"&amp;TEXT(tbl_clean_sales[[#This Row],[Date]],"yyyymm")</f>
        <v>E006|202606</v>
      </c>
      <c r="U705" s="25">
        <f>IFERROR(INDEX('05_Target_Master'!$A$1:$F$32,MATCH(tbl_clean_sales[[#This Row],[target key]],'05_Target_Master'!$F$1:$F$32,0),3),"Missing")</f>
        <v>125800</v>
      </c>
    </row>
    <row r="706" spans="1:21" x14ac:dyDescent="0.3">
      <c r="A706" s="21">
        <v>46141</v>
      </c>
      <c r="B706" s="22" t="s">
        <v>743</v>
      </c>
      <c r="C706" s="22" t="s">
        <v>74</v>
      </c>
      <c r="D706" s="22" t="s">
        <v>34</v>
      </c>
      <c r="E706" s="22" t="s">
        <v>22</v>
      </c>
      <c r="F706" s="22">
        <v>11</v>
      </c>
      <c r="G706" s="23">
        <v>1069.96</v>
      </c>
      <c r="H706" s="25" t="str">
        <f>IF(COUNTIF(tbl_clean_sales[Invoice_ID],tbl_clean_sales[[#This Row],[Invoice_ID]])&gt;1,"Duplicate","Unique")</f>
        <v>Unique</v>
      </c>
      <c r="I706" s="25"/>
      <c r="J70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6" s="25" t="str">
        <f>IFERROR(VLOOKUP(tbl_clean_sales[[#This Row],[Employee_ID]],'02_Employee_Master'!$A$1:$C$12,2,FALSE),"Employee Name Missing")</f>
        <v>Arun Kumar</v>
      </c>
      <c r="L706" s="25" t="str">
        <f>IFERROR(VLOOKUP(tbl_clean_sales[[#This Row],[Employee_ID]],'02_Employee_Master'!$A$1:$C$12,3,FALSE),"Department Name Missing")</f>
        <v>Sales</v>
      </c>
      <c r="M706" s="25" t="str">
        <f>IF('03_Clean_data'!D706="","Missing",IFERROR(IF(VLOOKUP(D706,'03_Product_Master'!$A$1:$D$14,1,FALSE)='03_Clean_data'!D706,"Valid","Invalid"),"Invalid"))</f>
        <v>Valid</v>
      </c>
      <c r="N706" s="25" t="str">
        <f>IFERROR(VLOOKUP(tbl_clean_sales[[#This Row],[Product_ID]],'03_Product_Master'!$A$1:$D$14,2,FALSE),"Missing")</f>
        <v>Potato Chips</v>
      </c>
      <c r="O706" s="25" t="str">
        <f>IFERROR(VLOOKUP(tbl_clean_sales[[#This Row],[Product_ID]],'03_Product_Master'!$A$1:$D$14,3,FALSE),"Missing")</f>
        <v>Snacks</v>
      </c>
      <c r="P706" s="25">
        <f>IFERROR(VLOOKUP(tbl_clean_sales[[#This Row],[Product_ID]],'03_Product_Master'!$A$1:$D$14,4,FALSE),"Missing")</f>
        <v>110</v>
      </c>
      <c r="Q706" s="25" t="str">
        <f>IF('03_Clean_data'!E706="","Missing",IFERROR(IF(VLOOKUP(E706,'04_Branch_Master'!$A$1:$C$7,1,FALSE)='03_Clean_data'!E706,"Valid","Invalid"),"Invalid"))</f>
        <v>Valid</v>
      </c>
      <c r="R706" s="25" t="str">
        <f>IFERROR(VLOOKUP(tbl_clean_sales[[#This Row],[Branch_ID]],'04_Branch_Master'!$A$1:$C$7,2,FALSE),"Missing")</f>
        <v>Tirupur Central</v>
      </c>
      <c r="S706" s="25" t="str">
        <f>IFERROR(VLOOKUP(tbl_clean_sales[[#This Row],[Branch_ID]],'04_Branch_Master'!$A$1:$C$7,3,FALSE),"Missing")</f>
        <v>North</v>
      </c>
      <c r="T706" s="25" t="str">
        <f>C706&amp;"|"&amp;TEXT(tbl_clean_sales[[#This Row],[Date]],"yyyymm")</f>
        <v>E001|202604</v>
      </c>
      <c r="U706" s="25">
        <f>IFERROR(INDEX('05_Target_Master'!$A$1:$F$32,MATCH(tbl_clean_sales[[#This Row],[target key]],'05_Target_Master'!$F$1:$F$32,0),3),"Missing")</f>
        <v>156900</v>
      </c>
    </row>
    <row r="707" spans="1:21" x14ac:dyDescent="0.3">
      <c r="A707" s="21">
        <v>46150</v>
      </c>
      <c r="B707" s="22" t="s">
        <v>744</v>
      </c>
      <c r="C707" s="22" t="s">
        <v>8</v>
      </c>
      <c r="D707" s="22" t="s">
        <v>13</v>
      </c>
      <c r="E707" s="22" t="s">
        <v>10</v>
      </c>
      <c r="F707" s="22">
        <v>2</v>
      </c>
      <c r="G707" s="23">
        <v>775.72</v>
      </c>
      <c r="H707" s="25" t="str">
        <f>IF(COUNTIF(tbl_clean_sales[Invoice_ID],tbl_clean_sales[[#This Row],[Invoice_ID]])&gt;1,"Duplicate","Unique")</f>
        <v>Unique</v>
      </c>
      <c r="I707" s="25"/>
      <c r="J70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7" s="25" t="str">
        <f>IFERROR(VLOOKUP(tbl_clean_sales[[#This Row],[Employee_ID]],'02_Employee_Master'!$A$1:$C$12,2,FALSE),"Employee Name Missing")</f>
        <v>Vignesh R</v>
      </c>
      <c r="L707" s="25" t="str">
        <f>IFERROR(VLOOKUP(tbl_clean_sales[[#This Row],[Employee_ID]],'02_Employee_Master'!$A$1:$C$12,3,FALSE),"Department Name Missing")</f>
        <v>Sales</v>
      </c>
      <c r="M707" s="25" t="str">
        <f>IF('03_Clean_data'!D707="","Missing",IFERROR(IF(VLOOKUP(D707,'03_Product_Master'!$A$1:$D$14,1,FALSE)='03_Clean_data'!D707,"Valid","Invalid"),"Invalid"))</f>
        <v>Valid</v>
      </c>
      <c r="N707" s="25" t="str">
        <f>IFERROR(VLOOKUP(tbl_clean_sales[[#This Row],[Product_ID]],'03_Product_Master'!$A$1:$D$14,2,FALSE),"Missing")</f>
        <v>Body Lotion</v>
      </c>
      <c r="O707" s="25" t="str">
        <f>IFERROR(VLOOKUP(tbl_clean_sales[[#This Row],[Product_ID]],'03_Product_Master'!$A$1:$D$14,3,FALSE),"Missing")</f>
        <v>Personal Care</v>
      </c>
      <c r="P707" s="25">
        <f>IFERROR(VLOOKUP(tbl_clean_sales[[#This Row],[Product_ID]],'03_Product_Master'!$A$1:$D$14,4,FALSE),"Missing")</f>
        <v>390</v>
      </c>
      <c r="Q707" s="25" t="str">
        <f>IF('03_Clean_data'!E707="","Missing",IFERROR(IF(VLOOKUP(E707,'04_Branch_Master'!$A$1:$C$7,1,FALSE)='03_Clean_data'!E707,"Valid","Invalid"),"Invalid"))</f>
        <v>Valid</v>
      </c>
      <c r="R707" s="25" t="str">
        <f>IFERROR(VLOOKUP(tbl_clean_sales[[#This Row],[Branch_ID]],'04_Branch_Master'!$A$1:$C$7,2,FALSE),"Missing")</f>
        <v>Dharapuram</v>
      </c>
      <c r="S707" s="25" t="str">
        <f>IFERROR(VLOOKUP(tbl_clean_sales[[#This Row],[Branch_ID]],'04_Branch_Master'!$A$1:$C$7,3,FALSE),"Missing")</f>
        <v>South</v>
      </c>
      <c r="T707" s="25" t="str">
        <f>C707&amp;"|"&amp;TEXT(tbl_clean_sales[[#This Row],[Date]],"yyyymm")</f>
        <v>E009|202605</v>
      </c>
      <c r="U707" s="25">
        <f>IFERROR(INDEX('05_Target_Master'!$A$1:$F$32,MATCH(tbl_clean_sales[[#This Row],[target key]],'05_Target_Master'!$F$1:$F$32,0),3),"Missing")</f>
        <v>176300</v>
      </c>
    </row>
    <row r="708" spans="1:21" x14ac:dyDescent="0.3">
      <c r="A708" s="21">
        <v>46134</v>
      </c>
      <c r="B708" s="22" t="s">
        <v>745</v>
      </c>
      <c r="C708" s="22" t="s">
        <v>38</v>
      </c>
      <c r="D708" s="22" t="s">
        <v>53</v>
      </c>
      <c r="E708" s="22" t="s">
        <v>32</v>
      </c>
      <c r="F708" s="22">
        <v>2</v>
      </c>
      <c r="G708" s="23">
        <v>678.64</v>
      </c>
      <c r="H708" s="25" t="str">
        <f>IF(COUNTIF(tbl_clean_sales[Invoice_ID],tbl_clean_sales[[#This Row],[Invoice_ID]])&gt;1,"Duplicate","Unique")</f>
        <v>Unique</v>
      </c>
      <c r="I708" s="25"/>
      <c r="J70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8" s="25" t="str">
        <f>IFERROR(VLOOKUP(tbl_clean_sales[[#This Row],[Employee_ID]],'02_Employee_Master'!$A$1:$C$12,2,FALSE),"Employee Name Missing")</f>
        <v>Nandhini K</v>
      </c>
      <c r="L708" s="25" t="str">
        <f>IFERROR(VLOOKUP(tbl_clean_sales[[#This Row],[Employee_ID]],'02_Employee_Master'!$A$1:$C$12,3,FALSE),"Department Name Missing")</f>
        <v>Sales</v>
      </c>
      <c r="M708" s="25" t="str">
        <f>IF('03_Clean_data'!D708="","Missing",IFERROR(IF(VLOOKUP(D708,'03_Product_Master'!$A$1:$D$14,1,FALSE)='03_Clean_data'!D708,"Valid","Invalid"),"Invalid"))</f>
        <v>Valid</v>
      </c>
      <c r="N708" s="25" t="str">
        <f>IFERROR(VLOOKUP(tbl_clean_sales[[#This Row],[Product_ID]],'03_Product_Master'!$A$1:$D$14,2,FALSE),"Missing")</f>
        <v>Instant Coffee</v>
      </c>
      <c r="O708" s="25" t="str">
        <f>IFERROR(VLOOKUP(tbl_clean_sales[[#This Row],[Product_ID]],'03_Product_Master'!$A$1:$D$14,3,FALSE),"Missing")</f>
        <v>Beverages</v>
      </c>
      <c r="P708" s="25">
        <f>IFERROR(VLOOKUP(tbl_clean_sales[[#This Row],[Product_ID]],'03_Product_Master'!$A$1:$D$14,4,FALSE),"Missing")</f>
        <v>350</v>
      </c>
      <c r="Q708" s="25" t="str">
        <f>IF('03_Clean_data'!E708="","Missing",IFERROR(IF(VLOOKUP(E708,'04_Branch_Master'!$A$1:$C$7,1,FALSE)='03_Clean_data'!E708,"Valid","Invalid"),"Invalid"))</f>
        <v>Valid</v>
      </c>
      <c r="R708" s="25" t="str">
        <f>IFERROR(VLOOKUP(tbl_clean_sales[[#This Row],[Branch_ID]],'04_Branch_Master'!$A$1:$C$7,2,FALSE),"Missing")</f>
        <v>Kangeyam</v>
      </c>
      <c r="S708" s="25" t="str">
        <f>IFERROR(VLOOKUP(tbl_clean_sales[[#This Row],[Branch_ID]],'04_Branch_Master'!$A$1:$C$7,3,FALSE),"Missing")</f>
        <v>East</v>
      </c>
      <c r="T708" s="25" t="str">
        <f>C708&amp;"|"&amp;TEXT(tbl_clean_sales[[#This Row],[Date]],"yyyymm")</f>
        <v>E008|202604</v>
      </c>
      <c r="U708" s="25">
        <f>IFERROR(INDEX('05_Target_Master'!$A$1:$F$32,MATCH(tbl_clean_sales[[#This Row],[target key]],'05_Target_Master'!$F$1:$F$32,0),3),"Missing")</f>
        <v>124100</v>
      </c>
    </row>
    <row r="709" spans="1:21" x14ac:dyDescent="0.3">
      <c r="A709" s="21">
        <v>46138</v>
      </c>
      <c r="B709" s="22" t="s">
        <v>746</v>
      </c>
      <c r="C709" s="22" t="s">
        <v>12</v>
      </c>
      <c r="D709" s="22" t="s">
        <v>9</v>
      </c>
      <c r="E709" s="22" t="s">
        <v>32</v>
      </c>
      <c r="F709" s="22">
        <v>4</v>
      </c>
      <c r="G709" s="23">
        <v>1058.57</v>
      </c>
      <c r="H709" s="25" t="str">
        <f>IF(COUNTIF(tbl_clean_sales[Invoice_ID],tbl_clean_sales[[#This Row],[Invoice_ID]])&gt;1,"Duplicate","Unique")</f>
        <v>Unique</v>
      </c>
      <c r="I709" s="25"/>
      <c r="J70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09" s="25" t="str">
        <f>IFERROR(VLOOKUP(tbl_clean_sales[[#This Row],[Employee_ID]],'02_Employee_Master'!$A$1:$C$12,2,FALSE),"Employee Name Missing")</f>
        <v>Divya R</v>
      </c>
      <c r="L709" s="25" t="str">
        <f>IFERROR(VLOOKUP(tbl_clean_sales[[#This Row],[Employee_ID]],'02_Employee_Master'!$A$1:$C$12,3,FALSE),"Department Name Missing")</f>
        <v>Sales</v>
      </c>
      <c r="M709" s="25" t="str">
        <f>IF('03_Clean_data'!D709="","Missing",IFERROR(IF(VLOOKUP(D709,'03_Product_Master'!$A$1:$D$14,1,FALSE)='03_Clean_data'!D709,"Valid","Invalid"),"Invalid"))</f>
        <v>Valid</v>
      </c>
      <c r="N709" s="25" t="str">
        <f>IFERROR(VLOOKUP(tbl_clean_sales[[#This Row],[Product_ID]],'03_Product_Master'!$A$1:$D$14,2,FALSE),"Missing")</f>
        <v>Green Tea</v>
      </c>
      <c r="O709" s="25" t="str">
        <f>IFERROR(VLOOKUP(tbl_clean_sales[[#This Row],[Product_ID]],'03_Product_Master'!$A$1:$D$14,3,FALSE),"Missing")</f>
        <v>Beverages</v>
      </c>
      <c r="P709" s="25">
        <f>IFERROR(VLOOKUP(tbl_clean_sales[[#This Row],[Product_ID]],'03_Product_Master'!$A$1:$D$14,4,FALSE),"Missing")</f>
        <v>280</v>
      </c>
      <c r="Q709" s="25" t="str">
        <f>IF('03_Clean_data'!E709="","Missing",IFERROR(IF(VLOOKUP(E709,'04_Branch_Master'!$A$1:$C$7,1,FALSE)='03_Clean_data'!E709,"Valid","Invalid"),"Invalid"))</f>
        <v>Valid</v>
      </c>
      <c r="R709" s="25" t="str">
        <f>IFERROR(VLOOKUP(tbl_clean_sales[[#This Row],[Branch_ID]],'04_Branch_Master'!$A$1:$C$7,2,FALSE),"Missing")</f>
        <v>Kangeyam</v>
      </c>
      <c r="S709" s="25" t="str">
        <f>IFERROR(VLOOKUP(tbl_clean_sales[[#This Row],[Branch_ID]],'04_Branch_Master'!$A$1:$C$7,3,FALSE),"Missing")</f>
        <v>East</v>
      </c>
      <c r="T709" s="25" t="str">
        <f>C709&amp;"|"&amp;TEXT(tbl_clean_sales[[#This Row],[Date]],"yyyymm")</f>
        <v>E004|202604</v>
      </c>
      <c r="U709" s="25">
        <f>IFERROR(INDEX('05_Target_Master'!$A$1:$F$32,MATCH(tbl_clean_sales[[#This Row],[target key]],'05_Target_Master'!$F$1:$F$32,0),3),"Missing")</f>
        <v>163600</v>
      </c>
    </row>
    <row r="710" spans="1:21" x14ac:dyDescent="0.3">
      <c r="A710" s="21">
        <v>46137</v>
      </c>
      <c r="B710" s="22" t="s">
        <v>747</v>
      </c>
      <c r="C710" s="22" t="s">
        <v>40</v>
      </c>
      <c r="D710" s="22" t="s">
        <v>9</v>
      </c>
      <c r="E710" s="22" t="s">
        <v>26</v>
      </c>
      <c r="F710" s="22">
        <v>1</v>
      </c>
      <c r="G710" s="23">
        <v>248.87</v>
      </c>
      <c r="H710" s="25" t="str">
        <f>IF(COUNTIF(tbl_clean_sales[Invoice_ID],tbl_clean_sales[[#This Row],[Invoice_ID]])&gt;1,"Duplicate","Unique")</f>
        <v>Unique</v>
      </c>
      <c r="I710" s="25"/>
      <c r="J71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0" s="25" t="str">
        <f>IFERROR(VLOOKUP(tbl_clean_sales[[#This Row],[Employee_ID]],'02_Employee_Master'!$A$1:$C$12,2,FALSE),"Employee Name Missing")</f>
        <v>Meena V</v>
      </c>
      <c r="L710" s="25" t="str">
        <f>IFERROR(VLOOKUP(tbl_clean_sales[[#This Row],[Employee_ID]],'02_Employee_Master'!$A$1:$C$12,3,FALSE),"Department Name Missing")</f>
        <v>Sales</v>
      </c>
      <c r="M710" s="25" t="str">
        <f>IF('03_Clean_data'!D710="","Missing",IFERROR(IF(VLOOKUP(D710,'03_Product_Master'!$A$1:$D$14,1,FALSE)='03_Clean_data'!D710,"Valid","Invalid"),"Invalid"))</f>
        <v>Valid</v>
      </c>
      <c r="N710" s="25" t="str">
        <f>IFERROR(VLOOKUP(tbl_clean_sales[[#This Row],[Product_ID]],'03_Product_Master'!$A$1:$D$14,2,FALSE),"Missing")</f>
        <v>Green Tea</v>
      </c>
      <c r="O710" s="25" t="str">
        <f>IFERROR(VLOOKUP(tbl_clean_sales[[#This Row],[Product_ID]],'03_Product_Master'!$A$1:$D$14,3,FALSE),"Missing")</f>
        <v>Beverages</v>
      </c>
      <c r="P710" s="25">
        <f>IFERROR(VLOOKUP(tbl_clean_sales[[#This Row],[Product_ID]],'03_Product_Master'!$A$1:$D$14,4,FALSE),"Missing")</f>
        <v>280</v>
      </c>
      <c r="Q710" s="25" t="str">
        <f>IF('03_Clean_data'!E710="","Missing",IFERROR(IF(VLOOKUP(E710,'04_Branch_Master'!$A$1:$C$7,1,FALSE)='03_Clean_data'!E710,"Valid","Invalid"),"Invalid"))</f>
        <v>Valid</v>
      </c>
      <c r="R710" s="25" t="str">
        <f>IFERROR(VLOOKUP(tbl_clean_sales[[#This Row],[Branch_ID]],'04_Branch_Master'!$A$1:$C$7,2,FALSE),"Missing")</f>
        <v>Palladam</v>
      </c>
      <c r="S710" s="25" t="str">
        <f>IFERROR(VLOOKUP(tbl_clean_sales[[#This Row],[Branch_ID]],'04_Branch_Master'!$A$1:$C$7,3,FALSE),"Missing")</f>
        <v>South</v>
      </c>
      <c r="T710" s="25" t="str">
        <f>C710&amp;"|"&amp;TEXT(tbl_clean_sales[[#This Row],[Date]],"yyyymm")</f>
        <v>E006|202604</v>
      </c>
      <c r="U710" s="25">
        <f>IFERROR(INDEX('05_Target_Master'!$A$1:$F$32,MATCH(tbl_clean_sales[[#This Row],[target key]],'05_Target_Master'!$F$1:$F$32,0),3),"Missing")</f>
        <v>131000</v>
      </c>
    </row>
    <row r="711" spans="1:21" x14ac:dyDescent="0.3">
      <c r="A711" s="21">
        <v>46199</v>
      </c>
      <c r="B711" s="22" t="s">
        <v>748</v>
      </c>
      <c r="C711" s="22" t="s">
        <v>29</v>
      </c>
      <c r="D711" s="22" t="s">
        <v>9</v>
      </c>
      <c r="E711" s="22" t="s">
        <v>10</v>
      </c>
      <c r="F711" s="22">
        <v>8</v>
      </c>
      <c r="G711" s="23">
        <v>2117.0500000000002</v>
      </c>
      <c r="H711" s="25" t="str">
        <f>IF(COUNTIF(tbl_clean_sales[Invoice_ID],tbl_clean_sales[[#This Row],[Invoice_ID]])&gt;1,"Duplicate","Unique")</f>
        <v>Unique</v>
      </c>
      <c r="I711" s="25"/>
      <c r="J71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1" s="25" t="str">
        <f>IFERROR(VLOOKUP(tbl_clean_sales[[#This Row],[Employee_ID]],'02_Employee_Master'!$A$1:$C$12,2,FALSE),"Employee Name Missing")</f>
        <v>Swetha L</v>
      </c>
      <c r="L711" s="25" t="str">
        <f>IFERROR(VLOOKUP(tbl_clean_sales[[#This Row],[Employee_ID]],'02_Employee_Master'!$A$1:$C$12,3,FALSE),"Department Name Missing")</f>
        <v>Sales</v>
      </c>
      <c r="M711" s="25" t="str">
        <f>IF('03_Clean_data'!D711="","Missing",IFERROR(IF(VLOOKUP(D711,'03_Product_Master'!$A$1:$D$14,1,FALSE)='03_Clean_data'!D711,"Valid","Invalid"),"Invalid"))</f>
        <v>Valid</v>
      </c>
      <c r="N711" s="25" t="str">
        <f>IFERROR(VLOOKUP(tbl_clean_sales[[#This Row],[Product_ID]],'03_Product_Master'!$A$1:$D$14,2,FALSE),"Missing")</f>
        <v>Green Tea</v>
      </c>
      <c r="O711" s="25" t="str">
        <f>IFERROR(VLOOKUP(tbl_clean_sales[[#This Row],[Product_ID]],'03_Product_Master'!$A$1:$D$14,3,FALSE),"Missing")</f>
        <v>Beverages</v>
      </c>
      <c r="P711" s="25">
        <f>IFERROR(VLOOKUP(tbl_clean_sales[[#This Row],[Product_ID]],'03_Product_Master'!$A$1:$D$14,4,FALSE),"Missing")</f>
        <v>280</v>
      </c>
      <c r="Q711" s="25" t="str">
        <f>IF('03_Clean_data'!E711="","Missing",IFERROR(IF(VLOOKUP(E711,'04_Branch_Master'!$A$1:$C$7,1,FALSE)='03_Clean_data'!E711,"Valid","Invalid"),"Invalid"))</f>
        <v>Valid</v>
      </c>
      <c r="R711" s="25" t="str">
        <f>IFERROR(VLOOKUP(tbl_clean_sales[[#This Row],[Branch_ID]],'04_Branch_Master'!$A$1:$C$7,2,FALSE),"Missing")</f>
        <v>Dharapuram</v>
      </c>
      <c r="S711" s="25" t="str">
        <f>IFERROR(VLOOKUP(tbl_clean_sales[[#This Row],[Branch_ID]],'04_Branch_Master'!$A$1:$C$7,3,FALSE),"Missing")</f>
        <v>South</v>
      </c>
      <c r="T711" s="25" t="str">
        <f>C711&amp;"|"&amp;TEXT(tbl_clean_sales[[#This Row],[Date]],"yyyymm")</f>
        <v>E010|202606</v>
      </c>
      <c r="U711" s="25">
        <f>IFERROR(INDEX('05_Target_Master'!$A$1:$F$32,MATCH(tbl_clean_sales[[#This Row],[target key]],'05_Target_Master'!$F$1:$F$32,0),3),"Missing")</f>
        <v>116800</v>
      </c>
    </row>
    <row r="712" spans="1:21" x14ac:dyDescent="0.3">
      <c r="A712" s="21">
        <v>46188</v>
      </c>
      <c r="B712" s="22" t="s">
        <v>749</v>
      </c>
      <c r="C712" s="22" t="s">
        <v>8</v>
      </c>
      <c r="D712" s="22" t="s">
        <v>53</v>
      </c>
      <c r="E712" s="22" t="s">
        <v>22</v>
      </c>
      <c r="F712" s="22">
        <v>9</v>
      </c>
      <c r="G712" s="23">
        <v>2871.71</v>
      </c>
      <c r="H712" s="25" t="str">
        <f>IF(COUNTIF(tbl_clean_sales[Invoice_ID],tbl_clean_sales[[#This Row],[Invoice_ID]])&gt;1,"Duplicate","Unique")</f>
        <v>Unique</v>
      </c>
      <c r="I712" s="25"/>
      <c r="J71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2" s="25" t="str">
        <f>IFERROR(VLOOKUP(tbl_clean_sales[[#This Row],[Employee_ID]],'02_Employee_Master'!$A$1:$C$12,2,FALSE),"Employee Name Missing")</f>
        <v>Vignesh R</v>
      </c>
      <c r="L712" s="25" t="str">
        <f>IFERROR(VLOOKUP(tbl_clean_sales[[#This Row],[Employee_ID]],'02_Employee_Master'!$A$1:$C$12,3,FALSE),"Department Name Missing")</f>
        <v>Sales</v>
      </c>
      <c r="M712" s="25" t="str">
        <f>IF('03_Clean_data'!D712="","Missing",IFERROR(IF(VLOOKUP(D712,'03_Product_Master'!$A$1:$D$14,1,FALSE)='03_Clean_data'!D712,"Valid","Invalid"),"Invalid"))</f>
        <v>Valid</v>
      </c>
      <c r="N712" s="25" t="str">
        <f>IFERROR(VLOOKUP(tbl_clean_sales[[#This Row],[Product_ID]],'03_Product_Master'!$A$1:$D$14,2,FALSE),"Missing")</f>
        <v>Instant Coffee</v>
      </c>
      <c r="O712" s="25" t="str">
        <f>IFERROR(VLOOKUP(tbl_clean_sales[[#This Row],[Product_ID]],'03_Product_Master'!$A$1:$D$14,3,FALSE),"Missing")</f>
        <v>Beverages</v>
      </c>
      <c r="P712" s="25">
        <f>IFERROR(VLOOKUP(tbl_clean_sales[[#This Row],[Product_ID]],'03_Product_Master'!$A$1:$D$14,4,FALSE),"Missing")</f>
        <v>350</v>
      </c>
      <c r="Q712" s="25" t="str">
        <f>IF('03_Clean_data'!E712="","Missing",IFERROR(IF(VLOOKUP(E712,'04_Branch_Master'!$A$1:$C$7,1,FALSE)='03_Clean_data'!E712,"Valid","Invalid"),"Invalid"))</f>
        <v>Valid</v>
      </c>
      <c r="R712" s="25" t="str">
        <f>IFERROR(VLOOKUP(tbl_clean_sales[[#This Row],[Branch_ID]],'04_Branch_Master'!$A$1:$C$7,2,FALSE),"Missing")</f>
        <v>Tirupur Central</v>
      </c>
      <c r="S712" s="25" t="str">
        <f>IFERROR(VLOOKUP(tbl_clean_sales[[#This Row],[Branch_ID]],'04_Branch_Master'!$A$1:$C$7,3,FALSE),"Missing")</f>
        <v>North</v>
      </c>
      <c r="T712" s="25" t="str">
        <f>C712&amp;"|"&amp;TEXT(tbl_clean_sales[[#This Row],[Date]],"yyyymm")</f>
        <v>E009|202606</v>
      </c>
      <c r="U712" s="25">
        <f>IFERROR(INDEX('05_Target_Master'!$A$1:$F$32,MATCH(tbl_clean_sales[[#This Row],[target key]],'05_Target_Master'!$F$1:$F$32,0),3),"Missing")</f>
        <v>156700</v>
      </c>
    </row>
    <row r="713" spans="1:21" x14ac:dyDescent="0.3">
      <c r="A713" s="21">
        <v>46183</v>
      </c>
      <c r="B713" s="22" t="s">
        <v>750</v>
      </c>
      <c r="C713" s="22" t="s">
        <v>46</v>
      </c>
      <c r="D713" s="22" t="s">
        <v>36</v>
      </c>
      <c r="E713" s="22" t="s">
        <v>32</v>
      </c>
      <c r="F713" s="22">
        <v>9</v>
      </c>
      <c r="G713" s="23">
        <v>1549.72</v>
      </c>
      <c r="H713" s="25" t="str">
        <f>IF(COUNTIF(tbl_clean_sales[Invoice_ID],tbl_clean_sales[[#This Row],[Invoice_ID]])&gt;1,"Duplicate","Unique")</f>
        <v>Unique</v>
      </c>
      <c r="I713" s="25"/>
      <c r="J71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3" s="25" t="str">
        <f>IFERROR(VLOOKUP(tbl_clean_sales[[#This Row],[Employee_ID]],'02_Employee_Master'!$A$1:$C$12,2,FALSE),"Employee Name Missing")</f>
        <v>Suresh B</v>
      </c>
      <c r="L713" s="25" t="str">
        <f>IFERROR(VLOOKUP(tbl_clean_sales[[#This Row],[Employee_ID]],'02_Employee_Master'!$A$1:$C$12,3,FALSE),"Department Name Missing")</f>
        <v>Sales</v>
      </c>
      <c r="M713" s="25" t="str">
        <f>IF('03_Clean_data'!D713="","Missing",IFERROR(IF(VLOOKUP(D713,'03_Product_Master'!$A$1:$D$14,1,FALSE)='03_Clean_data'!D713,"Valid","Invalid"),"Invalid"))</f>
        <v>Valid</v>
      </c>
      <c r="N713" s="25" t="str">
        <f>IFERROR(VLOOKUP(tbl_clean_sales[[#This Row],[Product_ID]],'03_Product_Master'!$A$1:$D$14,2,FALSE),"Missing")</f>
        <v>Dish Wash</v>
      </c>
      <c r="O713" s="25" t="str">
        <f>IFERROR(VLOOKUP(tbl_clean_sales[[#This Row],[Product_ID]],'03_Product_Master'!$A$1:$D$14,3,FALSE),"Missing")</f>
        <v>Home Care</v>
      </c>
      <c r="P713" s="25">
        <f>IFERROR(VLOOKUP(tbl_clean_sales[[#This Row],[Product_ID]],'03_Product_Master'!$A$1:$D$14,4,FALSE),"Missing")</f>
        <v>190</v>
      </c>
      <c r="Q713" s="25" t="str">
        <f>IF('03_Clean_data'!E713="","Missing",IFERROR(IF(VLOOKUP(E713,'04_Branch_Master'!$A$1:$C$7,1,FALSE)='03_Clean_data'!E713,"Valid","Invalid"),"Invalid"))</f>
        <v>Valid</v>
      </c>
      <c r="R713" s="25" t="str">
        <f>IFERROR(VLOOKUP(tbl_clean_sales[[#This Row],[Branch_ID]],'04_Branch_Master'!$A$1:$C$7,2,FALSE),"Missing")</f>
        <v>Kangeyam</v>
      </c>
      <c r="S713" s="25" t="str">
        <f>IFERROR(VLOOKUP(tbl_clean_sales[[#This Row],[Branch_ID]],'04_Branch_Master'!$A$1:$C$7,3,FALSE),"Missing")</f>
        <v>East</v>
      </c>
      <c r="T713" s="25" t="str">
        <f>C713&amp;"|"&amp;TEXT(tbl_clean_sales[[#This Row],[Date]],"yyyymm")</f>
        <v>E007|202606</v>
      </c>
      <c r="U713" s="25">
        <f>IFERROR(INDEX('05_Target_Master'!$A$1:$F$32,MATCH(tbl_clean_sales[[#This Row],[target key]],'05_Target_Master'!$F$1:$F$32,0),3),"Missing")</f>
        <v>124400</v>
      </c>
    </row>
    <row r="714" spans="1:21" x14ac:dyDescent="0.3">
      <c r="A714" s="21">
        <v>46135</v>
      </c>
      <c r="B714" s="22" t="s">
        <v>751</v>
      </c>
      <c r="C714" s="22" t="s">
        <v>29</v>
      </c>
      <c r="D714" s="22" t="s">
        <v>53</v>
      </c>
      <c r="E714" s="22" t="s">
        <v>10</v>
      </c>
      <c r="F714" s="22">
        <v>3</v>
      </c>
      <c r="G714" s="23">
        <v>1036.95</v>
      </c>
      <c r="H714" s="25" t="str">
        <f>IF(COUNTIF(tbl_clean_sales[Invoice_ID],tbl_clean_sales[[#This Row],[Invoice_ID]])&gt;1,"Duplicate","Unique")</f>
        <v>Unique</v>
      </c>
      <c r="I714" s="25"/>
      <c r="J71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4" s="25" t="str">
        <f>IFERROR(VLOOKUP(tbl_clean_sales[[#This Row],[Employee_ID]],'02_Employee_Master'!$A$1:$C$12,2,FALSE),"Employee Name Missing")</f>
        <v>Swetha L</v>
      </c>
      <c r="L714" s="25" t="str">
        <f>IFERROR(VLOOKUP(tbl_clean_sales[[#This Row],[Employee_ID]],'02_Employee_Master'!$A$1:$C$12,3,FALSE),"Department Name Missing")</f>
        <v>Sales</v>
      </c>
      <c r="M714" s="25" t="str">
        <f>IF('03_Clean_data'!D714="","Missing",IFERROR(IF(VLOOKUP(D714,'03_Product_Master'!$A$1:$D$14,1,FALSE)='03_Clean_data'!D714,"Valid","Invalid"),"Invalid"))</f>
        <v>Valid</v>
      </c>
      <c r="N714" s="25" t="str">
        <f>IFERROR(VLOOKUP(tbl_clean_sales[[#This Row],[Product_ID]],'03_Product_Master'!$A$1:$D$14,2,FALSE),"Missing")</f>
        <v>Instant Coffee</v>
      </c>
      <c r="O714" s="25" t="str">
        <f>IFERROR(VLOOKUP(tbl_clean_sales[[#This Row],[Product_ID]],'03_Product_Master'!$A$1:$D$14,3,FALSE),"Missing")</f>
        <v>Beverages</v>
      </c>
      <c r="P714" s="25">
        <f>IFERROR(VLOOKUP(tbl_clean_sales[[#This Row],[Product_ID]],'03_Product_Master'!$A$1:$D$14,4,FALSE),"Missing")</f>
        <v>350</v>
      </c>
      <c r="Q714" s="25" t="str">
        <f>IF('03_Clean_data'!E714="","Missing",IFERROR(IF(VLOOKUP(E714,'04_Branch_Master'!$A$1:$C$7,1,FALSE)='03_Clean_data'!E714,"Valid","Invalid"),"Invalid"))</f>
        <v>Valid</v>
      </c>
      <c r="R714" s="25" t="str">
        <f>IFERROR(VLOOKUP(tbl_clean_sales[[#This Row],[Branch_ID]],'04_Branch_Master'!$A$1:$C$7,2,FALSE),"Missing")</f>
        <v>Dharapuram</v>
      </c>
      <c r="S714" s="25" t="str">
        <f>IFERROR(VLOOKUP(tbl_clean_sales[[#This Row],[Branch_ID]],'04_Branch_Master'!$A$1:$C$7,3,FALSE),"Missing")</f>
        <v>South</v>
      </c>
      <c r="T714" s="25" t="str">
        <f>C714&amp;"|"&amp;TEXT(tbl_clean_sales[[#This Row],[Date]],"yyyymm")</f>
        <v>E010|202604</v>
      </c>
      <c r="U714" s="25">
        <f>IFERROR(INDEX('05_Target_Master'!$A$1:$F$32,MATCH(tbl_clean_sales[[#This Row],[target key]],'05_Target_Master'!$F$1:$F$32,0),3),"Missing")</f>
        <v>121700</v>
      </c>
    </row>
    <row r="715" spans="1:21" x14ac:dyDescent="0.3">
      <c r="A715" s="21">
        <v>46197</v>
      </c>
      <c r="B715" s="22" t="s">
        <v>752</v>
      </c>
      <c r="C715" s="22" t="s">
        <v>29</v>
      </c>
      <c r="D715" s="22" t="s">
        <v>36</v>
      </c>
      <c r="E715" s="22" t="s">
        <v>10</v>
      </c>
      <c r="F715" s="22">
        <v>7</v>
      </c>
      <c r="G715" s="23">
        <v>1263.18</v>
      </c>
      <c r="H715" s="25" t="str">
        <f>IF(COUNTIF(tbl_clean_sales[Invoice_ID],tbl_clean_sales[[#This Row],[Invoice_ID]])&gt;1,"Duplicate","Unique")</f>
        <v>Unique</v>
      </c>
      <c r="I715" s="25"/>
      <c r="J71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5" s="25" t="str">
        <f>IFERROR(VLOOKUP(tbl_clean_sales[[#This Row],[Employee_ID]],'02_Employee_Master'!$A$1:$C$12,2,FALSE),"Employee Name Missing")</f>
        <v>Swetha L</v>
      </c>
      <c r="L715" s="25" t="str">
        <f>IFERROR(VLOOKUP(tbl_clean_sales[[#This Row],[Employee_ID]],'02_Employee_Master'!$A$1:$C$12,3,FALSE),"Department Name Missing")</f>
        <v>Sales</v>
      </c>
      <c r="M715" s="25" t="str">
        <f>IF('03_Clean_data'!D715="","Missing",IFERROR(IF(VLOOKUP(D715,'03_Product_Master'!$A$1:$D$14,1,FALSE)='03_Clean_data'!D715,"Valid","Invalid"),"Invalid"))</f>
        <v>Valid</v>
      </c>
      <c r="N715" s="25" t="str">
        <f>IFERROR(VLOOKUP(tbl_clean_sales[[#This Row],[Product_ID]],'03_Product_Master'!$A$1:$D$14,2,FALSE),"Missing")</f>
        <v>Dish Wash</v>
      </c>
      <c r="O715" s="25" t="str">
        <f>IFERROR(VLOOKUP(tbl_clean_sales[[#This Row],[Product_ID]],'03_Product_Master'!$A$1:$D$14,3,FALSE),"Missing")</f>
        <v>Home Care</v>
      </c>
      <c r="P715" s="25">
        <f>IFERROR(VLOOKUP(tbl_clean_sales[[#This Row],[Product_ID]],'03_Product_Master'!$A$1:$D$14,4,FALSE),"Missing")</f>
        <v>190</v>
      </c>
      <c r="Q715" s="25" t="str">
        <f>IF('03_Clean_data'!E715="","Missing",IFERROR(IF(VLOOKUP(E715,'04_Branch_Master'!$A$1:$C$7,1,FALSE)='03_Clean_data'!E715,"Valid","Invalid"),"Invalid"))</f>
        <v>Valid</v>
      </c>
      <c r="R715" s="25" t="str">
        <f>IFERROR(VLOOKUP(tbl_clean_sales[[#This Row],[Branch_ID]],'04_Branch_Master'!$A$1:$C$7,2,FALSE),"Missing")</f>
        <v>Dharapuram</v>
      </c>
      <c r="S715" s="25" t="str">
        <f>IFERROR(VLOOKUP(tbl_clean_sales[[#This Row],[Branch_ID]],'04_Branch_Master'!$A$1:$C$7,3,FALSE),"Missing")</f>
        <v>South</v>
      </c>
      <c r="T715" s="25" t="str">
        <f>C715&amp;"|"&amp;TEXT(tbl_clean_sales[[#This Row],[Date]],"yyyymm")</f>
        <v>E010|202606</v>
      </c>
      <c r="U715" s="25">
        <f>IFERROR(INDEX('05_Target_Master'!$A$1:$F$32,MATCH(tbl_clean_sales[[#This Row],[target key]],'05_Target_Master'!$F$1:$F$32,0),3),"Missing")</f>
        <v>116800</v>
      </c>
    </row>
    <row r="716" spans="1:21" x14ac:dyDescent="0.3">
      <c r="A716" s="21">
        <v>46190</v>
      </c>
      <c r="B716" s="22" t="s">
        <v>753</v>
      </c>
      <c r="C716" s="22" t="s">
        <v>12</v>
      </c>
      <c r="D716" s="22" t="s">
        <v>82</v>
      </c>
      <c r="E716" s="22" t="s">
        <v>14</v>
      </c>
      <c r="F716" s="22">
        <v>6</v>
      </c>
      <c r="G716" s="23">
        <v>636.15</v>
      </c>
      <c r="H716" s="25" t="str">
        <f>IF(COUNTIF(tbl_clean_sales[Invoice_ID],tbl_clean_sales[[#This Row],[Invoice_ID]])&gt;1,"Duplicate","Unique")</f>
        <v>Unique</v>
      </c>
      <c r="I716" s="25"/>
      <c r="J71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6" s="25" t="str">
        <f>IFERROR(VLOOKUP(tbl_clean_sales[[#This Row],[Employee_ID]],'02_Employee_Master'!$A$1:$C$12,2,FALSE),"Employee Name Missing")</f>
        <v>Divya R</v>
      </c>
      <c r="L716" s="25" t="str">
        <f>IFERROR(VLOOKUP(tbl_clean_sales[[#This Row],[Employee_ID]],'02_Employee_Master'!$A$1:$C$12,3,FALSE),"Department Name Missing")</f>
        <v>Sales</v>
      </c>
      <c r="M716" s="25" t="str">
        <f>IF('03_Clean_data'!D716="","Missing",IFERROR(IF(VLOOKUP(D716,'03_Product_Master'!$A$1:$D$14,1,FALSE)='03_Clean_data'!D716,"Valid","Invalid"),"Invalid"))</f>
        <v>Valid</v>
      </c>
      <c r="N716" s="25" t="str">
        <f>IFERROR(VLOOKUP(tbl_clean_sales[[#This Row],[Product_ID]],'03_Product_Master'!$A$1:$D$14,2,FALSE),"Missing")</f>
        <v>Chocolate Bar</v>
      </c>
      <c r="O716" s="25" t="str">
        <f>IFERROR(VLOOKUP(tbl_clean_sales[[#This Row],[Product_ID]],'03_Product_Master'!$A$1:$D$14,3,FALSE),"Missing")</f>
        <v>Snacks</v>
      </c>
      <c r="P716" s="25">
        <f>IFERROR(VLOOKUP(tbl_clean_sales[[#This Row],[Product_ID]],'03_Product_Master'!$A$1:$D$14,4,FALSE),"Missing")</f>
        <v>120</v>
      </c>
      <c r="Q716" s="25" t="str">
        <f>IF('03_Clean_data'!E716="","Missing",IFERROR(IF(VLOOKUP(E716,'04_Branch_Master'!$A$1:$C$7,1,FALSE)='03_Clean_data'!E716,"Valid","Invalid"),"Invalid"))</f>
        <v>Valid</v>
      </c>
      <c r="R716" s="25" t="str">
        <f>IFERROR(VLOOKUP(tbl_clean_sales[[#This Row],[Branch_ID]],'04_Branch_Master'!$A$1:$C$7,2,FALSE),"Missing")</f>
        <v>Avinashi Road</v>
      </c>
      <c r="S716" s="25" t="str">
        <f>IFERROR(VLOOKUP(tbl_clean_sales[[#This Row],[Branch_ID]],'04_Branch_Master'!$A$1:$C$7,3,FALSE),"Missing")</f>
        <v>North</v>
      </c>
      <c r="T716" s="25" t="str">
        <f>C716&amp;"|"&amp;TEXT(tbl_clean_sales[[#This Row],[Date]],"yyyymm")</f>
        <v>E004|202606</v>
      </c>
      <c r="U716" s="25">
        <f>IFERROR(INDEX('05_Target_Master'!$A$1:$F$32,MATCH(tbl_clean_sales[[#This Row],[target key]],'05_Target_Master'!$F$1:$F$32,0),3),"Missing")</f>
        <v>157100</v>
      </c>
    </row>
    <row r="717" spans="1:21" x14ac:dyDescent="0.3">
      <c r="A717" s="21">
        <v>46170</v>
      </c>
      <c r="B717" s="22" t="s">
        <v>754</v>
      </c>
      <c r="C717" s="22" t="s">
        <v>18</v>
      </c>
      <c r="D717" s="22" t="s">
        <v>53</v>
      </c>
      <c r="E717" s="22" t="s">
        <v>14</v>
      </c>
      <c r="F717" s="22">
        <v>12</v>
      </c>
      <c r="G717" s="23">
        <v>3753.24</v>
      </c>
      <c r="H717" s="25" t="str">
        <f>IF(COUNTIF(tbl_clean_sales[Invoice_ID],tbl_clean_sales[[#This Row],[Invoice_ID]])&gt;1,"Duplicate","Unique")</f>
        <v>Unique</v>
      </c>
      <c r="I717" s="25"/>
      <c r="J71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7" s="25" t="str">
        <f>IFERROR(VLOOKUP(tbl_clean_sales[[#This Row],[Employee_ID]],'02_Employee_Master'!$A$1:$C$12,2,FALSE),"Employee Name Missing")</f>
        <v>Rahul M</v>
      </c>
      <c r="L717" s="25" t="str">
        <f>IFERROR(VLOOKUP(tbl_clean_sales[[#This Row],[Employee_ID]],'02_Employee_Master'!$A$1:$C$12,3,FALSE),"Department Name Missing")</f>
        <v>Sales</v>
      </c>
      <c r="M717" s="25" t="str">
        <f>IF('03_Clean_data'!D717="","Missing",IFERROR(IF(VLOOKUP(D717,'03_Product_Master'!$A$1:$D$14,1,FALSE)='03_Clean_data'!D717,"Valid","Invalid"),"Invalid"))</f>
        <v>Valid</v>
      </c>
      <c r="N717" s="25" t="str">
        <f>IFERROR(VLOOKUP(tbl_clean_sales[[#This Row],[Product_ID]],'03_Product_Master'!$A$1:$D$14,2,FALSE),"Missing")</f>
        <v>Instant Coffee</v>
      </c>
      <c r="O717" s="25" t="str">
        <f>IFERROR(VLOOKUP(tbl_clean_sales[[#This Row],[Product_ID]],'03_Product_Master'!$A$1:$D$14,3,FALSE),"Missing")</f>
        <v>Beverages</v>
      </c>
      <c r="P717" s="25">
        <f>IFERROR(VLOOKUP(tbl_clean_sales[[#This Row],[Product_ID]],'03_Product_Master'!$A$1:$D$14,4,FALSE),"Missing")</f>
        <v>350</v>
      </c>
      <c r="Q717" s="25" t="str">
        <f>IF('03_Clean_data'!E717="","Missing",IFERROR(IF(VLOOKUP(E717,'04_Branch_Master'!$A$1:$C$7,1,FALSE)='03_Clean_data'!E717,"Valid","Invalid"),"Invalid"))</f>
        <v>Valid</v>
      </c>
      <c r="R717" s="25" t="str">
        <f>IFERROR(VLOOKUP(tbl_clean_sales[[#This Row],[Branch_ID]],'04_Branch_Master'!$A$1:$C$7,2,FALSE),"Missing")</f>
        <v>Avinashi Road</v>
      </c>
      <c r="S717" s="25" t="str">
        <f>IFERROR(VLOOKUP(tbl_clean_sales[[#This Row],[Branch_ID]],'04_Branch_Master'!$A$1:$C$7,3,FALSE),"Missing")</f>
        <v>North</v>
      </c>
      <c r="T717" s="25" t="str">
        <f>C717&amp;"|"&amp;TEXT(tbl_clean_sales[[#This Row],[Date]],"yyyymm")</f>
        <v>E003|202605</v>
      </c>
      <c r="U717" s="25">
        <f>IFERROR(INDEX('05_Target_Master'!$A$1:$F$32,MATCH(tbl_clean_sales[[#This Row],[target key]],'05_Target_Master'!$F$1:$F$32,0),3),"Missing")</f>
        <v>126000</v>
      </c>
    </row>
    <row r="718" spans="1:21" x14ac:dyDescent="0.3">
      <c r="A718" s="21">
        <v>46178</v>
      </c>
      <c r="B718" s="22" t="s">
        <v>755</v>
      </c>
      <c r="C718" s="22" t="s">
        <v>24</v>
      </c>
      <c r="D718" s="22" t="s">
        <v>19</v>
      </c>
      <c r="E718" s="22" t="s">
        <v>26</v>
      </c>
      <c r="F718" s="22">
        <v>6</v>
      </c>
      <c r="G718" s="23">
        <v>1262.1099999999999</v>
      </c>
      <c r="H718" s="25" t="str">
        <f>IF(COUNTIF(tbl_clean_sales[Invoice_ID],tbl_clean_sales[[#This Row],[Invoice_ID]])&gt;1,"Duplicate","Unique")</f>
        <v>Unique</v>
      </c>
      <c r="I718" s="25"/>
      <c r="J71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8" s="25" t="str">
        <f>IFERROR(VLOOKUP(tbl_clean_sales[[#This Row],[Employee_ID]],'02_Employee_Master'!$A$1:$C$12,2,FALSE),"Employee Name Missing")</f>
        <v>Karthik P</v>
      </c>
      <c r="L718" s="25" t="str">
        <f>IFERROR(VLOOKUP(tbl_clean_sales[[#This Row],[Employee_ID]],'02_Employee_Master'!$A$1:$C$12,3,FALSE),"Department Name Missing")</f>
        <v>Sales</v>
      </c>
      <c r="M718" s="25" t="str">
        <f>IF('03_Clean_data'!D718="","Missing",IFERROR(IF(VLOOKUP(D718,'03_Product_Master'!$A$1:$D$14,1,FALSE)='03_Clean_data'!D718,"Valid","Invalid"),"Invalid"))</f>
        <v>Valid</v>
      </c>
      <c r="N718" s="25" t="str">
        <f>IFERROR(VLOOKUP(tbl_clean_sales[[#This Row],[Product_ID]],'03_Product_Master'!$A$1:$D$14,2,FALSE),"Missing")</f>
        <v>Floor Cleaner</v>
      </c>
      <c r="O718" s="25" t="str">
        <f>IFERROR(VLOOKUP(tbl_clean_sales[[#This Row],[Product_ID]],'03_Product_Master'!$A$1:$D$14,3,FALSE),"Missing")</f>
        <v>Home Care</v>
      </c>
      <c r="P718" s="25">
        <f>IFERROR(VLOOKUP(tbl_clean_sales[[#This Row],[Product_ID]],'03_Product_Master'!$A$1:$D$14,4,FALSE),"Missing")</f>
        <v>230</v>
      </c>
      <c r="Q718" s="25" t="str">
        <f>IF('03_Clean_data'!E718="","Missing",IFERROR(IF(VLOOKUP(E718,'04_Branch_Master'!$A$1:$C$7,1,FALSE)='03_Clean_data'!E718,"Valid","Invalid"),"Invalid"))</f>
        <v>Valid</v>
      </c>
      <c r="R718" s="25" t="str">
        <f>IFERROR(VLOOKUP(tbl_clean_sales[[#This Row],[Branch_ID]],'04_Branch_Master'!$A$1:$C$7,2,FALSE),"Missing")</f>
        <v>Palladam</v>
      </c>
      <c r="S718" s="25" t="str">
        <f>IFERROR(VLOOKUP(tbl_clean_sales[[#This Row],[Branch_ID]],'04_Branch_Master'!$A$1:$C$7,3,FALSE),"Missing")</f>
        <v>South</v>
      </c>
      <c r="T718" s="25" t="str">
        <f>C718&amp;"|"&amp;TEXT(tbl_clean_sales[[#This Row],[Date]],"yyyymm")</f>
        <v>E005|202606</v>
      </c>
      <c r="U718" s="25">
        <f>IFERROR(INDEX('05_Target_Master'!$A$1:$F$32,MATCH(tbl_clean_sales[[#This Row],[target key]],'05_Target_Master'!$F$1:$F$32,0),3),"Missing")</f>
        <v>127700</v>
      </c>
    </row>
    <row r="719" spans="1:21" x14ac:dyDescent="0.3">
      <c r="A719" s="21">
        <v>46183</v>
      </c>
      <c r="B719" s="22" t="s">
        <v>756</v>
      </c>
      <c r="C719" s="22" t="s">
        <v>12</v>
      </c>
      <c r="D719" s="22" t="s">
        <v>30</v>
      </c>
      <c r="E719" s="22" t="s">
        <v>14</v>
      </c>
      <c r="F719" s="22">
        <v>12</v>
      </c>
      <c r="G719" s="23">
        <v>1853.05</v>
      </c>
      <c r="H719" s="25" t="str">
        <f>IF(COUNTIF(tbl_clean_sales[Invoice_ID],tbl_clean_sales[[#This Row],[Invoice_ID]])&gt;1,"Duplicate","Unique")</f>
        <v>Unique</v>
      </c>
      <c r="I719" s="25"/>
      <c r="J71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19" s="25" t="str">
        <f>IFERROR(VLOOKUP(tbl_clean_sales[[#This Row],[Employee_ID]],'02_Employee_Master'!$A$1:$C$12,2,FALSE),"Employee Name Missing")</f>
        <v>Divya R</v>
      </c>
      <c r="L719" s="25" t="str">
        <f>IFERROR(VLOOKUP(tbl_clean_sales[[#This Row],[Employee_ID]],'02_Employee_Master'!$A$1:$C$12,3,FALSE),"Department Name Missing")</f>
        <v>Sales</v>
      </c>
      <c r="M719" s="25" t="str">
        <f>IF('03_Clean_data'!D719="","Missing",IFERROR(IF(VLOOKUP(D719,'03_Product_Master'!$A$1:$D$14,1,FALSE)='03_Clean_data'!D719,"Valid","Invalid"),"Invalid"))</f>
        <v>Valid</v>
      </c>
      <c r="N719" s="25" t="str">
        <f>IFERROR(VLOOKUP(tbl_clean_sales[[#This Row],[Product_ID]],'03_Product_Master'!$A$1:$D$14,2,FALSE),"Missing")</f>
        <v>Cookies Pack</v>
      </c>
      <c r="O719" s="25" t="str">
        <f>IFERROR(VLOOKUP(tbl_clean_sales[[#This Row],[Product_ID]],'03_Product_Master'!$A$1:$D$14,3,FALSE),"Missing")</f>
        <v>Snacks</v>
      </c>
      <c r="P719" s="25">
        <f>IFERROR(VLOOKUP(tbl_clean_sales[[#This Row],[Product_ID]],'03_Product_Master'!$A$1:$D$14,4,FALSE),"Missing")</f>
        <v>160</v>
      </c>
      <c r="Q719" s="25" t="str">
        <f>IF('03_Clean_data'!E719="","Missing",IFERROR(IF(VLOOKUP(E719,'04_Branch_Master'!$A$1:$C$7,1,FALSE)='03_Clean_data'!E719,"Valid","Invalid"),"Invalid"))</f>
        <v>Valid</v>
      </c>
      <c r="R719" s="25" t="str">
        <f>IFERROR(VLOOKUP(tbl_clean_sales[[#This Row],[Branch_ID]],'04_Branch_Master'!$A$1:$C$7,2,FALSE),"Missing")</f>
        <v>Avinashi Road</v>
      </c>
      <c r="S719" s="25" t="str">
        <f>IFERROR(VLOOKUP(tbl_clean_sales[[#This Row],[Branch_ID]],'04_Branch_Master'!$A$1:$C$7,3,FALSE),"Missing")</f>
        <v>North</v>
      </c>
      <c r="T719" s="25" t="str">
        <f>C719&amp;"|"&amp;TEXT(tbl_clean_sales[[#This Row],[Date]],"yyyymm")</f>
        <v>E004|202606</v>
      </c>
      <c r="U719" s="25">
        <f>IFERROR(INDEX('05_Target_Master'!$A$1:$F$32,MATCH(tbl_clean_sales[[#This Row],[target key]],'05_Target_Master'!$F$1:$F$32,0),3),"Missing")</f>
        <v>157100</v>
      </c>
    </row>
    <row r="720" spans="1:21" x14ac:dyDescent="0.3">
      <c r="A720" s="21">
        <v>46157</v>
      </c>
      <c r="B720" s="22" t="s">
        <v>757</v>
      </c>
      <c r="C720" s="22" t="s">
        <v>18</v>
      </c>
      <c r="D720" s="22" t="s">
        <v>19</v>
      </c>
      <c r="E720" s="22" t="s">
        <v>14</v>
      </c>
      <c r="F720" s="22">
        <v>3</v>
      </c>
      <c r="G720" s="23">
        <v>648.28</v>
      </c>
      <c r="H720" s="25" t="str">
        <f>IF(COUNTIF(tbl_clean_sales[Invoice_ID],tbl_clean_sales[[#This Row],[Invoice_ID]])&gt;1,"Duplicate","Unique")</f>
        <v>Unique</v>
      </c>
      <c r="I720" s="25"/>
      <c r="J72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0" s="25" t="str">
        <f>IFERROR(VLOOKUP(tbl_clean_sales[[#This Row],[Employee_ID]],'02_Employee_Master'!$A$1:$C$12,2,FALSE),"Employee Name Missing")</f>
        <v>Rahul M</v>
      </c>
      <c r="L720" s="25" t="str">
        <f>IFERROR(VLOOKUP(tbl_clean_sales[[#This Row],[Employee_ID]],'02_Employee_Master'!$A$1:$C$12,3,FALSE),"Department Name Missing")</f>
        <v>Sales</v>
      </c>
      <c r="M720" s="25" t="str">
        <f>IF('03_Clean_data'!D720="","Missing",IFERROR(IF(VLOOKUP(D720,'03_Product_Master'!$A$1:$D$14,1,FALSE)='03_Clean_data'!D720,"Valid","Invalid"),"Invalid"))</f>
        <v>Valid</v>
      </c>
      <c r="N720" s="25" t="str">
        <f>IFERROR(VLOOKUP(tbl_clean_sales[[#This Row],[Product_ID]],'03_Product_Master'!$A$1:$D$14,2,FALSE),"Missing")</f>
        <v>Floor Cleaner</v>
      </c>
      <c r="O720" s="25" t="str">
        <f>IFERROR(VLOOKUP(tbl_clean_sales[[#This Row],[Product_ID]],'03_Product_Master'!$A$1:$D$14,3,FALSE),"Missing")</f>
        <v>Home Care</v>
      </c>
      <c r="P720" s="25">
        <f>IFERROR(VLOOKUP(tbl_clean_sales[[#This Row],[Product_ID]],'03_Product_Master'!$A$1:$D$14,4,FALSE),"Missing")</f>
        <v>230</v>
      </c>
      <c r="Q720" s="25" t="str">
        <f>IF('03_Clean_data'!E720="","Missing",IFERROR(IF(VLOOKUP(E720,'04_Branch_Master'!$A$1:$C$7,1,FALSE)='03_Clean_data'!E720,"Valid","Invalid"),"Invalid"))</f>
        <v>Valid</v>
      </c>
      <c r="R720" s="25" t="str">
        <f>IFERROR(VLOOKUP(tbl_clean_sales[[#This Row],[Branch_ID]],'04_Branch_Master'!$A$1:$C$7,2,FALSE),"Missing")</f>
        <v>Avinashi Road</v>
      </c>
      <c r="S720" s="25" t="str">
        <f>IFERROR(VLOOKUP(tbl_clean_sales[[#This Row],[Branch_ID]],'04_Branch_Master'!$A$1:$C$7,3,FALSE),"Missing")</f>
        <v>North</v>
      </c>
      <c r="T720" s="25" t="str">
        <f>C720&amp;"|"&amp;TEXT(tbl_clean_sales[[#This Row],[Date]],"yyyymm")</f>
        <v>E003|202605</v>
      </c>
      <c r="U720" s="25">
        <f>IFERROR(INDEX('05_Target_Master'!$A$1:$F$32,MATCH(tbl_clean_sales[[#This Row],[target key]],'05_Target_Master'!$F$1:$F$32,0),3),"Missing")</f>
        <v>126000</v>
      </c>
    </row>
    <row r="721" spans="1:21" x14ac:dyDescent="0.3">
      <c r="A721" s="21">
        <v>46201</v>
      </c>
      <c r="B721" s="22" t="s">
        <v>758</v>
      </c>
      <c r="C721" s="22" t="s">
        <v>40</v>
      </c>
      <c r="D721" s="22" t="s">
        <v>19</v>
      </c>
      <c r="E721" s="22" t="s">
        <v>26</v>
      </c>
      <c r="F721" s="22">
        <v>6</v>
      </c>
      <c r="G721" s="23">
        <v>1286.8900000000001</v>
      </c>
      <c r="H721" s="25" t="str">
        <f>IF(COUNTIF(tbl_clean_sales[Invoice_ID],tbl_clean_sales[[#This Row],[Invoice_ID]])&gt;1,"Duplicate","Unique")</f>
        <v>Unique</v>
      </c>
      <c r="I721" s="25"/>
      <c r="J72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1" s="25" t="str">
        <f>IFERROR(VLOOKUP(tbl_clean_sales[[#This Row],[Employee_ID]],'02_Employee_Master'!$A$1:$C$12,2,FALSE),"Employee Name Missing")</f>
        <v>Meena V</v>
      </c>
      <c r="L721" s="25" t="str">
        <f>IFERROR(VLOOKUP(tbl_clean_sales[[#This Row],[Employee_ID]],'02_Employee_Master'!$A$1:$C$12,3,FALSE),"Department Name Missing")</f>
        <v>Sales</v>
      </c>
      <c r="M721" s="25" t="str">
        <f>IF('03_Clean_data'!D721="","Missing",IFERROR(IF(VLOOKUP(D721,'03_Product_Master'!$A$1:$D$14,1,FALSE)='03_Clean_data'!D721,"Valid","Invalid"),"Invalid"))</f>
        <v>Valid</v>
      </c>
      <c r="N721" s="25" t="str">
        <f>IFERROR(VLOOKUP(tbl_clean_sales[[#This Row],[Product_ID]],'03_Product_Master'!$A$1:$D$14,2,FALSE),"Missing")</f>
        <v>Floor Cleaner</v>
      </c>
      <c r="O721" s="25" t="str">
        <f>IFERROR(VLOOKUP(tbl_clean_sales[[#This Row],[Product_ID]],'03_Product_Master'!$A$1:$D$14,3,FALSE),"Missing")</f>
        <v>Home Care</v>
      </c>
      <c r="P721" s="25">
        <f>IFERROR(VLOOKUP(tbl_clean_sales[[#This Row],[Product_ID]],'03_Product_Master'!$A$1:$D$14,4,FALSE),"Missing")</f>
        <v>230</v>
      </c>
      <c r="Q721" s="25" t="str">
        <f>IF('03_Clean_data'!E721="","Missing",IFERROR(IF(VLOOKUP(E721,'04_Branch_Master'!$A$1:$C$7,1,FALSE)='03_Clean_data'!E721,"Valid","Invalid"),"Invalid"))</f>
        <v>Valid</v>
      </c>
      <c r="R721" s="25" t="str">
        <f>IFERROR(VLOOKUP(tbl_clean_sales[[#This Row],[Branch_ID]],'04_Branch_Master'!$A$1:$C$7,2,FALSE),"Missing")</f>
        <v>Palladam</v>
      </c>
      <c r="S721" s="25" t="str">
        <f>IFERROR(VLOOKUP(tbl_clean_sales[[#This Row],[Branch_ID]],'04_Branch_Master'!$A$1:$C$7,3,FALSE),"Missing")</f>
        <v>South</v>
      </c>
      <c r="T721" s="25" t="str">
        <f>C721&amp;"|"&amp;TEXT(tbl_clean_sales[[#This Row],[Date]],"yyyymm")</f>
        <v>E006|202606</v>
      </c>
      <c r="U721" s="25">
        <f>IFERROR(INDEX('05_Target_Master'!$A$1:$F$32,MATCH(tbl_clean_sales[[#This Row],[target key]],'05_Target_Master'!$F$1:$F$32,0),3),"Missing")</f>
        <v>125800</v>
      </c>
    </row>
    <row r="722" spans="1:21" x14ac:dyDescent="0.3">
      <c r="A722" s="21">
        <v>46187</v>
      </c>
      <c r="B722" s="22" t="s">
        <v>759</v>
      </c>
      <c r="C722" s="22" t="s">
        <v>29</v>
      </c>
      <c r="D722" s="22" t="s">
        <v>43</v>
      </c>
      <c r="E722" s="22" t="s">
        <v>10</v>
      </c>
      <c r="F722" s="22">
        <v>11</v>
      </c>
      <c r="G722" s="23">
        <v>3404.36</v>
      </c>
      <c r="H722" s="25" t="str">
        <f>IF(COUNTIF(tbl_clean_sales[Invoice_ID],tbl_clean_sales[[#This Row],[Invoice_ID]])&gt;1,"Duplicate","Unique")</f>
        <v>Unique</v>
      </c>
      <c r="I722" s="25"/>
      <c r="J72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2" s="25" t="str">
        <f>IFERROR(VLOOKUP(tbl_clean_sales[[#This Row],[Employee_ID]],'02_Employee_Master'!$A$1:$C$12,2,FALSE),"Employee Name Missing")</f>
        <v>Swetha L</v>
      </c>
      <c r="L722" s="25" t="str">
        <f>IFERROR(VLOOKUP(tbl_clean_sales[[#This Row],[Employee_ID]],'02_Employee_Master'!$A$1:$C$12,3,FALSE),"Department Name Missing")</f>
        <v>Sales</v>
      </c>
      <c r="M722" s="25" t="str">
        <f>IF('03_Clean_data'!D722="","Missing",IFERROR(IF(VLOOKUP(D722,'03_Product_Master'!$A$1:$D$14,1,FALSE)='03_Clean_data'!D722,"Valid","Invalid"),"Invalid"))</f>
        <v>Valid</v>
      </c>
      <c r="N722" s="25" t="str">
        <f>IFERROR(VLOOKUP(tbl_clean_sales[[#This Row],[Product_ID]],'03_Product_Master'!$A$1:$D$14,2,FALSE),"Missing")</f>
        <v>Laundry Liquid</v>
      </c>
      <c r="O722" s="25" t="str">
        <f>IFERROR(VLOOKUP(tbl_clean_sales[[#This Row],[Product_ID]],'03_Product_Master'!$A$1:$D$14,3,FALSE),"Missing")</f>
        <v>Home Care</v>
      </c>
      <c r="P722" s="25">
        <f>IFERROR(VLOOKUP(tbl_clean_sales[[#This Row],[Product_ID]],'03_Product_Master'!$A$1:$D$14,4,FALSE),"Missing")</f>
        <v>340</v>
      </c>
      <c r="Q722" s="25" t="str">
        <f>IF('03_Clean_data'!E722="","Missing",IFERROR(IF(VLOOKUP(E722,'04_Branch_Master'!$A$1:$C$7,1,FALSE)='03_Clean_data'!E722,"Valid","Invalid"),"Invalid"))</f>
        <v>Valid</v>
      </c>
      <c r="R722" s="25" t="str">
        <f>IFERROR(VLOOKUP(tbl_clean_sales[[#This Row],[Branch_ID]],'04_Branch_Master'!$A$1:$C$7,2,FALSE),"Missing")</f>
        <v>Dharapuram</v>
      </c>
      <c r="S722" s="25" t="str">
        <f>IFERROR(VLOOKUP(tbl_clean_sales[[#This Row],[Branch_ID]],'04_Branch_Master'!$A$1:$C$7,3,FALSE),"Missing")</f>
        <v>South</v>
      </c>
      <c r="T722" s="25" t="str">
        <f>C722&amp;"|"&amp;TEXT(tbl_clean_sales[[#This Row],[Date]],"yyyymm")</f>
        <v>E010|202606</v>
      </c>
      <c r="U722" s="25">
        <f>IFERROR(INDEX('05_Target_Master'!$A$1:$F$32,MATCH(tbl_clean_sales[[#This Row],[target key]],'05_Target_Master'!$F$1:$F$32,0),3),"Missing")</f>
        <v>116800</v>
      </c>
    </row>
    <row r="723" spans="1:21" x14ac:dyDescent="0.3">
      <c r="A723" s="21">
        <v>46181</v>
      </c>
      <c r="B723" s="22" t="s">
        <v>760</v>
      </c>
      <c r="C723" s="22" t="s">
        <v>24</v>
      </c>
      <c r="D723" s="22" t="s">
        <v>16</v>
      </c>
      <c r="E723" s="22" t="s">
        <v>10</v>
      </c>
      <c r="F723" s="22">
        <v>2</v>
      </c>
      <c r="G723" s="23">
        <v>618.12</v>
      </c>
      <c r="H723" s="25" t="str">
        <f>IF(COUNTIF(tbl_clean_sales[Invoice_ID],tbl_clean_sales[[#This Row],[Invoice_ID]])&gt;1,"Duplicate","Unique")</f>
        <v>Unique</v>
      </c>
      <c r="I723" s="25"/>
      <c r="J72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3" s="25" t="str">
        <f>IFERROR(VLOOKUP(tbl_clean_sales[[#This Row],[Employee_ID]],'02_Employee_Master'!$A$1:$C$12,2,FALSE),"Employee Name Missing")</f>
        <v>Karthik P</v>
      </c>
      <c r="L723" s="25" t="str">
        <f>IFERROR(VLOOKUP(tbl_clean_sales[[#This Row],[Employee_ID]],'02_Employee_Master'!$A$1:$C$12,3,FALSE),"Department Name Missing")</f>
        <v>Sales</v>
      </c>
      <c r="M723" s="25" t="str">
        <f>IF('03_Clean_data'!D723="","Missing",IFERROR(IF(VLOOKUP(D723,'03_Product_Master'!$A$1:$D$14,1,FALSE)='03_Clean_data'!D723,"Valid","Invalid"),"Invalid"))</f>
        <v>Valid</v>
      </c>
      <c r="N723" s="25" t="str">
        <f>IFERROR(VLOOKUP(tbl_clean_sales[[#This Row],[Product_ID]],'03_Product_Master'!$A$1:$D$14,2,FALSE),"Missing")</f>
        <v>Shampoo</v>
      </c>
      <c r="O723" s="25" t="str">
        <f>IFERROR(VLOOKUP(tbl_clean_sales[[#This Row],[Product_ID]],'03_Product_Master'!$A$1:$D$14,3,FALSE),"Missing")</f>
        <v>Personal Care</v>
      </c>
      <c r="P723" s="25">
        <f>IFERROR(VLOOKUP(tbl_clean_sales[[#This Row],[Product_ID]],'03_Product_Master'!$A$1:$D$14,4,FALSE),"Missing")</f>
        <v>310</v>
      </c>
      <c r="Q723" s="25" t="str">
        <f>IF('03_Clean_data'!E723="","Missing",IFERROR(IF(VLOOKUP(E723,'04_Branch_Master'!$A$1:$C$7,1,FALSE)='03_Clean_data'!E723,"Valid","Invalid"),"Invalid"))</f>
        <v>Valid</v>
      </c>
      <c r="R723" s="25" t="str">
        <f>IFERROR(VLOOKUP(tbl_clean_sales[[#This Row],[Branch_ID]],'04_Branch_Master'!$A$1:$C$7,2,FALSE),"Missing")</f>
        <v>Dharapuram</v>
      </c>
      <c r="S723" s="25" t="str">
        <f>IFERROR(VLOOKUP(tbl_clean_sales[[#This Row],[Branch_ID]],'04_Branch_Master'!$A$1:$C$7,3,FALSE),"Missing")</f>
        <v>South</v>
      </c>
      <c r="T723" s="25" t="str">
        <f>C723&amp;"|"&amp;TEXT(tbl_clean_sales[[#This Row],[Date]],"yyyymm")</f>
        <v>E005|202606</v>
      </c>
      <c r="U723" s="25">
        <f>IFERROR(INDEX('05_Target_Master'!$A$1:$F$32,MATCH(tbl_clean_sales[[#This Row],[target key]],'05_Target_Master'!$F$1:$F$32,0),3),"Missing")</f>
        <v>127700</v>
      </c>
    </row>
    <row r="724" spans="1:21" x14ac:dyDescent="0.3">
      <c r="A724" s="21">
        <v>46131</v>
      </c>
      <c r="B724" s="22" t="s">
        <v>761</v>
      </c>
      <c r="C724" s="22" t="s">
        <v>74</v>
      </c>
      <c r="D724" s="22" t="s">
        <v>43</v>
      </c>
      <c r="E724" s="22" t="s">
        <v>22</v>
      </c>
      <c r="F724" s="22">
        <v>5</v>
      </c>
      <c r="G724" s="23">
        <v>1546.96</v>
      </c>
      <c r="H724" s="25" t="str">
        <f>IF(COUNTIF(tbl_clean_sales[Invoice_ID],tbl_clean_sales[[#This Row],[Invoice_ID]])&gt;1,"Duplicate","Unique")</f>
        <v>Unique</v>
      </c>
      <c r="I724" s="25"/>
      <c r="J72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4" s="25" t="str">
        <f>IFERROR(VLOOKUP(tbl_clean_sales[[#This Row],[Employee_ID]],'02_Employee_Master'!$A$1:$C$12,2,FALSE),"Employee Name Missing")</f>
        <v>Arun Kumar</v>
      </c>
      <c r="L724" s="25" t="str">
        <f>IFERROR(VLOOKUP(tbl_clean_sales[[#This Row],[Employee_ID]],'02_Employee_Master'!$A$1:$C$12,3,FALSE),"Department Name Missing")</f>
        <v>Sales</v>
      </c>
      <c r="M724" s="25" t="str">
        <f>IF('03_Clean_data'!D724="","Missing",IFERROR(IF(VLOOKUP(D724,'03_Product_Master'!$A$1:$D$14,1,FALSE)='03_Clean_data'!D724,"Valid","Invalid"),"Invalid"))</f>
        <v>Valid</v>
      </c>
      <c r="N724" s="25" t="str">
        <f>IFERROR(VLOOKUP(tbl_clean_sales[[#This Row],[Product_ID]],'03_Product_Master'!$A$1:$D$14,2,FALSE),"Missing")</f>
        <v>Laundry Liquid</v>
      </c>
      <c r="O724" s="25" t="str">
        <f>IFERROR(VLOOKUP(tbl_clean_sales[[#This Row],[Product_ID]],'03_Product_Master'!$A$1:$D$14,3,FALSE),"Missing")</f>
        <v>Home Care</v>
      </c>
      <c r="P724" s="25">
        <f>IFERROR(VLOOKUP(tbl_clean_sales[[#This Row],[Product_ID]],'03_Product_Master'!$A$1:$D$14,4,FALSE),"Missing")</f>
        <v>340</v>
      </c>
      <c r="Q724" s="25" t="str">
        <f>IF('03_Clean_data'!E724="","Missing",IFERROR(IF(VLOOKUP(E724,'04_Branch_Master'!$A$1:$C$7,1,FALSE)='03_Clean_data'!E724,"Valid","Invalid"),"Invalid"))</f>
        <v>Valid</v>
      </c>
      <c r="R724" s="25" t="str">
        <f>IFERROR(VLOOKUP(tbl_clean_sales[[#This Row],[Branch_ID]],'04_Branch_Master'!$A$1:$C$7,2,FALSE),"Missing")</f>
        <v>Tirupur Central</v>
      </c>
      <c r="S724" s="25" t="str">
        <f>IFERROR(VLOOKUP(tbl_clean_sales[[#This Row],[Branch_ID]],'04_Branch_Master'!$A$1:$C$7,3,FALSE),"Missing")</f>
        <v>North</v>
      </c>
      <c r="T724" s="25" t="str">
        <f>C724&amp;"|"&amp;TEXT(tbl_clean_sales[[#This Row],[Date]],"yyyymm")</f>
        <v>E001|202604</v>
      </c>
      <c r="U724" s="25">
        <f>IFERROR(INDEX('05_Target_Master'!$A$1:$F$32,MATCH(tbl_clean_sales[[#This Row],[target key]],'05_Target_Master'!$F$1:$F$32,0),3),"Missing")</f>
        <v>156900</v>
      </c>
    </row>
    <row r="725" spans="1:21" x14ac:dyDescent="0.3">
      <c r="A725" s="21">
        <v>46133</v>
      </c>
      <c r="B725" s="22" t="s">
        <v>762</v>
      </c>
      <c r="C725" s="22" t="s">
        <v>24</v>
      </c>
      <c r="D725" s="22" t="s">
        <v>43</v>
      </c>
      <c r="E725" s="22" t="s">
        <v>26</v>
      </c>
      <c r="F725" s="22">
        <v>1</v>
      </c>
      <c r="G725" s="23">
        <v>311.82</v>
      </c>
      <c r="H725" s="25" t="str">
        <f>IF(COUNTIF(tbl_clean_sales[Invoice_ID],tbl_clean_sales[[#This Row],[Invoice_ID]])&gt;1,"Duplicate","Unique")</f>
        <v>Unique</v>
      </c>
      <c r="I725" s="25"/>
      <c r="J72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5" s="25" t="str">
        <f>IFERROR(VLOOKUP(tbl_clean_sales[[#This Row],[Employee_ID]],'02_Employee_Master'!$A$1:$C$12,2,FALSE),"Employee Name Missing")</f>
        <v>Karthik P</v>
      </c>
      <c r="L725" s="25" t="str">
        <f>IFERROR(VLOOKUP(tbl_clean_sales[[#This Row],[Employee_ID]],'02_Employee_Master'!$A$1:$C$12,3,FALSE),"Department Name Missing")</f>
        <v>Sales</v>
      </c>
      <c r="M725" s="25" t="str">
        <f>IF('03_Clean_data'!D725="","Missing",IFERROR(IF(VLOOKUP(D725,'03_Product_Master'!$A$1:$D$14,1,FALSE)='03_Clean_data'!D725,"Valid","Invalid"),"Invalid"))</f>
        <v>Valid</v>
      </c>
      <c r="N725" s="25" t="str">
        <f>IFERROR(VLOOKUP(tbl_clean_sales[[#This Row],[Product_ID]],'03_Product_Master'!$A$1:$D$14,2,FALSE),"Missing")</f>
        <v>Laundry Liquid</v>
      </c>
      <c r="O725" s="25" t="str">
        <f>IFERROR(VLOOKUP(tbl_clean_sales[[#This Row],[Product_ID]],'03_Product_Master'!$A$1:$D$14,3,FALSE),"Missing")</f>
        <v>Home Care</v>
      </c>
      <c r="P725" s="25">
        <f>IFERROR(VLOOKUP(tbl_clean_sales[[#This Row],[Product_ID]],'03_Product_Master'!$A$1:$D$14,4,FALSE),"Missing")</f>
        <v>340</v>
      </c>
      <c r="Q725" s="25" t="str">
        <f>IF('03_Clean_data'!E725="","Missing",IFERROR(IF(VLOOKUP(E725,'04_Branch_Master'!$A$1:$C$7,1,FALSE)='03_Clean_data'!E725,"Valid","Invalid"),"Invalid"))</f>
        <v>Valid</v>
      </c>
      <c r="R725" s="25" t="str">
        <f>IFERROR(VLOOKUP(tbl_clean_sales[[#This Row],[Branch_ID]],'04_Branch_Master'!$A$1:$C$7,2,FALSE),"Missing")</f>
        <v>Palladam</v>
      </c>
      <c r="S725" s="25" t="str">
        <f>IFERROR(VLOOKUP(tbl_clean_sales[[#This Row],[Branch_ID]],'04_Branch_Master'!$A$1:$C$7,3,FALSE),"Missing")</f>
        <v>South</v>
      </c>
      <c r="T725" s="25" t="str">
        <f>C725&amp;"|"&amp;TEXT(tbl_clean_sales[[#This Row],[Date]],"yyyymm")</f>
        <v>E005|202604</v>
      </c>
      <c r="U725" s="25">
        <f>IFERROR(INDEX('05_Target_Master'!$A$1:$F$32,MATCH(tbl_clean_sales[[#This Row],[target key]],'05_Target_Master'!$F$1:$F$32,0),3),"Missing")</f>
        <v>133000</v>
      </c>
    </row>
    <row r="726" spans="1:21" x14ac:dyDescent="0.3">
      <c r="A726" s="21">
        <v>46150</v>
      </c>
      <c r="B726" s="22" t="s">
        <v>763</v>
      </c>
      <c r="C726" s="22" t="s">
        <v>12</v>
      </c>
      <c r="D726" s="22" t="s">
        <v>13</v>
      </c>
      <c r="E726" s="22" t="s">
        <v>14</v>
      </c>
      <c r="F726" s="22">
        <v>8</v>
      </c>
      <c r="G726" s="23">
        <v>3081.63</v>
      </c>
      <c r="H726" s="25" t="str">
        <f>IF(COUNTIF(tbl_clean_sales[Invoice_ID],tbl_clean_sales[[#This Row],[Invoice_ID]])&gt;1,"Duplicate","Unique")</f>
        <v>Unique</v>
      </c>
      <c r="I726" s="25"/>
      <c r="J72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6" s="25" t="str">
        <f>IFERROR(VLOOKUP(tbl_clean_sales[[#This Row],[Employee_ID]],'02_Employee_Master'!$A$1:$C$12,2,FALSE),"Employee Name Missing")</f>
        <v>Divya R</v>
      </c>
      <c r="L726" s="25" t="str">
        <f>IFERROR(VLOOKUP(tbl_clean_sales[[#This Row],[Employee_ID]],'02_Employee_Master'!$A$1:$C$12,3,FALSE),"Department Name Missing")</f>
        <v>Sales</v>
      </c>
      <c r="M726" s="25" t="str">
        <f>IF('03_Clean_data'!D726="","Missing",IFERROR(IF(VLOOKUP(D726,'03_Product_Master'!$A$1:$D$14,1,FALSE)='03_Clean_data'!D726,"Valid","Invalid"),"Invalid"))</f>
        <v>Valid</v>
      </c>
      <c r="N726" s="25" t="str">
        <f>IFERROR(VLOOKUP(tbl_clean_sales[[#This Row],[Product_ID]],'03_Product_Master'!$A$1:$D$14,2,FALSE),"Missing")</f>
        <v>Body Lotion</v>
      </c>
      <c r="O726" s="25" t="str">
        <f>IFERROR(VLOOKUP(tbl_clean_sales[[#This Row],[Product_ID]],'03_Product_Master'!$A$1:$D$14,3,FALSE),"Missing")</f>
        <v>Personal Care</v>
      </c>
      <c r="P726" s="25">
        <f>IFERROR(VLOOKUP(tbl_clean_sales[[#This Row],[Product_ID]],'03_Product_Master'!$A$1:$D$14,4,FALSE),"Missing")</f>
        <v>390</v>
      </c>
      <c r="Q726" s="25" t="str">
        <f>IF('03_Clean_data'!E726="","Missing",IFERROR(IF(VLOOKUP(E726,'04_Branch_Master'!$A$1:$C$7,1,FALSE)='03_Clean_data'!E726,"Valid","Invalid"),"Invalid"))</f>
        <v>Valid</v>
      </c>
      <c r="R726" s="25" t="str">
        <f>IFERROR(VLOOKUP(tbl_clean_sales[[#This Row],[Branch_ID]],'04_Branch_Master'!$A$1:$C$7,2,FALSE),"Missing")</f>
        <v>Avinashi Road</v>
      </c>
      <c r="S726" s="25" t="str">
        <f>IFERROR(VLOOKUP(tbl_clean_sales[[#This Row],[Branch_ID]],'04_Branch_Master'!$A$1:$C$7,3,FALSE),"Missing")</f>
        <v>North</v>
      </c>
      <c r="T726" s="25" t="str">
        <f>C726&amp;"|"&amp;TEXT(tbl_clean_sales[[#This Row],[Date]],"yyyymm")</f>
        <v>E004|202605</v>
      </c>
      <c r="U726" s="25">
        <f>IFERROR(INDEX('05_Target_Master'!$A$1:$F$32,MATCH(tbl_clean_sales[[#This Row],[target key]],'05_Target_Master'!$F$1:$F$32,0),3),"Missing")</f>
        <v>176700</v>
      </c>
    </row>
    <row r="727" spans="1:21" x14ac:dyDescent="0.3">
      <c r="A727" s="21">
        <v>46199</v>
      </c>
      <c r="B727" s="22" t="s">
        <v>764</v>
      </c>
      <c r="C727" s="22" t="s">
        <v>8</v>
      </c>
      <c r="D727" s="22" t="s">
        <v>30</v>
      </c>
      <c r="E727" s="22" t="s">
        <v>10</v>
      </c>
      <c r="F727" s="22">
        <v>9</v>
      </c>
      <c r="G727" s="23">
        <v>1372.8</v>
      </c>
      <c r="H727" s="25" t="str">
        <f>IF(COUNTIF(tbl_clean_sales[Invoice_ID],tbl_clean_sales[[#This Row],[Invoice_ID]])&gt;1,"Duplicate","Unique")</f>
        <v>Unique</v>
      </c>
      <c r="I727" s="25"/>
      <c r="J72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7" s="25" t="str">
        <f>IFERROR(VLOOKUP(tbl_clean_sales[[#This Row],[Employee_ID]],'02_Employee_Master'!$A$1:$C$12,2,FALSE),"Employee Name Missing")</f>
        <v>Vignesh R</v>
      </c>
      <c r="L727" s="25" t="str">
        <f>IFERROR(VLOOKUP(tbl_clean_sales[[#This Row],[Employee_ID]],'02_Employee_Master'!$A$1:$C$12,3,FALSE),"Department Name Missing")</f>
        <v>Sales</v>
      </c>
      <c r="M727" s="25" t="str">
        <f>IF('03_Clean_data'!D727="","Missing",IFERROR(IF(VLOOKUP(D727,'03_Product_Master'!$A$1:$D$14,1,FALSE)='03_Clean_data'!D727,"Valid","Invalid"),"Invalid"))</f>
        <v>Valid</v>
      </c>
      <c r="N727" s="25" t="str">
        <f>IFERROR(VLOOKUP(tbl_clean_sales[[#This Row],[Product_ID]],'03_Product_Master'!$A$1:$D$14,2,FALSE),"Missing")</f>
        <v>Cookies Pack</v>
      </c>
      <c r="O727" s="25" t="str">
        <f>IFERROR(VLOOKUP(tbl_clean_sales[[#This Row],[Product_ID]],'03_Product_Master'!$A$1:$D$14,3,FALSE),"Missing")</f>
        <v>Snacks</v>
      </c>
      <c r="P727" s="25">
        <f>IFERROR(VLOOKUP(tbl_clean_sales[[#This Row],[Product_ID]],'03_Product_Master'!$A$1:$D$14,4,FALSE),"Missing")</f>
        <v>160</v>
      </c>
      <c r="Q727" s="25" t="str">
        <f>IF('03_Clean_data'!E727="","Missing",IFERROR(IF(VLOOKUP(E727,'04_Branch_Master'!$A$1:$C$7,1,FALSE)='03_Clean_data'!E727,"Valid","Invalid"),"Invalid"))</f>
        <v>Valid</v>
      </c>
      <c r="R727" s="25" t="str">
        <f>IFERROR(VLOOKUP(tbl_clean_sales[[#This Row],[Branch_ID]],'04_Branch_Master'!$A$1:$C$7,2,FALSE),"Missing")</f>
        <v>Dharapuram</v>
      </c>
      <c r="S727" s="25" t="str">
        <f>IFERROR(VLOOKUP(tbl_clean_sales[[#This Row],[Branch_ID]],'04_Branch_Master'!$A$1:$C$7,3,FALSE),"Missing")</f>
        <v>South</v>
      </c>
      <c r="T727" s="25" t="str">
        <f>C727&amp;"|"&amp;TEXT(tbl_clean_sales[[#This Row],[Date]],"yyyymm")</f>
        <v>E009|202606</v>
      </c>
      <c r="U727" s="25">
        <f>IFERROR(INDEX('05_Target_Master'!$A$1:$F$32,MATCH(tbl_clean_sales[[#This Row],[target key]],'05_Target_Master'!$F$1:$F$32,0),3),"Missing")</f>
        <v>156700</v>
      </c>
    </row>
    <row r="728" spans="1:21" x14ac:dyDescent="0.3">
      <c r="A728" s="21">
        <v>46178</v>
      </c>
      <c r="B728" s="22" t="s">
        <v>765</v>
      </c>
      <c r="C728" s="22" t="s">
        <v>24</v>
      </c>
      <c r="D728" s="22" t="s">
        <v>19</v>
      </c>
      <c r="E728" s="22" t="s">
        <v>26</v>
      </c>
      <c r="F728" s="22">
        <v>7</v>
      </c>
      <c r="G728" s="23">
        <v>1535.12</v>
      </c>
      <c r="H728" s="25" t="str">
        <f>IF(COUNTIF(tbl_clean_sales[Invoice_ID],tbl_clean_sales[[#This Row],[Invoice_ID]])&gt;1,"Duplicate","Unique")</f>
        <v>Unique</v>
      </c>
      <c r="I728" s="25"/>
      <c r="J72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8" s="25" t="str">
        <f>IFERROR(VLOOKUP(tbl_clean_sales[[#This Row],[Employee_ID]],'02_Employee_Master'!$A$1:$C$12,2,FALSE),"Employee Name Missing")</f>
        <v>Karthik P</v>
      </c>
      <c r="L728" s="25" t="str">
        <f>IFERROR(VLOOKUP(tbl_clean_sales[[#This Row],[Employee_ID]],'02_Employee_Master'!$A$1:$C$12,3,FALSE),"Department Name Missing")</f>
        <v>Sales</v>
      </c>
      <c r="M728" s="25" t="str">
        <f>IF('03_Clean_data'!D728="","Missing",IFERROR(IF(VLOOKUP(D728,'03_Product_Master'!$A$1:$D$14,1,FALSE)='03_Clean_data'!D728,"Valid","Invalid"),"Invalid"))</f>
        <v>Valid</v>
      </c>
      <c r="N728" s="25" t="str">
        <f>IFERROR(VLOOKUP(tbl_clean_sales[[#This Row],[Product_ID]],'03_Product_Master'!$A$1:$D$14,2,FALSE),"Missing")</f>
        <v>Floor Cleaner</v>
      </c>
      <c r="O728" s="25" t="str">
        <f>IFERROR(VLOOKUP(tbl_clean_sales[[#This Row],[Product_ID]],'03_Product_Master'!$A$1:$D$14,3,FALSE),"Missing")</f>
        <v>Home Care</v>
      </c>
      <c r="P728" s="25">
        <f>IFERROR(VLOOKUP(tbl_clean_sales[[#This Row],[Product_ID]],'03_Product_Master'!$A$1:$D$14,4,FALSE),"Missing")</f>
        <v>230</v>
      </c>
      <c r="Q728" s="25" t="str">
        <f>IF('03_Clean_data'!E728="","Missing",IFERROR(IF(VLOOKUP(E728,'04_Branch_Master'!$A$1:$C$7,1,FALSE)='03_Clean_data'!E728,"Valid","Invalid"),"Invalid"))</f>
        <v>Valid</v>
      </c>
      <c r="R728" s="25" t="str">
        <f>IFERROR(VLOOKUP(tbl_clean_sales[[#This Row],[Branch_ID]],'04_Branch_Master'!$A$1:$C$7,2,FALSE),"Missing")</f>
        <v>Palladam</v>
      </c>
      <c r="S728" s="25" t="str">
        <f>IFERROR(VLOOKUP(tbl_clean_sales[[#This Row],[Branch_ID]],'04_Branch_Master'!$A$1:$C$7,3,FALSE),"Missing")</f>
        <v>South</v>
      </c>
      <c r="T728" s="25" t="str">
        <f>C728&amp;"|"&amp;TEXT(tbl_clean_sales[[#This Row],[Date]],"yyyymm")</f>
        <v>E005|202606</v>
      </c>
      <c r="U728" s="25">
        <f>IFERROR(INDEX('05_Target_Master'!$A$1:$F$32,MATCH(tbl_clean_sales[[#This Row],[target key]],'05_Target_Master'!$F$1:$F$32,0),3),"Missing")</f>
        <v>127700</v>
      </c>
    </row>
    <row r="729" spans="1:21" x14ac:dyDescent="0.3">
      <c r="A729" s="21">
        <v>46200</v>
      </c>
      <c r="B729" s="22" t="s">
        <v>766</v>
      </c>
      <c r="C729" s="22" t="s">
        <v>40</v>
      </c>
      <c r="D729" s="22" t="s">
        <v>13</v>
      </c>
      <c r="E729" s="22" t="s">
        <v>26</v>
      </c>
      <c r="F729" s="22">
        <v>12</v>
      </c>
      <c r="G729" s="23">
        <v>4538.8500000000004</v>
      </c>
      <c r="H729" s="25" t="str">
        <f>IF(COUNTIF(tbl_clean_sales[Invoice_ID],tbl_clean_sales[[#This Row],[Invoice_ID]])&gt;1,"Duplicate","Unique")</f>
        <v>Unique</v>
      </c>
      <c r="I729" s="25"/>
      <c r="J72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29" s="25" t="str">
        <f>IFERROR(VLOOKUP(tbl_clean_sales[[#This Row],[Employee_ID]],'02_Employee_Master'!$A$1:$C$12,2,FALSE),"Employee Name Missing")</f>
        <v>Meena V</v>
      </c>
      <c r="L729" s="25" t="str">
        <f>IFERROR(VLOOKUP(tbl_clean_sales[[#This Row],[Employee_ID]],'02_Employee_Master'!$A$1:$C$12,3,FALSE),"Department Name Missing")</f>
        <v>Sales</v>
      </c>
      <c r="M729" s="25" t="str">
        <f>IF('03_Clean_data'!D729="","Missing",IFERROR(IF(VLOOKUP(D729,'03_Product_Master'!$A$1:$D$14,1,FALSE)='03_Clean_data'!D729,"Valid","Invalid"),"Invalid"))</f>
        <v>Valid</v>
      </c>
      <c r="N729" s="25" t="str">
        <f>IFERROR(VLOOKUP(tbl_clean_sales[[#This Row],[Product_ID]],'03_Product_Master'!$A$1:$D$14,2,FALSE),"Missing")</f>
        <v>Body Lotion</v>
      </c>
      <c r="O729" s="25" t="str">
        <f>IFERROR(VLOOKUP(tbl_clean_sales[[#This Row],[Product_ID]],'03_Product_Master'!$A$1:$D$14,3,FALSE),"Missing")</f>
        <v>Personal Care</v>
      </c>
      <c r="P729" s="25">
        <f>IFERROR(VLOOKUP(tbl_clean_sales[[#This Row],[Product_ID]],'03_Product_Master'!$A$1:$D$14,4,FALSE),"Missing")</f>
        <v>390</v>
      </c>
      <c r="Q729" s="25" t="str">
        <f>IF('03_Clean_data'!E729="","Missing",IFERROR(IF(VLOOKUP(E729,'04_Branch_Master'!$A$1:$C$7,1,FALSE)='03_Clean_data'!E729,"Valid","Invalid"),"Invalid"))</f>
        <v>Valid</v>
      </c>
      <c r="R729" s="25" t="str">
        <f>IFERROR(VLOOKUP(tbl_clean_sales[[#This Row],[Branch_ID]],'04_Branch_Master'!$A$1:$C$7,2,FALSE),"Missing")</f>
        <v>Palladam</v>
      </c>
      <c r="S729" s="25" t="str">
        <f>IFERROR(VLOOKUP(tbl_clean_sales[[#This Row],[Branch_ID]],'04_Branch_Master'!$A$1:$C$7,3,FALSE),"Missing")</f>
        <v>South</v>
      </c>
      <c r="T729" s="25" t="str">
        <f>C729&amp;"|"&amp;TEXT(tbl_clean_sales[[#This Row],[Date]],"yyyymm")</f>
        <v>E006|202606</v>
      </c>
      <c r="U729" s="25">
        <f>IFERROR(INDEX('05_Target_Master'!$A$1:$F$32,MATCH(tbl_clean_sales[[#This Row],[target key]],'05_Target_Master'!$F$1:$F$32,0),3),"Missing")</f>
        <v>125800</v>
      </c>
    </row>
    <row r="730" spans="1:21" x14ac:dyDescent="0.3">
      <c r="A730" s="21">
        <v>46192</v>
      </c>
      <c r="B730" s="22" t="s">
        <v>767</v>
      </c>
      <c r="C730" s="22" t="s">
        <v>38</v>
      </c>
      <c r="D730" s="22" t="s">
        <v>30</v>
      </c>
      <c r="E730" s="22" t="s">
        <v>26</v>
      </c>
      <c r="F730" s="22">
        <v>10</v>
      </c>
      <c r="G730" s="23">
        <v>1495.05</v>
      </c>
      <c r="H730" s="25" t="str">
        <f>IF(COUNTIF(tbl_clean_sales[Invoice_ID],tbl_clean_sales[[#This Row],[Invoice_ID]])&gt;1,"Duplicate","Unique")</f>
        <v>Unique</v>
      </c>
      <c r="I730" s="25"/>
      <c r="J73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0" s="25" t="str">
        <f>IFERROR(VLOOKUP(tbl_clean_sales[[#This Row],[Employee_ID]],'02_Employee_Master'!$A$1:$C$12,2,FALSE),"Employee Name Missing")</f>
        <v>Nandhini K</v>
      </c>
      <c r="L730" s="25" t="str">
        <f>IFERROR(VLOOKUP(tbl_clean_sales[[#This Row],[Employee_ID]],'02_Employee_Master'!$A$1:$C$12,3,FALSE),"Department Name Missing")</f>
        <v>Sales</v>
      </c>
      <c r="M730" s="25" t="str">
        <f>IF('03_Clean_data'!D730="","Missing",IFERROR(IF(VLOOKUP(D730,'03_Product_Master'!$A$1:$D$14,1,FALSE)='03_Clean_data'!D730,"Valid","Invalid"),"Invalid"))</f>
        <v>Valid</v>
      </c>
      <c r="N730" s="25" t="str">
        <f>IFERROR(VLOOKUP(tbl_clean_sales[[#This Row],[Product_ID]],'03_Product_Master'!$A$1:$D$14,2,FALSE),"Missing")</f>
        <v>Cookies Pack</v>
      </c>
      <c r="O730" s="25" t="str">
        <f>IFERROR(VLOOKUP(tbl_clean_sales[[#This Row],[Product_ID]],'03_Product_Master'!$A$1:$D$14,3,FALSE),"Missing")</f>
        <v>Snacks</v>
      </c>
      <c r="P730" s="25">
        <f>IFERROR(VLOOKUP(tbl_clean_sales[[#This Row],[Product_ID]],'03_Product_Master'!$A$1:$D$14,4,FALSE),"Missing")</f>
        <v>160</v>
      </c>
      <c r="Q730" s="25" t="str">
        <f>IF('03_Clean_data'!E730="","Missing",IFERROR(IF(VLOOKUP(E730,'04_Branch_Master'!$A$1:$C$7,1,FALSE)='03_Clean_data'!E730,"Valid","Invalid"),"Invalid"))</f>
        <v>Valid</v>
      </c>
      <c r="R730" s="25" t="str">
        <f>IFERROR(VLOOKUP(tbl_clean_sales[[#This Row],[Branch_ID]],'04_Branch_Master'!$A$1:$C$7,2,FALSE),"Missing")</f>
        <v>Palladam</v>
      </c>
      <c r="S730" s="25" t="str">
        <f>IFERROR(VLOOKUP(tbl_clean_sales[[#This Row],[Branch_ID]],'04_Branch_Master'!$A$1:$C$7,3,FALSE),"Missing")</f>
        <v>South</v>
      </c>
      <c r="T730" s="25" t="str">
        <f>C730&amp;"|"&amp;TEXT(tbl_clean_sales[[#This Row],[Date]],"yyyymm")</f>
        <v>E008|202606</v>
      </c>
      <c r="U730" s="25">
        <f>IFERROR(INDEX('05_Target_Master'!$A$1:$F$32,MATCH(tbl_clean_sales[[#This Row],[target key]],'05_Target_Master'!$F$1:$F$32,0),3),"Missing")</f>
        <v>119200</v>
      </c>
    </row>
    <row r="731" spans="1:21" x14ac:dyDescent="0.3">
      <c r="A731" s="21">
        <v>46190</v>
      </c>
      <c r="B731" s="22" t="s">
        <v>768</v>
      </c>
      <c r="C731" s="22" t="s">
        <v>12</v>
      </c>
      <c r="D731" s="22" t="s">
        <v>19</v>
      </c>
      <c r="E731" s="22" t="s">
        <v>26</v>
      </c>
      <c r="F731" s="22">
        <v>8</v>
      </c>
      <c r="G731" s="23">
        <v>1800.82</v>
      </c>
      <c r="H731" s="25" t="str">
        <f>IF(COUNTIF(tbl_clean_sales[Invoice_ID],tbl_clean_sales[[#This Row],[Invoice_ID]])&gt;1,"Duplicate","Unique")</f>
        <v>Unique</v>
      </c>
      <c r="I731" s="25"/>
      <c r="J73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1" s="25" t="str">
        <f>IFERROR(VLOOKUP(tbl_clean_sales[[#This Row],[Employee_ID]],'02_Employee_Master'!$A$1:$C$12,2,FALSE),"Employee Name Missing")</f>
        <v>Divya R</v>
      </c>
      <c r="L731" s="25" t="str">
        <f>IFERROR(VLOOKUP(tbl_clean_sales[[#This Row],[Employee_ID]],'02_Employee_Master'!$A$1:$C$12,3,FALSE),"Department Name Missing")</f>
        <v>Sales</v>
      </c>
      <c r="M731" s="25" t="str">
        <f>IF('03_Clean_data'!D731="","Missing",IFERROR(IF(VLOOKUP(D731,'03_Product_Master'!$A$1:$D$14,1,FALSE)='03_Clean_data'!D731,"Valid","Invalid"),"Invalid"))</f>
        <v>Valid</v>
      </c>
      <c r="N731" s="25" t="str">
        <f>IFERROR(VLOOKUP(tbl_clean_sales[[#This Row],[Product_ID]],'03_Product_Master'!$A$1:$D$14,2,FALSE),"Missing")</f>
        <v>Floor Cleaner</v>
      </c>
      <c r="O731" s="25" t="str">
        <f>IFERROR(VLOOKUP(tbl_clean_sales[[#This Row],[Product_ID]],'03_Product_Master'!$A$1:$D$14,3,FALSE),"Missing")</f>
        <v>Home Care</v>
      </c>
      <c r="P731" s="25">
        <f>IFERROR(VLOOKUP(tbl_clean_sales[[#This Row],[Product_ID]],'03_Product_Master'!$A$1:$D$14,4,FALSE),"Missing")</f>
        <v>230</v>
      </c>
      <c r="Q731" s="25" t="str">
        <f>IF('03_Clean_data'!E731="","Missing",IFERROR(IF(VLOOKUP(E731,'04_Branch_Master'!$A$1:$C$7,1,FALSE)='03_Clean_data'!E731,"Valid","Invalid"),"Invalid"))</f>
        <v>Valid</v>
      </c>
      <c r="R731" s="25" t="str">
        <f>IFERROR(VLOOKUP(tbl_clean_sales[[#This Row],[Branch_ID]],'04_Branch_Master'!$A$1:$C$7,2,FALSE),"Missing")</f>
        <v>Palladam</v>
      </c>
      <c r="S731" s="25" t="str">
        <f>IFERROR(VLOOKUP(tbl_clean_sales[[#This Row],[Branch_ID]],'04_Branch_Master'!$A$1:$C$7,3,FALSE),"Missing")</f>
        <v>South</v>
      </c>
      <c r="T731" s="25" t="str">
        <f>C731&amp;"|"&amp;TEXT(tbl_clean_sales[[#This Row],[Date]],"yyyymm")</f>
        <v>E004|202606</v>
      </c>
      <c r="U731" s="25">
        <f>IFERROR(INDEX('05_Target_Master'!$A$1:$F$32,MATCH(tbl_clean_sales[[#This Row],[target key]],'05_Target_Master'!$F$1:$F$32,0),3),"Missing")</f>
        <v>157100</v>
      </c>
    </row>
    <row r="732" spans="1:21" x14ac:dyDescent="0.3">
      <c r="A732" s="21">
        <v>46200</v>
      </c>
      <c r="B732" s="22" t="s">
        <v>769</v>
      </c>
      <c r="C732" s="22" t="s">
        <v>21</v>
      </c>
      <c r="D732" s="22" t="s">
        <v>53</v>
      </c>
      <c r="E732" s="22" t="s">
        <v>10</v>
      </c>
      <c r="F732" s="22">
        <v>2</v>
      </c>
      <c r="G732" s="23">
        <v>668.32</v>
      </c>
      <c r="H732" s="25" t="str">
        <f>IF(COUNTIF(tbl_clean_sales[Invoice_ID],tbl_clean_sales[[#This Row],[Invoice_ID]])&gt;1,"Duplicate","Unique")</f>
        <v>Unique</v>
      </c>
      <c r="I732" s="25"/>
      <c r="J73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2" s="25" t="str">
        <f>IFERROR(VLOOKUP(tbl_clean_sales[[#This Row],[Employee_ID]],'02_Employee_Master'!$A$1:$C$12,2,FALSE),"Employee Name Missing")</f>
        <v>Priya S</v>
      </c>
      <c r="L732" s="25" t="str">
        <f>IFERROR(VLOOKUP(tbl_clean_sales[[#This Row],[Employee_ID]],'02_Employee_Master'!$A$1:$C$12,3,FALSE),"Department Name Missing")</f>
        <v>Sales</v>
      </c>
      <c r="M732" s="25" t="str">
        <f>IF('03_Clean_data'!D732="","Missing",IFERROR(IF(VLOOKUP(D732,'03_Product_Master'!$A$1:$D$14,1,FALSE)='03_Clean_data'!D732,"Valid","Invalid"),"Invalid"))</f>
        <v>Valid</v>
      </c>
      <c r="N732" s="25" t="str">
        <f>IFERROR(VLOOKUP(tbl_clean_sales[[#This Row],[Product_ID]],'03_Product_Master'!$A$1:$D$14,2,FALSE),"Missing")</f>
        <v>Instant Coffee</v>
      </c>
      <c r="O732" s="25" t="str">
        <f>IFERROR(VLOOKUP(tbl_clean_sales[[#This Row],[Product_ID]],'03_Product_Master'!$A$1:$D$14,3,FALSE),"Missing")</f>
        <v>Beverages</v>
      </c>
      <c r="P732" s="25">
        <f>IFERROR(VLOOKUP(tbl_clean_sales[[#This Row],[Product_ID]],'03_Product_Master'!$A$1:$D$14,4,FALSE),"Missing")</f>
        <v>350</v>
      </c>
      <c r="Q732" s="25" t="str">
        <f>IF('03_Clean_data'!E732="","Missing",IFERROR(IF(VLOOKUP(E732,'04_Branch_Master'!$A$1:$C$7,1,FALSE)='03_Clean_data'!E732,"Valid","Invalid"),"Invalid"))</f>
        <v>Valid</v>
      </c>
      <c r="R732" s="25" t="str">
        <f>IFERROR(VLOOKUP(tbl_clean_sales[[#This Row],[Branch_ID]],'04_Branch_Master'!$A$1:$C$7,2,FALSE),"Missing")</f>
        <v>Dharapuram</v>
      </c>
      <c r="S732" s="25" t="str">
        <f>IFERROR(VLOOKUP(tbl_clean_sales[[#This Row],[Branch_ID]],'04_Branch_Master'!$A$1:$C$7,3,FALSE),"Missing")</f>
        <v>South</v>
      </c>
      <c r="T732" s="25" t="str">
        <f>C732&amp;"|"&amp;TEXT(tbl_clean_sales[[#This Row],[Date]],"yyyymm")</f>
        <v>E002|202606</v>
      </c>
      <c r="U732" s="25">
        <f>IFERROR(INDEX('05_Target_Master'!$A$1:$F$32,MATCH(tbl_clean_sales[[#This Row],[target key]],'05_Target_Master'!$F$1:$F$32,0),3),"Missing")</f>
        <v>117400</v>
      </c>
    </row>
    <row r="733" spans="1:21" x14ac:dyDescent="0.3">
      <c r="A733" s="21">
        <v>46167</v>
      </c>
      <c r="B733" s="22" t="s">
        <v>770</v>
      </c>
      <c r="C733" s="22" t="s">
        <v>24</v>
      </c>
      <c r="D733" s="22" t="s">
        <v>13</v>
      </c>
      <c r="E733" s="22" t="s">
        <v>26</v>
      </c>
      <c r="F733" s="22">
        <v>3</v>
      </c>
      <c r="G733" s="23">
        <v>1088.01</v>
      </c>
      <c r="H733" s="25" t="str">
        <f>IF(COUNTIF(tbl_clean_sales[Invoice_ID],tbl_clean_sales[[#This Row],[Invoice_ID]])&gt;1,"Duplicate","Unique")</f>
        <v>Unique</v>
      </c>
      <c r="I733" s="25"/>
      <c r="J73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3" s="25" t="str">
        <f>IFERROR(VLOOKUP(tbl_clean_sales[[#This Row],[Employee_ID]],'02_Employee_Master'!$A$1:$C$12,2,FALSE),"Employee Name Missing")</f>
        <v>Karthik P</v>
      </c>
      <c r="L733" s="25" t="str">
        <f>IFERROR(VLOOKUP(tbl_clean_sales[[#This Row],[Employee_ID]],'02_Employee_Master'!$A$1:$C$12,3,FALSE),"Department Name Missing")</f>
        <v>Sales</v>
      </c>
      <c r="M733" s="25" t="str">
        <f>IF('03_Clean_data'!D733="","Missing",IFERROR(IF(VLOOKUP(D733,'03_Product_Master'!$A$1:$D$14,1,FALSE)='03_Clean_data'!D733,"Valid","Invalid"),"Invalid"))</f>
        <v>Valid</v>
      </c>
      <c r="N733" s="25" t="str">
        <f>IFERROR(VLOOKUP(tbl_clean_sales[[#This Row],[Product_ID]],'03_Product_Master'!$A$1:$D$14,2,FALSE),"Missing")</f>
        <v>Body Lotion</v>
      </c>
      <c r="O733" s="25" t="str">
        <f>IFERROR(VLOOKUP(tbl_clean_sales[[#This Row],[Product_ID]],'03_Product_Master'!$A$1:$D$14,3,FALSE),"Missing")</f>
        <v>Personal Care</v>
      </c>
      <c r="P733" s="25">
        <f>IFERROR(VLOOKUP(tbl_clean_sales[[#This Row],[Product_ID]],'03_Product_Master'!$A$1:$D$14,4,FALSE),"Missing")</f>
        <v>390</v>
      </c>
      <c r="Q733" s="25" t="str">
        <f>IF('03_Clean_data'!E733="","Missing",IFERROR(IF(VLOOKUP(E733,'04_Branch_Master'!$A$1:$C$7,1,FALSE)='03_Clean_data'!E733,"Valid","Invalid"),"Invalid"))</f>
        <v>Valid</v>
      </c>
      <c r="R733" s="25" t="str">
        <f>IFERROR(VLOOKUP(tbl_clean_sales[[#This Row],[Branch_ID]],'04_Branch_Master'!$A$1:$C$7,2,FALSE),"Missing")</f>
        <v>Palladam</v>
      </c>
      <c r="S733" s="25" t="str">
        <f>IFERROR(VLOOKUP(tbl_clean_sales[[#This Row],[Branch_ID]],'04_Branch_Master'!$A$1:$C$7,3,FALSE),"Missing")</f>
        <v>South</v>
      </c>
      <c r="T733" s="25" t="str">
        <f>C733&amp;"|"&amp;TEXT(tbl_clean_sales[[#This Row],[Date]],"yyyymm")</f>
        <v>E005|202605</v>
      </c>
      <c r="U733" s="25">
        <f>IFERROR(INDEX('05_Target_Master'!$A$1:$F$32,MATCH(tbl_clean_sales[[#This Row],[target key]],'05_Target_Master'!$F$1:$F$32,0),3),"Missing")</f>
        <v>143700</v>
      </c>
    </row>
    <row r="734" spans="1:21" x14ac:dyDescent="0.3">
      <c r="A734" s="21">
        <v>46145</v>
      </c>
      <c r="B734" s="22" t="s">
        <v>771</v>
      </c>
      <c r="C734" s="22" t="s">
        <v>74</v>
      </c>
      <c r="D734" s="22" t="s">
        <v>34</v>
      </c>
      <c r="E734" s="22" t="s">
        <v>22</v>
      </c>
      <c r="F734" s="22">
        <v>3</v>
      </c>
      <c r="G734" s="23">
        <v>328.42</v>
      </c>
      <c r="H734" s="25" t="str">
        <f>IF(COUNTIF(tbl_clean_sales[Invoice_ID],tbl_clean_sales[[#This Row],[Invoice_ID]])&gt;1,"Duplicate","Unique")</f>
        <v>Unique</v>
      </c>
      <c r="I734" s="25"/>
      <c r="J73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4" s="25" t="str">
        <f>IFERROR(VLOOKUP(tbl_clean_sales[[#This Row],[Employee_ID]],'02_Employee_Master'!$A$1:$C$12,2,FALSE),"Employee Name Missing")</f>
        <v>Arun Kumar</v>
      </c>
      <c r="L734" s="25" t="str">
        <f>IFERROR(VLOOKUP(tbl_clean_sales[[#This Row],[Employee_ID]],'02_Employee_Master'!$A$1:$C$12,3,FALSE),"Department Name Missing")</f>
        <v>Sales</v>
      </c>
      <c r="M734" s="25" t="str">
        <f>IF('03_Clean_data'!D734="","Missing",IFERROR(IF(VLOOKUP(D734,'03_Product_Master'!$A$1:$D$14,1,FALSE)='03_Clean_data'!D734,"Valid","Invalid"),"Invalid"))</f>
        <v>Valid</v>
      </c>
      <c r="N734" s="25" t="str">
        <f>IFERROR(VLOOKUP(tbl_clean_sales[[#This Row],[Product_ID]],'03_Product_Master'!$A$1:$D$14,2,FALSE),"Missing")</f>
        <v>Potato Chips</v>
      </c>
      <c r="O734" s="25" t="str">
        <f>IFERROR(VLOOKUP(tbl_clean_sales[[#This Row],[Product_ID]],'03_Product_Master'!$A$1:$D$14,3,FALSE),"Missing")</f>
        <v>Snacks</v>
      </c>
      <c r="P734" s="25">
        <f>IFERROR(VLOOKUP(tbl_clean_sales[[#This Row],[Product_ID]],'03_Product_Master'!$A$1:$D$14,4,FALSE),"Missing")</f>
        <v>110</v>
      </c>
      <c r="Q734" s="25" t="str">
        <f>IF('03_Clean_data'!E734="","Missing",IFERROR(IF(VLOOKUP(E734,'04_Branch_Master'!$A$1:$C$7,1,FALSE)='03_Clean_data'!E734,"Valid","Invalid"),"Invalid"))</f>
        <v>Valid</v>
      </c>
      <c r="R734" s="25" t="str">
        <f>IFERROR(VLOOKUP(tbl_clean_sales[[#This Row],[Branch_ID]],'04_Branch_Master'!$A$1:$C$7,2,FALSE),"Missing")</f>
        <v>Tirupur Central</v>
      </c>
      <c r="S734" s="25" t="str">
        <f>IFERROR(VLOOKUP(tbl_clean_sales[[#This Row],[Branch_ID]],'04_Branch_Master'!$A$1:$C$7,3,FALSE),"Missing")</f>
        <v>North</v>
      </c>
      <c r="T734" s="25" t="str">
        <f>C734&amp;"|"&amp;TEXT(tbl_clean_sales[[#This Row],[Date]],"yyyymm")</f>
        <v>E001|202605</v>
      </c>
      <c r="U734" s="25">
        <f>IFERROR(INDEX('05_Target_Master'!$A$1:$F$32,MATCH(tbl_clean_sales[[#This Row],[target key]],'05_Target_Master'!$F$1:$F$32,0),3),"Missing")</f>
        <v>169500</v>
      </c>
    </row>
    <row r="735" spans="1:21" x14ac:dyDescent="0.3">
      <c r="A735" s="21">
        <v>46154</v>
      </c>
      <c r="B735" s="22" t="s">
        <v>772</v>
      </c>
      <c r="C735" s="22" t="s">
        <v>29</v>
      </c>
      <c r="D735" s="22" t="s">
        <v>25</v>
      </c>
      <c r="E735" s="22" t="s">
        <v>10</v>
      </c>
      <c r="F735" s="22">
        <v>11</v>
      </c>
      <c r="G735" s="23">
        <v>4278.71</v>
      </c>
      <c r="H735" s="25" t="str">
        <f>IF(COUNTIF(tbl_clean_sales[Invoice_ID],tbl_clean_sales[[#This Row],[Invoice_ID]])&gt;1,"Duplicate","Unique")</f>
        <v>Unique</v>
      </c>
      <c r="I735" s="25"/>
      <c r="J73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5" s="25" t="str">
        <f>IFERROR(VLOOKUP(tbl_clean_sales[[#This Row],[Employee_ID]],'02_Employee_Master'!$A$1:$C$12,2,FALSE),"Employee Name Missing")</f>
        <v>Swetha L</v>
      </c>
      <c r="L735" s="25" t="str">
        <f>IFERROR(VLOOKUP(tbl_clean_sales[[#This Row],[Employee_ID]],'02_Employee_Master'!$A$1:$C$12,3,FALSE),"Department Name Missing")</f>
        <v>Sales</v>
      </c>
      <c r="M735" s="25" t="str">
        <f>IF('03_Clean_data'!D735="","Missing",IFERROR(IF(VLOOKUP(D735,'03_Product_Master'!$A$1:$D$14,1,FALSE)='03_Clean_data'!D735,"Valid","Invalid"),"Invalid"))</f>
        <v>Valid</v>
      </c>
      <c r="N735" s="25" t="str">
        <f>IFERROR(VLOOKUP(tbl_clean_sales[[#This Row],[Product_ID]],'03_Product_Master'!$A$1:$D$14,2,FALSE),"Missing")</f>
        <v>Premium Coffee</v>
      </c>
      <c r="O735" s="25" t="str">
        <f>IFERROR(VLOOKUP(tbl_clean_sales[[#This Row],[Product_ID]],'03_Product_Master'!$A$1:$D$14,3,FALSE),"Missing")</f>
        <v>Beverages</v>
      </c>
      <c r="P735" s="25">
        <f>IFERROR(VLOOKUP(tbl_clean_sales[[#This Row],[Product_ID]],'03_Product_Master'!$A$1:$D$14,4,FALSE),"Missing")</f>
        <v>420</v>
      </c>
      <c r="Q735" s="25" t="str">
        <f>IF('03_Clean_data'!E735="","Missing",IFERROR(IF(VLOOKUP(E735,'04_Branch_Master'!$A$1:$C$7,1,FALSE)='03_Clean_data'!E735,"Valid","Invalid"),"Invalid"))</f>
        <v>Valid</v>
      </c>
      <c r="R735" s="25" t="str">
        <f>IFERROR(VLOOKUP(tbl_clean_sales[[#This Row],[Branch_ID]],'04_Branch_Master'!$A$1:$C$7,2,FALSE),"Missing")</f>
        <v>Dharapuram</v>
      </c>
      <c r="S735" s="25" t="str">
        <f>IFERROR(VLOOKUP(tbl_clean_sales[[#This Row],[Branch_ID]],'04_Branch_Master'!$A$1:$C$7,3,FALSE),"Missing")</f>
        <v>South</v>
      </c>
      <c r="T735" s="25" t="str">
        <f>C735&amp;"|"&amp;TEXT(tbl_clean_sales[[#This Row],[Date]],"yyyymm")</f>
        <v>E010|202605</v>
      </c>
      <c r="U735" s="25">
        <f>IFERROR(INDEX('05_Target_Master'!$A$1:$F$32,MATCH(tbl_clean_sales[[#This Row],[target key]],'05_Target_Master'!$F$1:$F$32,0),3),"Missing")</f>
        <v>131500</v>
      </c>
    </row>
    <row r="736" spans="1:21" x14ac:dyDescent="0.3">
      <c r="A736" s="21">
        <v>46197</v>
      </c>
      <c r="B736" s="22" t="s">
        <v>773</v>
      </c>
      <c r="C736" s="22" t="s">
        <v>24</v>
      </c>
      <c r="D736" s="22" t="s">
        <v>48</v>
      </c>
      <c r="E736" s="22" t="s">
        <v>10</v>
      </c>
      <c r="F736" s="22">
        <v>6</v>
      </c>
      <c r="G736" s="23">
        <v>1546.36</v>
      </c>
      <c r="H736" s="25" t="str">
        <f>IF(COUNTIF(tbl_clean_sales[Invoice_ID],tbl_clean_sales[[#This Row],[Invoice_ID]])&gt;1,"Duplicate","Unique")</f>
        <v>Unique</v>
      </c>
      <c r="I736" s="25"/>
      <c r="J73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6" s="25" t="str">
        <f>IFERROR(VLOOKUP(tbl_clean_sales[[#This Row],[Employee_ID]],'02_Employee_Master'!$A$1:$C$12,2,FALSE),"Employee Name Missing")</f>
        <v>Karthik P</v>
      </c>
      <c r="L736" s="25" t="str">
        <f>IFERROR(VLOOKUP(tbl_clean_sales[[#This Row],[Employee_ID]],'02_Employee_Master'!$A$1:$C$12,3,FALSE),"Department Name Missing")</f>
        <v>Sales</v>
      </c>
      <c r="M736" s="25" t="str">
        <f>IF('03_Clean_data'!D736="","Missing",IFERROR(IF(VLOOKUP(D736,'03_Product_Master'!$A$1:$D$14,1,FALSE)='03_Clean_data'!D736,"Valid","Invalid"),"Invalid"))</f>
        <v>Valid</v>
      </c>
      <c r="N736" s="25" t="str">
        <f>IFERROR(VLOOKUP(tbl_clean_sales[[#This Row],[Product_ID]],'03_Product_Master'!$A$1:$D$14,2,FALSE),"Missing")</f>
        <v>Face Wash</v>
      </c>
      <c r="O736" s="25" t="str">
        <f>IFERROR(VLOOKUP(tbl_clean_sales[[#This Row],[Product_ID]],'03_Product_Master'!$A$1:$D$14,3,FALSE),"Missing")</f>
        <v>Personal Care</v>
      </c>
      <c r="P736" s="25">
        <f>IFERROR(VLOOKUP(tbl_clean_sales[[#This Row],[Product_ID]],'03_Product_Master'!$A$1:$D$14,4,FALSE),"Missing")</f>
        <v>260</v>
      </c>
      <c r="Q736" s="25" t="str">
        <f>IF('03_Clean_data'!E736="","Missing",IFERROR(IF(VLOOKUP(E736,'04_Branch_Master'!$A$1:$C$7,1,FALSE)='03_Clean_data'!E736,"Valid","Invalid"),"Invalid"))</f>
        <v>Valid</v>
      </c>
      <c r="R736" s="25" t="str">
        <f>IFERROR(VLOOKUP(tbl_clean_sales[[#This Row],[Branch_ID]],'04_Branch_Master'!$A$1:$C$7,2,FALSE),"Missing")</f>
        <v>Dharapuram</v>
      </c>
      <c r="S736" s="25" t="str">
        <f>IFERROR(VLOOKUP(tbl_clean_sales[[#This Row],[Branch_ID]],'04_Branch_Master'!$A$1:$C$7,3,FALSE),"Missing")</f>
        <v>South</v>
      </c>
      <c r="T736" s="25" t="str">
        <f>C736&amp;"|"&amp;TEXT(tbl_clean_sales[[#This Row],[Date]],"yyyymm")</f>
        <v>E005|202606</v>
      </c>
      <c r="U736" s="25">
        <f>IFERROR(INDEX('05_Target_Master'!$A$1:$F$32,MATCH(tbl_clean_sales[[#This Row],[target key]],'05_Target_Master'!$F$1:$F$32,0),3),"Missing")</f>
        <v>127700</v>
      </c>
    </row>
    <row r="737" spans="1:21" x14ac:dyDescent="0.3">
      <c r="A737" s="21">
        <v>46203</v>
      </c>
      <c r="B737" s="22" t="s">
        <v>774</v>
      </c>
      <c r="C737" s="22" t="s">
        <v>40</v>
      </c>
      <c r="D737" s="22" t="s">
        <v>13</v>
      </c>
      <c r="E737" s="22" t="s">
        <v>26</v>
      </c>
      <c r="F737" s="22">
        <v>3</v>
      </c>
      <c r="G737" s="23">
        <v>1096.9100000000001</v>
      </c>
      <c r="H737" s="25" t="str">
        <f>IF(COUNTIF(tbl_clean_sales[Invoice_ID],tbl_clean_sales[[#This Row],[Invoice_ID]])&gt;1,"Duplicate","Unique")</f>
        <v>Unique</v>
      </c>
      <c r="I737" s="25"/>
      <c r="J73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7" s="25" t="str">
        <f>IFERROR(VLOOKUP(tbl_clean_sales[[#This Row],[Employee_ID]],'02_Employee_Master'!$A$1:$C$12,2,FALSE),"Employee Name Missing")</f>
        <v>Meena V</v>
      </c>
      <c r="L737" s="25" t="str">
        <f>IFERROR(VLOOKUP(tbl_clean_sales[[#This Row],[Employee_ID]],'02_Employee_Master'!$A$1:$C$12,3,FALSE),"Department Name Missing")</f>
        <v>Sales</v>
      </c>
      <c r="M737" s="25" t="str">
        <f>IF('03_Clean_data'!D737="","Missing",IFERROR(IF(VLOOKUP(D737,'03_Product_Master'!$A$1:$D$14,1,FALSE)='03_Clean_data'!D737,"Valid","Invalid"),"Invalid"))</f>
        <v>Valid</v>
      </c>
      <c r="N737" s="25" t="str">
        <f>IFERROR(VLOOKUP(tbl_clean_sales[[#This Row],[Product_ID]],'03_Product_Master'!$A$1:$D$14,2,FALSE),"Missing")</f>
        <v>Body Lotion</v>
      </c>
      <c r="O737" s="25" t="str">
        <f>IFERROR(VLOOKUP(tbl_clean_sales[[#This Row],[Product_ID]],'03_Product_Master'!$A$1:$D$14,3,FALSE),"Missing")</f>
        <v>Personal Care</v>
      </c>
      <c r="P737" s="25">
        <f>IFERROR(VLOOKUP(tbl_clean_sales[[#This Row],[Product_ID]],'03_Product_Master'!$A$1:$D$14,4,FALSE),"Missing")</f>
        <v>390</v>
      </c>
      <c r="Q737" s="25" t="str">
        <f>IF('03_Clean_data'!E737="","Missing",IFERROR(IF(VLOOKUP(E737,'04_Branch_Master'!$A$1:$C$7,1,FALSE)='03_Clean_data'!E737,"Valid","Invalid"),"Invalid"))</f>
        <v>Valid</v>
      </c>
      <c r="R737" s="25" t="str">
        <f>IFERROR(VLOOKUP(tbl_clean_sales[[#This Row],[Branch_ID]],'04_Branch_Master'!$A$1:$C$7,2,FALSE),"Missing")</f>
        <v>Palladam</v>
      </c>
      <c r="S737" s="25" t="str">
        <f>IFERROR(VLOOKUP(tbl_clean_sales[[#This Row],[Branch_ID]],'04_Branch_Master'!$A$1:$C$7,3,FALSE),"Missing")</f>
        <v>South</v>
      </c>
      <c r="T737" s="25" t="str">
        <f>C737&amp;"|"&amp;TEXT(tbl_clean_sales[[#This Row],[Date]],"yyyymm")</f>
        <v>E006|202606</v>
      </c>
      <c r="U737" s="25">
        <f>IFERROR(INDEX('05_Target_Master'!$A$1:$F$32,MATCH(tbl_clean_sales[[#This Row],[target key]],'05_Target_Master'!$F$1:$F$32,0),3),"Missing")</f>
        <v>125800</v>
      </c>
    </row>
    <row r="738" spans="1:21" x14ac:dyDescent="0.3">
      <c r="A738" s="21">
        <v>46177</v>
      </c>
      <c r="B738" s="22" t="s">
        <v>775</v>
      </c>
      <c r="C738" s="22" t="s">
        <v>18</v>
      </c>
      <c r="D738" s="22" t="s">
        <v>16</v>
      </c>
      <c r="E738" s="22" t="s">
        <v>14</v>
      </c>
      <c r="F738" s="22">
        <v>7</v>
      </c>
      <c r="G738" s="23">
        <v>2146.06</v>
      </c>
      <c r="H738" s="25" t="str">
        <f>IF(COUNTIF(tbl_clean_sales[Invoice_ID],tbl_clean_sales[[#This Row],[Invoice_ID]])&gt;1,"Duplicate","Unique")</f>
        <v>Unique</v>
      </c>
      <c r="I738" s="25"/>
      <c r="J73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8" s="25" t="str">
        <f>IFERROR(VLOOKUP(tbl_clean_sales[[#This Row],[Employee_ID]],'02_Employee_Master'!$A$1:$C$12,2,FALSE),"Employee Name Missing")</f>
        <v>Rahul M</v>
      </c>
      <c r="L738" s="25" t="str">
        <f>IFERROR(VLOOKUP(tbl_clean_sales[[#This Row],[Employee_ID]],'02_Employee_Master'!$A$1:$C$12,3,FALSE),"Department Name Missing")</f>
        <v>Sales</v>
      </c>
      <c r="M738" s="25" t="str">
        <f>IF('03_Clean_data'!D738="","Missing",IFERROR(IF(VLOOKUP(D738,'03_Product_Master'!$A$1:$D$14,1,FALSE)='03_Clean_data'!D738,"Valid","Invalid"),"Invalid"))</f>
        <v>Valid</v>
      </c>
      <c r="N738" s="25" t="str">
        <f>IFERROR(VLOOKUP(tbl_clean_sales[[#This Row],[Product_ID]],'03_Product_Master'!$A$1:$D$14,2,FALSE),"Missing")</f>
        <v>Shampoo</v>
      </c>
      <c r="O738" s="25" t="str">
        <f>IFERROR(VLOOKUP(tbl_clean_sales[[#This Row],[Product_ID]],'03_Product_Master'!$A$1:$D$14,3,FALSE),"Missing")</f>
        <v>Personal Care</v>
      </c>
      <c r="P738" s="25">
        <f>IFERROR(VLOOKUP(tbl_clean_sales[[#This Row],[Product_ID]],'03_Product_Master'!$A$1:$D$14,4,FALSE),"Missing")</f>
        <v>310</v>
      </c>
      <c r="Q738" s="25" t="str">
        <f>IF('03_Clean_data'!E738="","Missing",IFERROR(IF(VLOOKUP(E738,'04_Branch_Master'!$A$1:$C$7,1,FALSE)='03_Clean_data'!E738,"Valid","Invalid"),"Invalid"))</f>
        <v>Valid</v>
      </c>
      <c r="R738" s="25" t="str">
        <f>IFERROR(VLOOKUP(tbl_clean_sales[[#This Row],[Branch_ID]],'04_Branch_Master'!$A$1:$C$7,2,FALSE),"Missing")</f>
        <v>Avinashi Road</v>
      </c>
      <c r="S738" s="25" t="str">
        <f>IFERROR(VLOOKUP(tbl_clean_sales[[#This Row],[Branch_ID]],'04_Branch_Master'!$A$1:$C$7,3,FALSE),"Missing")</f>
        <v>North</v>
      </c>
      <c r="T738" s="25" t="str">
        <f>C738&amp;"|"&amp;TEXT(tbl_clean_sales[[#This Row],[Date]],"yyyymm")</f>
        <v>E003|202606</v>
      </c>
      <c r="U738" s="25">
        <f>IFERROR(INDEX('05_Target_Master'!$A$1:$F$32,MATCH(tbl_clean_sales[[#This Row],[target key]],'05_Target_Master'!$F$1:$F$32,0),3),"Missing")</f>
        <v>112000</v>
      </c>
    </row>
    <row r="739" spans="1:21" x14ac:dyDescent="0.3">
      <c r="A739" s="21">
        <v>46141</v>
      </c>
      <c r="B739" s="22" t="s">
        <v>776</v>
      </c>
      <c r="C739" s="22" t="s">
        <v>12</v>
      </c>
      <c r="D739" s="22" t="s">
        <v>43</v>
      </c>
      <c r="E739" s="22" t="s">
        <v>14</v>
      </c>
      <c r="F739" s="22">
        <v>6</v>
      </c>
      <c r="G739" s="23">
        <v>1968.13</v>
      </c>
      <c r="H739" s="25" t="str">
        <f>IF(COUNTIF(tbl_clean_sales[Invoice_ID],tbl_clean_sales[[#This Row],[Invoice_ID]])&gt;1,"Duplicate","Unique")</f>
        <v>Unique</v>
      </c>
      <c r="I739" s="25"/>
      <c r="J73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39" s="25" t="str">
        <f>IFERROR(VLOOKUP(tbl_clean_sales[[#This Row],[Employee_ID]],'02_Employee_Master'!$A$1:$C$12,2,FALSE),"Employee Name Missing")</f>
        <v>Divya R</v>
      </c>
      <c r="L739" s="25" t="str">
        <f>IFERROR(VLOOKUP(tbl_clean_sales[[#This Row],[Employee_ID]],'02_Employee_Master'!$A$1:$C$12,3,FALSE),"Department Name Missing")</f>
        <v>Sales</v>
      </c>
      <c r="M739" s="25" t="str">
        <f>IF('03_Clean_data'!D739="","Missing",IFERROR(IF(VLOOKUP(D739,'03_Product_Master'!$A$1:$D$14,1,FALSE)='03_Clean_data'!D739,"Valid","Invalid"),"Invalid"))</f>
        <v>Valid</v>
      </c>
      <c r="N739" s="25" t="str">
        <f>IFERROR(VLOOKUP(tbl_clean_sales[[#This Row],[Product_ID]],'03_Product_Master'!$A$1:$D$14,2,FALSE),"Missing")</f>
        <v>Laundry Liquid</v>
      </c>
      <c r="O739" s="25" t="str">
        <f>IFERROR(VLOOKUP(tbl_clean_sales[[#This Row],[Product_ID]],'03_Product_Master'!$A$1:$D$14,3,FALSE),"Missing")</f>
        <v>Home Care</v>
      </c>
      <c r="P739" s="25">
        <f>IFERROR(VLOOKUP(tbl_clean_sales[[#This Row],[Product_ID]],'03_Product_Master'!$A$1:$D$14,4,FALSE),"Missing")</f>
        <v>340</v>
      </c>
      <c r="Q739" s="25" t="str">
        <f>IF('03_Clean_data'!E739="","Missing",IFERROR(IF(VLOOKUP(E739,'04_Branch_Master'!$A$1:$C$7,1,FALSE)='03_Clean_data'!E739,"Valid","Invalid"),"Invalid"))</f>
        <v>Valid</v>
      </c>
      <c r="R739" s="25" t="str">
        <f>IFERROR(VLOOKUP(tbl_clean_sales[[#This Row],[Branch_ID]],'04_Branch_Master'!$A$1:$C$7,2,FALSE),"Missing")</f>
        <v>Avinashi Road</v>
      </c>
      <c r="S739" s="25" t="str">
        <f>IFERROR(VLOOKUP(tbl_clean_sales[[#This Row],[Branch_ID]],'04_Branch_Master'!$A$1:$C$7,3,FALSE),"Missing")</f>
        <v>North</v>
      </c>
      <c r="T739" s="25" t="str">
        <f>C739&amp;"|"&amp;TEXT(tbl_clean_sales[[#This Row],[Date]],"yyyymm")</f>
        <v>E004|202604</v>
      </c>
      <c r="U739" s="25">
        <f>IFERROR(INDEX('05_Target_Master'!$A$1:$F$32,MATCH(tbl_clean_sales[[#This Row],[target key]],'05_Target_Master'!$F$1:$F$32,0),3),"Missing")</f>
        <v>163600</v>
      </c>
    </row>
    <row r="740" spans="1:21" x14ac:dyDescent="0.3">
      <c r="A740" s="21">
        <v>46192</v>
      </c>
      <c r="B740" s="22" t="s">
        <v>777</v>
      </c>
      <c r="C740" s="22" t="s">
        <v>8</v>
      </c>
      <c r="D740" s="22" t="s">
        <v>48</v>
      </c>
      <c r="E740" s="22" t="s">
        <v>22</v>
      </c>
      <c r="F740" s="22">
        <v>2</v>
      </c>
      <c r="G740" s="23">
        <v>478.26</v>
      </c>
      <c r="H740" s="25" t="str">
        <f>IF(COUNTIF(tbl_clean_sales[Invoice_ID],tbl_clean_sales[[#This Row],[Invoice_ID]])&gt;1,"Duplicate","Unique")</f>
        <v>Unique</v>
      </c>
      <c r="I740" s="25"/>
      <c r="J74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0" s="25" t="str">
        <f>IFERROR(VLOOKUP(tbl_clean_sales[[#This Row],[Employee_ID]],'02_Employee_Master'!$A$1:$C$12,2,FALSE),"Employee Name Missing")</f>
        <v>Vignesh R</v>
      </c>
      <c r="L740" s="25" t="str">
        <f>IFERROR(VLOOKUP(tbl_clean_sales[[#This Row],[Employee_ID]],'02_Employee_Master'!$A$1:$C$12,3,FALSE),"Department Name Missing")</f>
        <v>Sales</v>
      </c>
      <c r="M740" s="25" t="str">
        <f>IF('03_Clean_data'!D740="","Missing",IFERROR(IF(VLOOKUP(D740,'03_Product_Master'!$A$1:$D$14,1,FALSE)='03_Clean_data'!D740,"Valid","Invalid"),"Invalid"))</f>
        <v>Valid</v>
      </c>
      <c r="N740" s="25" t="str">
        <f>IFERROR(VLOOKUP(tbl_clean_sales[[#This Row],[Product_ID]],'03_Product_Master'!$A$1:$D$14,2,FALSE),"Missing")</f>
        <v>Face Wash</v>
      </c>
      <c r="O740" s="25" t="str">
        <f>IFERROR(VLOOKUP(tbl_clean_sales[[#This Row],[Product_ID]],'03_Product_Master'!$A$1:$D$14,3,FALSE),"Missing")</f>
        <v>Personal Care</v>
      </c>
      <c r="P740" s="25">
        <f>IFERROR(VLOOKUP(tbl_clean_sales[[#This Row],[Product_ID]],'03_Product_Master'!$A$1:$D$14,4,FALSE),"Missing")</f>
        <v>260</v>
      </c>
      <c r="Q740" s="25" t="str">
        <f>IF('03_Clean_data'!E740="","Missing",IFERROR(IF(VLOOKUP(E740,'04_Branch_Master'!$A$1:$C$7,1,FALSE)='03_Clean_data'!E740,"Valid","Invalid"),"Invalid"))</f>
        <v>Valid</v>
      </c>
      <c r="R740" s="25" t="str">
        <f>IFERROR(VLOOKUP(tbl_clean_sales[[#This Row],[Branch_ID]],'04_Branch_Master'!$A$1:$C$7,2,FALSE),"Missing")</f>
        <v>Tirupur Central</v>
      </c>
      <c r="S740" s="25" t="str">
        <f>IFERROR(VLOOKUP(tbl_clean_sales[[#This Row],[Branch_ID]],'04_Branch_Master'!$A$1:$C$7,3,FALSE),"Missing")</f>
        <v>North</v>
      </c>
      <c r="T740" s="25" t="str">
        <f>C740&amp;"|"&amp;TEXT(tbl_clean_sales[[#This Row],[Date]],"yyyymm")</f>
        <v>E009|202606</v>
      </c>
      <c r="U740" s="25">
        <f>IFERROR(INDEX('05_Target_Master'!$A$1:$F$32,MATCH(tbl_clean_sales[[#This Row],[target key]],'05_Target_Master'!$F$1:$F$32,0),3),"Missing")</f>
        <v>156700</v>
      </c>
    </row>
    <row r="741" spans="1:21" x14ac:dyDescent="0.3">
      <c r="A741" s="21">
        <v>46170</v>
      </c>
      <c r="B741" s="22" t="s">
        <v>778</v>
      </c>
      <c r="C741" s="22" t="s">
        <v>12</v>
      </c>
      <c r="D741" s="22" t="s">
        <v>43</v>
      </c>
      <c r="E741" s="22" t="s">
        <v>14</v>
      </c>
      <c r="F741" s="22">
        <v>10</v>
      </c>
      <c r="G741" s="23">
        <v>3300.52</v>
      </c>
      <c r="H741" s="25" t="str">
        <f>IF(COUNTIF(tbl_clean_sales[Invoice_ID],tbl_clean_sales[[#This Row],[Invoice_ID]])&gt;1,"Duplicate","Unique")</f>
        <v>Unique</v>
      </c>
      <c r="I741" s="25"/>
      <c r="J74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1" s="25" t="str">
        <f>IFERROR(VLOOKUP(tbl_clean_sales[[#This Row],[Employee_ID]],'02_Employee_Master'!$A$1:$C$12,2,FALSE),"Employee Name Missing")</f>
        <v>Divya R</v>
      </c>
      <c r="L741" s="25" t="str">
        <f>IFERROR(VLOOKUP(tbl_clean_sales[[#This Row],[Employee_ID]],'02_Employee_Master'!$A$1:$C$12,3,FALSE),"Department Name Missing")</f>
        <v>Sales</v>
      </c>
      <c r="M741" s="25" t="str">
        <f>IF('03_Clean_data'!D741="","Missing",IFERROR(IF(VLOOKUP(D741,'03_Product_Master'!$A$1:$D$14,1,FALSE)='03_Clean_data'!D741,"Valid","Invalid"),"Invalid"))</f>
        <v>Valid</v>
      </c>
      <c r="N741" s="25" t="str">
        <f>IFERROR(VLOOKUP(tbl_clean_sales[[#This Row],[Product_ID]],'03_Product_Master'!$A$1:$D$14,2,FALSE),"Missing")</f>
        <v>Laundry Liquid</v>
      </c>
      <c r="O741" s="25" t="str">
        <f>IFERROR(VLOOKUP(tbl_clean_sales[[#This Row],[Product_ID]],'03_Product_Master'!$A$1:$D$14,3,FALSE),"Missing")</f>
        <v>Home Care</v>
      </c>
      <c r="P741" s="25">
        <f>IFERROR(VLOOKUP(tbl_clean_sales[[#This Row],[Product_ID]],'03_Product_Master'!$A$1:$D$14,4,FALSE),"Missing")</f>
        <v>340</v>
      </c>
      <c r="Q741" s="25" t="str">
        <f>IF('03_Clean_data'!E741="","Missing",IFERROR(IF(VLOOKUP(E741,'04_Branch_Master'!$A$1:$C$7,1,FALSE)='03_Clean_data'!E741,"Valid","Invalid"),"Invalid"))</f>
        <v>Valid</v>
      </c>
      <c r="R741" s="25" t="str">
        <f>IFERROR(VLOOKUP(tbl_clean_sales[[#This Row],[Branch_ID]],'04_Branch_Master'!$A$1:$C$7,2,FALSE),"Missing")</f>
        <v>Avinashi Road</v>
      </c>
      <c r="S741" s="25" t="str">
        <f>IFERROR(VLOOKUP(tbl_clean_sales[[#This Row],[Branch_ID]],'04_Branch_Master'!$A$1:$C$7,3,FALSE),"Missing")</f>
        <v>North</v>
      </c>
      <c r="T741" s="25" t="str">
        <f>C741&amp;"|"&amp;TEXT(tbl_clean_sales[[#This Row],[Date]],"yyyymm")</f>
        <v>E004|202605</v>
      </c>
      <c r="U741" s="25">
        <f>IFERROR(INDEX('05_Target_Master'!$A$1:$F$32,MATCH(tbl_clean_sales[[#This Row],[target key]],'05_Target_Master'!$F$1:$F$32,0),3),"Missing")</f>
        <v>176700</v>
      </c>
    </row>
    <row r="742" spans="1:21" x14ac:dyDescent="0.3">
      <c r="A742" s="21">
        <v>46118</v>
      </c>
      <c r="B742" s="22" t="s">
        <v>779</v>
      </c>
      <c r="C742" s="22" t="s">
        <v>40</v>
      </c>
      <c r="D742" s="22" t="s">
        <v>16</v>
      </c>
      <c r="E742" s="22" t="s">
        <v>22</v>
      </c>
      <c r="F742" s="22">
        <v>7</v>
      </c>
      <c r="G742" s="23">
        <v>2103.1799999999998</v>
      </c>
      <c r="H742" s="25" t="str">
        <f>IF(COUNTIF(tbl_clean_sales[Invoice_ID],tbl_clean_sales[[#This Row],[Invoice_ID]])&gt;1,"Duplicate","Unique")</f>
        <v>Unique</v>
      </c>
      <c r="I742" s="25"/>
      <c r="J742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2" s="25" t="str">
        <f>IFERROR(VLOOKUP(tbl_clean_sales[[#This Row],[Employee_ID]],'02_Employee_Master'!$A$1:$C$12,2,FALSE),"Employee Name Missing")</f>
        <v>Meena V</v>
      </c>
      <c r="L742" s="25" t="str">
        <f>IFERROR(VLOOKUP(tbl_clean_sales[[#This Row],[Employee_ID]],'02_Employee_Master'!$A$1:$C$12,3,FALSE),"Department Name Missing")</f>
        <v>Sales</v>
      </c>
      <c r="M742" s="25" t="str">
        <f>IF('03_Clean_data'!D742="","Missing",IFERROR(IF(VLOOKUP(D742,'03_Product_Master'!$A$1:$D$14,1,FALSE)='03_Clean_data'!D742,"Valid","Invalid"),"Invalid"))</f>
        <v>Valid</v>
      </c>
      <c r="N742" s="25" t="str">
        <f>IFERROR(VLOOKUP(tbl_clean_sales[[#This Row],[Product_ID]],'03_Product_Master'!$A$1:$D$14,2,FALSE),"Missing")</f>
        <v>Shampoo</v>
      </c>
      <c r="O742" s="25" t="str">
        <f>IFERROR(VLOOKUP(tbl_clean_sales[[#This Row],[Product_ID]],'03_Product_Master'!$A$1:$D$14,3,FALSE),"Missing")</f>
        <v>Personal Care</v>
      </c>
      <c r="P742" s="25">
        <f>IFERROR(VLOOKUP(tbl_clean_sales[[#This Row],[Product_ID]],'03_Product_Master'!$A$1:$D$14,4,FALSE),"Missing")</f>
        <v>310</v>
      </c>
      <c r="Q742" s="25" t="str">
        <f>IF('03_Clean_data'!E742="","Missing",IFERROR(IF(VLOOKUP(E742,'04_Branch_Master'!$A$1:$C$7,1,FALSE)='03_Clean_data'!E742,"Valid","Invalid"),"Invalid"))</f>
        <v>Valid</v>
      </c>
      <c r="R742" s="25" t="str">
        <f>IFERROR(VLOOKUP(tbl_clean_sales[[#This Row],[Branch_ID]],'04_Branch_Master'!$A$1:$C$7,2,FALSE),"Missing")</f>
        <v>Tirupur Central</v>
      </c>
      <c r="S742" s="25" t="str">
        <f>IFERROR(VLOOKUP(tbl_clean_sales[[#This Row],[Branch_ID]],'04_Branch_Master'!$A$1:$C$7,3,FALSE),"Missing")</f>
        <v>North</v>
      </c>
      <c r="T742" s="25" t="str">
        <f>C742&amp;"|"&amp;TEXT(tbl_clean_sales[[#This Row],[Date]],"yyyymm")</f>
        <v>E006|202604</v>
      </c>
      <c r="U742" s="25">
        <f>IFERROR(INDEX('05_Target_Master'!$A$1:$F$32,MATCH(tbl_clean_sales[[#This Row],[target key]],'05_Target_Master'!$F$1:$F$32,0),3),"Missing")</f>
        <v>131000</v>
      </c>
    </row>
    <row r="743" spans="1:21" x14ac:dyDescent="0.3">
      <c r="A743" s="21">
        <v>46149</v>
      </c>
      <c r="B743" s="22" t="s">
        <v>780</v>
      </c>
      <c r="C743" s="22" t="s">
        <v>74</v>
      </c>
      <c r="D743" s="22" t="s">
        <v>13</v>
      </c>
      <c r="E743" s="22" t="s">
        <v>26</v>
      </c>
      <c r="F743" s="22">
        <v>9</v>
      </c>
      <c r="G743" s="23">
        <v>3171.85</v>
      </c>
      <c r="H743" s="25" t="str">
        <f>IF(COUNTIF(tbl_clean_sales[Invoice_ID],tbl_clean_sales[[#This Row],[Invoice_ID]])&gt;1,"Duplicate","Unique")</f>
        <v>Unique</v>
      </c>
      <c r="I743" s="25"/>
      <c r="J743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3" s="25" t="str">
        <f>IFERROR(VLOOKUP(tbl_clean_sales[[#This Row],[Employee_ID]],'02_Employee_Master'!$A$1:$C$12,2,FALSE),"Employee Name Missing")</f>
        <v>Arun Kumar</v>
      </c>
      <c r="L743" s="25" t="str">
        <f>IFERROR(VLOOKUP(tbl_clean_sales[[#This Row],[Employee_ID]],'02_Employee_Master'!$A$1:$C$12,3,FALSE),"Department Name Missing")</f>
        <v>Sales</v>
      </c>
      <c r="M743" s="25" t="str">
        <f>IF('03_Clean_data'!D743="","Missing",IFERROR(IF(VLOOKUP(D743,'03_Product_Master'!$A$1:$D$14,1,FALSE)='03_Clean_data'!D743,"Valid","Invalid"),"Invalid"))</f>
        <v>Valid</v>
      </c>
      <c r="N743" s="25" t="str">
        <f>IFERROR(VLOOKUP(tbl_clean_sales[[#This Row],[Product_ID]],'03_Product_Master'!$A$1:$D$14,2,FALSE),"Missing")</f>
        <v>Body Lotion</v>
      </c>
      <c r="O743" s="25" t="str">
        <f>IFERROR(VLOOKUP(tbl_clean_sales[[#This Row],[Product_ID]],'03_Product_Master'!$A$1:$D$14,3,FALSE),"Missing")</f>
        <v>Personal Care</v>
      </c>
      <c r="P743" s="25">
        <f>IFERROR(VLOOKUP(tbl_clean_sales[[#This Row],[Product_ID]],'03_Product_Master'!$A$1:$D$14,4,FALSE),"Missing")</f>
        <v>390</v>
      </c>
      <c r="Q743" s="25" t="str">
        <f>IF('03_Clean_data'!E743="","Missing",IFERROR(IF(VLOOKUP(E743,'04_Branch_Master'!$A$1:$C$7,1,FALSE)='03_Clean_data'!E743,"Valid","Invalid"),"Invalid"))</f>
        <v>Valid</v>
      </c>
      <c r="R743" s="25" t="str">
        <f>IFERROR(VLOOKUP(tbl_clean_sales[[#This Row],[Branch_ID]],'04_Branch_Master'!$A$1:$C$7,2,FALSE),"Missing")</f>
        <v>Palladam</v>
      </c>
      <c r="S743" s="25" t="str">
        <f>IFERROR(VLOOKUP(tbl_clean_sales[[#This Row],[Branch_ID]],'04_Branch_Master'!$A$1:$C$7,3,FALSE),"Missing")</f>
        <v>South</v>
      </c>
      <c r="T743" s="25" t="str">
        <f>C743&amp;"|"&amp;TEXT(tbl_clean_sales[[#This Row],[Date]],"yyyymm")</f>
        <v>E001|202605</v>
      </c>
      <c r="U743" s="25">
        <f>IFERROR(INDEX('05_Target_Master'!$A$1:$F$32,MATCH(tbl_clean_sales[[#This Row],[target key]],'05_Target_Master'!$F$1:$F$32,0),3),"Missing")</f>
        <v>169500</v>
      </c>
    </row>
    <row r="744" spans="1:21" x14ac:dyDescent="0.3">
      <c r="A744" s="21">
        <v>46170</v>
      </c>
      <c r="B744" s="22" t="s">
        <v>781</v>
      </c>
      <c r="C744" s="22" t="s">
        <v>38</v>
      </c>
      <c r="D744" s="22" t="s">
        <v>25</v>
      </c>
      <c r="E744" s="22" t="s">
        <v>32</v>
      </c>
      <c r="F744" s="22">
        <v>11</v>
      </c>
      <c r="G744" s="23">
        <v>4513.2700000000004</v>
      </c>
      <c r="H744" s="25" t="str">
        <f>IF(COUNTIF(tbl_clean_sales[Invoice_ID],tbl_clean_sales[[#This Row],[Invoice_ID]])&gt;1,"Duplicate","Unique")</f>
        <v>Unique</v>
      </c>
      <c r="I744" s="25"/>
      <c r="J744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4" s="25" t="str">
        <f>IFERROR(VLOOKUP(tbl_clean_sales[[#This Row],[Employee_ID]],'02_Employee_Master'!$A$1:$C$12,2,FALSE),"Employee Name Missing")</f>
        <v>Nandhini K</v>
      </c>
      <c r="L744" s="25" t="str">
        <f>IFERROR(VLOOKUP(tbl_clean_sales[[#This Row],[Employee_ID]],'02_Employee_Master'!$A$1:$C$12,3,FALSE),"Department Name Missing")</f>
        <v>Sales</v>
      </c>
      <c r="M744" s="25" t="str">
        <f>IF('03_Clean_data'!D744="","Missing",IFERROR(IF(VLOOKUP(D744,'03_Product_Master'!$A$1:$D$14,1,FALSE)='03_Clean_data'!D744,"Valid","Invalid"),"Invalid"))</f>
        <v>Valid</v>
      </c>
      <c r="N744" s="25" t="str">
        <f>IFERROR(VLOOKUP(tbl_clean_sales[[#This Row],[Product_ID]],'03_Product_Master'!$A$1:$D$14,2,FALSE),"Missing")</f>
        <v>Premium Coffee</v>
      </c>
      <c r="O744" s="25" t="str">
        <f>IFERROR(VLOOKUP(tbl_clean_sales[[#This Row],[Product_ID]],'03_Product_Master'!$A$1:$D$14,3,FALSE),"Missing")</f>
        <v>Beverages</v>
      </c>
      <c r="P744" s="25">
        <f>IFERROR(VLOOKUP(tbl_clean_sales[[#This Row],[Product_ID]],'03_Product_Master'!$A$1:$D$14,4,FALSE),"Missing")</f>
        <v>420</v>
      </c>
      <c r="Q744" s="25" t="str">
        <f>IF('03_Clean_data'!E744="","Missing",IFERROR(IF(VLOOKUP(E744,'04_Branch_Master'!$A$1:$C$7,1,FALSE)='03_Clean_data'!E744,"Valid","Invalid"),"Invalid"))</f>
        <v>Valid</v>
      </c>
      <c r="R744" s="25" t="str">
        <f>IFERROR(VLOOKUP(tbl_clean_sales[[#This Row],[Branch_ID]],'04_Branch_Master'!$A$1:$C$7,2,FALSE),"Missing")</f>
        <v>Kangeyam</v>
      </c>
      <c r="S744" s="25" t="str">
        <f>IFERROR(VLOOKUP(tbl_clean_sales[[#This Row],[Branch_ID]],'04_Branch_Master'!$A$1:$C$7,3,FALSE),"Missing")</f>
        <v>East</v>
      </c>
      <c r="T744" s="25" t="str">
        <f>C744&amp;"|"&amp;TEXT(tbl_clean_sales[[#This Row],[Date]],"yyyymm")</f>
        <v>E008|202605</v>
      </c>
      <c r="U744" s="25">
        <f>IFERROR(INDEX('05_Target_Master'!$A$1:$F$32,MATCH(tbl_clean_sales[[#This Row],[target key]],'05_Target_Master'!$F$1:$F$32,0),3),"Missing")</f>
        <v>134100</v>
      </c>
    </row>
    <row r="745" spans="1:21" x14ac:dyDescent="0.3">
      <c r="A745" s="21">
        <v>46178</v>
      </c>
      <c r="B745" s="22" t="s">
        <v>782</v>
      </c>
      <c r="C745" s="22" t="s">
        <v>21</v>
      </c>
      <c r="D745" s="22" t="s">
        <v>9</v>
      </c>
      <c r="E745" s="22" t="s">
        <v>22</v>
      </c>
      <c r="F745" s="22">
        <v>9</v>
      </c>
      <c r="G745" s="23">
        <v>2358.7600000000002</v>
      </c>
      <c r="H745" s="25" t="str">
        <f>IF(COUNTIF(tbl_clean_sales[Invoice_ID],tbl_clean_sales[[#This Row],[Invoice_ID]])&gt;1,"Duplicate","Unique")</f>
        <v>Unique</v>
      </c>
      <c r="I745" s="25"/>
      <c r="J745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5" s="25" t="str">
        <f>IFERROR(VLOOKUP(tbl_clean_sales[[#This Row],[Employee_ID]],'02_Employee_Master'!$A$1:$C$12,2,FALSE),"Employee Name Missing")</f>
        <v>Priya S</v>
      </c>
      <c r="L745" s="25" t="str">
        <f>IFERROR(VLOOKUP(tbl_clean_sales[[#This Row],[Employee_ID]],'02_Employee_Master'!$A$1:$C$12,3,FALSE),"Department Name Missing")</f>
        <v>Sales</v>
      </c>
      <c r="M745" s="25" t="str">
        <f>IF('03_Clean_data'!D745="","Missing",IFERROR(IF(VLOOKUP(D745,'03_Product_Master'!$A$1:$D$14,1,FALSE)='03_Clean_data'!D745,"Valid","Invalid"),"Invalid"))</f>
        <v>Valid</v>
      </c>
      <c r="N745" s="25" t="str">
        <f>IFERROR(VLOOKUP(tbl_clean_sales[[#This Row],[Product_ID]],'03_Product_Master'!$A$1:$D$14,2,FALSE),"Missing")</f>
        <v>Green Tea</v>
      </c>
      <c r="O745" s="25" t="str">
        <f>IFERROR(VLOOKUP(tbl_clean_sales[[#This Row],[Product_ID]],'03_Product_Master'!$A$1:$D$14,3,FALSE),"Missing")</f>
        <v>Beverages</v>
      </c>
      <c r="P745" s="25">
        <f>IFERROR(VLOOKUP(tbl_clean_sales[[#This Row],[Product_ID]],'03_Product_Master'!$A$1:$D$14,4,FALSE),"Missing")</f>
        <v>280</v>
      </c>
      <c r="Q745" s="25" t="str">
        <f>IF('03_Clean_data'!E745="","Missing",IFERROR(IF(VLOOKUP(E745,'04_Branch_Master'!$A$1:$C$7,1,FALSE)='03_Clean_data'!E745,"Valid","Invalid"),"Invalid"))</f>
        <v>Valid</v>
      </c>
      <c r="R745" s="25" t="str">
        <f>IFERROR(VLOOKUP(tbl_clean_sales[[#This Row],[Branch_ID]],'04_Branch_Master'!$A$1:$C$7,2,FALSE),"Missing")</f>
        <v>Tirupur Central</v>
      </c>
      <c r="S745" s="25" t="str">
        <f>IFERROR(VLOOKUP(tbl_clean_sales[[#This Row],[Branch_ID]],'04_Branch_Master'!$A$1:$C$7,3,FALSE),"Missing")</f>
        <v>North</v>
      </c>
      <c r="T745" s="25" t="str">
        <f>C745&amp;"|"&amp;TEXT(tbl_clean_sales[[#This Row],[Date]],"yyyymm")</f>
        <v>E002|202606</v>
      </c>
      <c r="U745" s="25">
        <f>IFERROR(INDEX('05_Target_Master'!$A$1:$F$32,MATCH(tbl_clean_sales[[#This Row],[target key]],'05_Target_Master'!$F$1:$F$32,0),3),"Missing")</f>
        <v>117400</v>
      </c>
    </row>
    <row r="746" spans="1:21" x14ac:dyDescent="0.3">
      <c r="A746" s="22" t="s">
        <v>783</v>
      </c>
      <c r="B746" s="22" t="s">
        <v>784</v>
      </c>
      <c r="C746" s="22" t="s">
        <v>21</v>
      </c>
      <c r="D746" s="22" t="s">
        <v>30</v>
      </c>
      <c r="E746" s="22" t="s">
        <v>22</v>
      </c>
      <c r="F746" s="22">
        <v>4</v>
      </c>
      <c r="G746" s="23">
        <v>573.57000000000005</v>
      </c>
      <c r="H746" s="25" t="str">
        <f>IF(COUNTIF(tbl_clean_sales[Invoice_ID],tbl_clean_sales[[#This Row],[Invoice_ID]])&gt;1,"Duplicate","Unique")</f>
        <v>Unique</v>
      </c>
      <c r="I746" s="25"/>
      <c r="J746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6" s="25" t="str">
        <f>IFERROR(VLOOKUP(tbl_clean_sales[[#This Row],[Employee_ID]],'02_Employee_Master'!$A$1:$C$12,2,FALSE),"Employee Name Missing")</f>
        <v>Priya S</v>
      </c>
      <c r="L746" s="25" t="str">
        <f>IFERROR(VLOOKUP(tbl_clean_sales[[#This Row],[Employee_ID]],'02_Employee_Master'!$A$1:$C$12,3,FALSE),"Department Name Missing")</f>
        <v>Sales</v>
      </c>
      <c r="M746" s="25" t="str">
        <f>IF('03_Clean_data'!D746="","Missing",IFERROR(IF(VLOOKUP(D746,'03_Product_Master'!$A$1:$D$14,1,FALSE)='03_Clean_data'!D746,"Valid","Invalid"),"Invalid"))</f>
        <v>Valid</v>
      </c>
      <c r="N746" s="25" t="str">
        <f>IFERROR(VLOOKUP(tbl_clean_sales[[#This Row],[Product_ID]],'03_Product_Master'!$A$1:$D$14,2,FALSE),"Missing")</f>
        <v>Cookies Pack</v>
      </c>
      <c r="O746" s="25" t="str">
        <f>IFERROR(VLOOKUP(tbl_clean_sales[[#This Row],[Product_ID]],'03_Product_Master'!$A$1:$D$14,3,FALSE),"Missing")</f>
        <v>Snacks</v>
      </c>
      <c r="P746" s="25">
        <f>IFERROR(VLOOKUP(tbl_clean_sales[[#This Row],[Product_ID]],'03_Product_Master'!$A$1:$D$14,4,FALSE),"Missing")</f>
        <v>160</v>
      </c>
      <c r="Q746" s="25" t="str">
        <f>IF('03_Clean_data'!E746="","Missing",IFERROR(IF(VLOOKUP(E746,'04_Branch_Master'!$A$1:$C$7,1,FALSE)='03_Clean_data'!E746,"Valid","Invalid"),"Invalid"))</f>
        <v>Valid</v>
      </c>
      <c r="R746" s="25" t="str">
        <f>IFERROR(VLOOKUP(tbl_clean_sales[[#This Row],[Branch_ID]],'04_Branch_Master'!$A$1:$C$7,2,FALSE),"Missing")</f>
        <v>Tirupur Central</v>
      </c>
      <c r="S746" s="25" t="str">
        <f>IFERROR(VLOOKUP(tbl_clean_sales[[#This Row],[Branch_ID]],'04_Branch_Master'!$A$1:$C$7,3,FALSE),"Missing")</f>
        <v>North</v>
      </c>
      <c r="T746" s="25" t="str">
        <f>C746&amp;"|"&amp;TEXT(tbl_clean_sales[[#This Row],[Date]],"yyyymm")</f>
        <v>E002|Not a Date</v>
      </c>
      <c r="U746" s="25" t="str">
        <f>IFERROR(INDEX('05_Target_Master'!$A$1:$F$32,MATCH(tbl_clean_sales[[#This Row],[target key]],'05_Target_Master'!$F$1:$F$32,0),3),"Missing")</f>
        <v>Missing</v>
      </c>
    </row>
    <row r="747" spans="1:21" x14ac:dyDescent="0.3">
      <c r="A747" s="21">
        <v>46167</v>
      </c>
      <c r="B747" s="22" t="s">
        <v>785</v>
      </c>
      <c r="C747" s="22" t="s">
        <v>21</v>
      </c>
      <c r="D747" s="22" t="s">
        <v>30</v>
      </c>
      <c r="E747" s="22" t="s">
        <v>22</v>
      </c>
      <c r="F747" s="22">
        <v>12</v>
      </c>
      <c r="G747" s="23">
        <v>1717.56</v>
      </c>
      <c r="H747" s="25" t="str">
        <f>IF(COUNTIF(tbl_clean_sales[Invoice_ID],tbl_clean_sales[[#This Row],[Invoice_ID]])&gt;1,"Duplicate","Unique")</f>
        <v>Unique</v>
      </c>
      <c r="I747" s="25"/>
      <c r="J747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7" s="25" t="str">
        <f>IFERROR(VLOOKUP(tbl_clean_sales[[#This Row],[Employee_ID]],'02_Employee_Master'!$A$1:$C$12,2,FALSE),"Employee Name Missing")</f>
        <v>Priya S</v>
      </c>
      <c r="L747" s="25" t="str">
        <f>IFERROR(VLOOKUP(tbl_clean_sales[[#This Row],[Employee_ID]],'02_Employee_Master'!$A$1:$C$12,3,FALSE),"Department Name Missing")</f>
        <v>Sales</v>
      </c>
      <c r="M747" s="25" t="str">
        <f>IF('03_Clean_data'!D747="","Missing",IFERROR(IF(VLOOKUP(D747,'03_Product_Master'!$A$1:$D$14,1,FALSE)='03_Clean_data'!D747,"Valid","Invalid"),"Invalid"))</f>
        <v>Valid</v>
      </c>
      <c r="N747" s="25" t="str">
        <f>IFERROR(VLOOKUP(tbl_clean_sales[[#This Row],[Product_ID]],'03_Product_Master'!$A$1:$D$14,2,FALSE),"Missing")</f>
        <v>Cookies Pack</v>
      </c>
      <c r="O747" s="25" t="str">
        <f>IFERROR(VLOOKUP(tbl_clean_sales[[#This Row],[Product_ID]],'03_Product_Master'!$A$1:$D$14,3,FALSE),"Missing")</f>
        <v>Snacks</v>
      </c>
      <c r="P747" s="25">
        <f>IFERROR(VLOOKUP(tbl_clean_sales[[#This Row],[Product_ID]],'03_Product_Master'!$A$1:$D$14,4,FALSE),"Missing")</f>
        <v>160</v>
      </c>
      <c r="Q747" s="25" t="str">
        <f>IF('03_Clean_data'!E747="","Missing",IFERROR(IF(VLOOKUP(E747,'04_Branch_Master'!$A$1:$C$7,1,FALSE)='03_Clean_data'!E747,"Valid","Invalid"),"Invalid"))</f>
        <v>Valid</v>
      </c>
      <c r="R747" s="25" t="str">
        <f>IFERROR(VLOOKUP(tbl_clean_sales[[#This Row],[Branch_ID]],'04_Branch_Master'!$A$1:$C$7,2,FALSE),"Missing")</f>
        <v>Tirupur Central</v>
      </c>
      <c r="S747" s="25" t="str">
        <f>IFERROR(VLOOKUP(tbl_clean_sales[[#This Row],[Branch_ID]],'04_Branch_Master'!$A$1:$C$7,3,FALSE),"Missing")</f>
        <v>North</v>
      </c>
      <c r="T747" s="25" t="str">
        <f>C747&amp;"|"&amp;TEXT(tbl_clean_sales[[#This Row],[Date]],"yyyymm")</f>
        <v>E002|202605</v>
      </c>
      <c r="U747" s="25">
        <f>IFERROR(INDEX('05_Target_Master'!$A$1:$F$32,MATCH(tbl_clean_sales[[#This Row],[target key]],'05_Target_Master'!$F$1:$F$32,0),3),"Missing")</f>
        <v>132100</v>
      </c>
    </row>
    <row r="748" spans="1:21" x14ac:dyDescent="0.3">
      <c r="A748" s="21">
        <v>46168</v>
      </c>
      <c r="B748" s="22" t="s">
        <v>786</v>
      </c>
      <c r="C748" s="22" t="s">
        <v>21</v>
      </c>
      <c r="D748" s="22" t="s">
        <v>19</v>
      </c>
      <c r="E748" s="22" t="s">
        <v>22</v>
      </c>
      <c r="F748" s="22">
        <v>1</v>
      </c>
      <c r="G748" s="23">
        <v>217.33</v>
      </c>
      <c r="H748" s="25" t="str">
        <f>IF(COUNTIF(tbl_clean_sales[Invoice_ID],tbl_clean_sales[[#This Row],[Invoice_ID]])&gt;1,"Duplicate","Unique")</f>
        <v>Unique</v>
      </c>
      <c r="I748" s="25"/>
      <c r="J748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8" s="25" t="str">
        <f>IFERROR(VLOOKUP(tbl_clean_sales[[#This Row],[Employee_ID]],'02_Employee_Master'!$A$1:$C$12,2,FALSE),"Employee Name Missing")</f>
        <v>Priya S</v>
      </c>
      <c r="L748" s="25" t="str">
        <f>IFERROR(VLOOKUP(tbl_clean_sales[[#This Row],[Employee_ID]],'02_Employee_Master'!$A$1:$C$12,3,FALSE),"Department Name Missing")</f>
        <v>Sales</v>
      </c>
      <c r="M748" s="25" t="str">
        <f>IF('03_Clean_data'!D748="","Missing",IFERROR(IF(VLOOKUP(D748,'03_Product_Master'!$A$1:$D$14,1,FALSE)='03_Clean_data'!D748,"Valid","Invalid"),"Invalid"))</f>
        <v>Valid</v>
      </c>
      <c r="N748" s="25" t="str">
        <f>IFERROR(VLOOKUP(tbl_clean_sales[[#This Row],[Product_ID]],'03_Product_Master'!$A$1:$D$14,2,FALSE),"Missing")</f>
        <v>Floor Cleaner</v>
      </c>
      <c r="O748" s="25" t="str">
        <f>IFERROR(VLOOKUP(tbl_clean_sales[[#This Row],[Product_ID]],'03_Product_Master'!$A$1:$D$14,3,FALSE),"Missing")</f>
        <v>Home Care</v>
      </c>
      <c r="P748" s="25">
        <f>IFERROR(VLOOKUP(tbl_clean_sales[[#This Row],[Product_ID]],'03_Product_Master'!$A$1:$D$14,4,FALSE),"Missing")</f>
        <v>230</v>
      </c>
      <c r="Q748" s="25" t="str">
        <f>IF('03_Clean_data'!E748="","Missing",IFERROR(IF(VLOOKUP(E748,'04_Branch_Master'!$A$1:$C$7,1,FALSE)='03_Clean_data'!E748,"Valid","Invalid"),"Invalid"))</f>
        <v>Valid</v>
      </c>
      <c r="R748" s="25" t="str">
        <f>IFERROR(VLOOKUP(tbl_clean_sales[[#This Row],[Branch_ID]],'04_Branch_Master'!$A$1:$C$7,2,FALSE),"Missing")</f>
        <v>Tirupur Central</v>
      </c>
      <c r="S748" s="25" t="str">
        <f>IFERROR(VLOOKUP(tbl_clean_sales[[#This Row],[Branch_ID]],'04_Branch_Master'!$A$1:$C$7,3,FALSE),"Missing")</f>
        <v>North</v>
      </c>
      <c r="T748" s="25" t="str">
        <f>C748&amp;"|"&amp;TEXT(tbl_clean_sales[[#This Row],[Date]],"yyyymm")</f>
        <v>E002|202605</v>
      </c>
      <c r="U748" s="25">
        <f>IFERROR(INDEX('05_Target_Master'!$A$1:$F$32,MATCH(tbl_clean_sales[[#This Row],[target key]],'05_Target_Master'!$F$1:$F$32,0),3),"Missing")</f>
        <v>132100</v>
      </c>
    </row>
    <row r="749" spans="1:21" x14ac:dyDescent="0.3">
      <c r="A749" s="21">
        <v>46155</v>
      </c>
      <c r="B749" s="22" t="s">
        <v>787</v>
      </c>
      <c r="C749" s="22" t="s">
        <v>74</v>
      </c>
      <c r="D749" s="22" t="s">
        <v>9</v>
      </c>
      <c r="E749" s="22" t="s">
        <v>22</v>
      </c>
      <c r="F749" s="22">
        <v>3</v>
      </c>
      <c r="G749" s="23">
        <v>759.94</v>
      </c>
      <c r="H749" s="25" t="str">
        <f>IF(COUNTIF(tbl_clean_sales[Invoice_ID],tbl_clean_sales[[#This Row],[Invoice_ID]])&gt;1,"Duplicate","Unique")</f>
        <v>Unique</v>
      </c>
      <c r="I749" s="25"/>
      <c r="J749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49" s="25" t="str">
        <f>IFERROR(VLOOKUP(tbl_clean_sales[[#This Row],[Employee_ID]],'02_Employee_Master'!$A$1:$C$12,2,FALSE),"Employee Name Missing")</f>
        <v>Arun Kumar</v>
      </c>
      <c r="L749" s="25" t="str">
        <f>IFERROR(VLOOKUP(tbl_clean_sales[[#This Row],[Employee_ID]],'02_Employee_Master'!$A$1:$C$12,3,FALSE),"Department Name Missing")</f>
        <v>Sales</v>
      </c>
      <c r="M749" s="25" t="str">
        <f>IF('03_Clean_data'!D749="","Missing",IFERROR(IF(VLOOKUP(D749,'03_Product_Master'!$A$1:$D$14,1,FALSE)='03_Clean_data'!D749,"Valid","Invalid"),"Invalid"))</f>
        <v>Valid</v>
      </c>
      <c r="N749" s="25" t="str">
        <f>IFERROR(VLOOKUP(tbl_clean_sales[[#This Row],[Product_ID]],'03_Product_Master'!$A$1:$D$14,2,FALSE),"Missing")</f>
        <v>Green Tea</v>
      </c>
      <c r="O749" s="25" t="str">
        <f>IFERROR(VLOOKUP(tbl_clean_sales[[#This Row],[Product_ID]],'03_Product_Master'!$A$1:$D$14,3,FALSE),"Missing")</f>
        <v>Beverages</v>
      </c>
      <c r="P749" s="25">
        <f>IFERROR(VLOOKUP(tbl_clean_sales[[#This Row],[Product_ID]],'03_Product_Master'!$A$1:$D$14,4,FALSE),"Missing")</f>
        <v>280</v>
      </c>
      <c r="Q749" s="25" t="str">
        <f>IF('03_Clean_data'!E749="","Missing",IFERROR(IF(VLOOKUP(E749,'04_Branch_Master'!$A$1:$C$7,1,FALSE)='03_Clean_data'!E749,"Valid","Invalid"),"Invalid"))</f>
        <v>Valid</v>
      </c>
      <c r="R749" s="25" t="str">
        <f>IFERROR(VLOOKUP(tbl_clean_sales[[#This Row],[Branch_ID]],'04_Branch_Master'!$A$1:$C$7,2,FALSE),"Missing")</f>
        <v>Tirupur Central</v>
      </c>
      <c r="S749" s="25" t="str">
        <f>IFERROR(VLOOKUP(tbl_clean_sales[[#This Row],[Branch_ID]],'04_Branch_Master'!$A$1:$C$7,3,FALSE),"Missing")</f>
        <v>North</v>
      </c>
      <c r="T749" s="25" t="str">
        <f>C749&amp;"|"&amp;TEXT(tbl_clean_sales[[#This Row],[Date]],"yyyymm")</f>
        <v>E001|202605</v>
      </c>
      <c r="U749" s="25">
        <f>IFERROR(INDEX('05_Target_Master'!$A$1:$F$32,MATCH(tbl_clean_sales[[#This Row],[target key]],'05_Target_Master'!$F$1:$F$32,0),3),"Missing")</f>
        <v>169500</v>
      </c>
    </row>
    <row r="750" spans="1:21" x14ac:dyDescent="0.3">
      <c r="A750" s="21">
        <v>46184</v>
      </c>
      <c r="B750" s="22" t="s">
        <v>788</v>
      </c>
      <c r="C750" s="22" t="s">
        <v>21</v>
      </c>
      <c r="D750" s="22" t="s">
        <v>36</v>
      </c>
      <c r="E750" s="22" t="s">
        <v>26</v>
      </c>
      <c r="F750" s="22">
        <v>7</v>
      </c>
      <c r="G750" s="23">
        <v>1268.07</v>
      </c>
      <c r="H750" s="25" t="str">
        <f>IF(COUNTIF(tbl_clean_sales[Invoice_ID],tbl_clean_sales[[#This Row],[Invoice_ID]])&gt;1,"Duplicate","Unique")</f>
        <v>Unique</v>
      </c>
      <c r="I750" s="25"/>
      <c r="J750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50" s="25" t="str">
        <f>IFERROR(VLOOKUP(tbl_clean_sales[[#This Row],[Employee_ID]],'02_Employee_Master'!$A$1:$C$12,2,FALSE),"Employee Name Missing")</f>
        <v>Priya S</v>
      </c>
      <c r="L750" s="25" t="str">
        <f>IFERROR(VLOOKUP(tbl_clean_sales[[#This Row],[Employee_ID]],'02_Employee_Master'!$A$1:$C$12,3,FALSE),"Department Name Missing")</f>
        <v>Sales</v>
      </c>
      <c r="M750" s="25" t="str">
        <f>IF('03_Clean_data'!D750="","Missing",IFERROR(IF(VLOOKUP(D750,'03_Product_Master'!$A$1:$D$14,1,FALSE)='03_Clean_data'!D750,"Valid","Invalid"),"Invalid"))</f>
        <v>Valid</v>
      </c>
      <c r="N750" s="25" t="str">
        <f>IFERROR(VLOOKUP(tbl_clean_sales[[#This Row],[Product_ID]],'03_Product_Master'!$A$1:$D$14,2,FALSE),"Missing")</f>
        <v>Dish Wash</v>
      </c>
      <c r="O750" s="25" t="str">
        <f>IFERROR(VLOOKUP(tbl_clean_sales[[#This Row],[Product_ID]],'03_Product_Master'!$A$1:$D$14,3,FALSE),"Missing")</f>
        <v>Home Care</v>
      </c>
      <c r="P750" s="25">
        <f>IFERROR(VLOOKUP(tbl_clean_sales[[#This Row],[Product_ID]],'03_Product_Master'!$A$1:$D$14,4,FALSE),"Missing")</f>
        <v>190</v>
      </c>
      <c r="Q750" s="25" t="str">
        <f>IF('03_Clean_data'!E750="","Missing",IFERROR(IF(VLOOKUP(E750,'04_Branch_Master'!$A$1:$C$7,1,FALSE)='03_Clean_data'!E750,"Valid","Invalid"),"Invalid"))</f>
        <v>Valid</v>
      </c>
      <c r="R750" s="25" t="str">
        <f>IFERROR(VLOOKUP(tbl_clean_sales[[#This Row],[Branch_ID]],'04_Branch_Master'!$A$1:$C$7,2,FALSE),"Missing")</f>
        <v>Palladam</v>
      </c>
      <c r="S750" s="25" t="str">
        <f>IFERROR(VLOOKUP(tbl_clean_sales[[#This Row],[Branch_ID]],'04_Branch_Master'!$A$1:$C$7,3,FALSE),"Missing")</f>
        <v>South</v>
      </c>
      <c r="T750" s="25" t="str">
        <f>C750&amp;"|"&amp;TEXT(tbl_clean_sales[[#This Row],[Date]],"yyyymm")</f>
        <v>E002|202606</v>
      </c>
      <c r="U750" s="25">
        <f>IFERROR(INDEX('05_Target_Master'!$A$1:$F$32,MATCH(tbl_clean_sales[[#This Row],[target key]],'05_Target_Master'!$F$1:$F$32,0),3),"Missing")</f>
        <v>117400</v>
      </c>
    </row>
    <row r="751" spans="1:21" x14ac:dyDescent="0.3">
      <c r="A751" s="21">
        <v>46193</v>
      </c>
      <c r="B751" s="22" t="s">
        <v>789</v>
      </c>
      <c r="C751" s="22" t="s">
        <v>46</v>
      </c>
      <c r="D751" s="22" t="s">
        <v>16</v>
      </c>
      <c r="E751" s="22" t="s">
        <v>32</v>
      </c>
      <c r="F751" s="22">
        <v>7</v>
      </c>
      <c r="G751" s="23">
        <v>1994.67</v>
      </c>
      <c r="H751" s="25" t="str">
        <f>IF(COUNTIF(tbl_clean_sales[Invoice_ID],tbl_clean_sales[[#This Row],[Invoice_ID]])&gt;1,"Duplicate","Unique")</f>
        <v>Unique</v>
      </c>
      <c r="I751" s="25"/>
      <c r="J751" s="25" t="str">
        <f>IF(tbl_clean_sales[[#This Row],[Employee_ID]]="","Missing",IFERROR(IF(VLOOKUP(tbl_clean_sales[[#This Row],[Employee_ID]],'02_Employee_Master'!$A$1:$C$12,1,FALSE)=tbl_clean_sales[[#This Row],[Employee_ID]],"Valid","Invalid"),"Invalid"))</f>
        <v>Valid</v>
      </c>
      <c r="K751" s="25" t="str">
        <f>IFERROR(VLOOKUP(tbl_clean_sales[[#This Row],[Employee_ID]],'02_Employee_Master'!$A$1:$C$12,2,FALSE),"Employee Name Missing")</f>
        <v>Suresh B</v>
      </c>
      <c r="L751" s="25" t="str">
        <f>IFERROR(VLOOKUP(tbl_clean_sales[[#This Row],[Employee_ID]],'02_Employee_Master'!$A$1:$C$12,3,FALSE),"Department Name Missing")</f>
        <v>Sales</v>
      </c>
      <c r="M751" s="25" t="str">
        <f>IF('03_Clean_data'!D751="","Missing",IFERROR(IF(VLOOKUP(D751,'03_Product_Master'!$A$1:$D$14,1,FALSE)='03_Clean_data'!D751,"Valid","Invalid"),"Invalid"))</f>
        <v>Valid</v>
      </c>
      <c r="N751" s="25" t="str">
        <f>IFERROR(VLOOKUP(tbl_clean_sales[[#This Row],[Product_ID]],'03_Product_Master'!$A$1:$D$14,2,FALSE),"Missing")</f>
        <v>Shampoo</v>
      </c>
      <c r="O751" s="25" t="str">
        <f>IFERROR(VLOOKUP(tbl_clean_sales[[#This Row],[Product_ID]],'03_Product_Master'!$A$1:$D$14,3,FALSE),"Missing")</f>
        <v>Personal Care</v>
      </c>
      <c r="P751" s="25">
        <f>IFERROR(VLOOKUP(tbl_clean_sales[[#This Row],[Product_ID]],'03_Product_Master'!$A$1:$D$14,4,FALSE),"Missing")</f>
        <v>310</v>
      </c>
      <c r="Q751" s="25" t="str">
        <f>IF('03_Clean_data'!E751="","Missing",IFERROR(IF(VLOOKUP(E751,'04_Branch_Master'!$A$1:$C$7,1,FALSE)='03_Clean_data'!E751,"Valid","Invalid"),"Invalid"))</f>
        <v>Valid</v>
      </c>
      <c r="R751" s="25" t="str">
        <f>IFERROR(VLOOKUP(tbl_clean_sales[[#This Row],[Branch_ID]],'04_Branch_Master'!$A$1:$C$7,2,FALSE),"Missing")</f>
        <v>Kangeyam</v>
      </c>
      <c r="S751" s="25" t="str">
        <f>IFERROR(VLOOKUP(tbl_clean_sales[[#This Row],[Branch_ID]],'04_Branch_Master'!$A$1:$C$7,3,FALSE),"Missing")</f>
        <v>East</v>
      </c>
      <c r="T751" s="25" t="str">
        <f>C751&amp;"|"&amp;TEXT(tbl_clean_sales[[#This Row],[Date]],"yyyymm")</f>
        <v>E007|202606</v>
      </c>
      <c r="U751" s="25">
        <f>IFERROR(INDEX('05_Target_Master'!$A$1:$F$32,MATCH(tbl_clean_sales[[#This Row],[target key]],'05_Target_Master'!$F$1:$F$32,0),3),"Missing")</f>
        <v>124400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00_Task1</vt:lpstr>
      <vt:lpstr>01_Sales_Data</vt:lpstr>
      <vt:lpstr>02_Employee_Master</vt:lpstr>
      <vt:lpstr>03_Product_Master</vt:lpstr>
      <vt:lpstr>04_Branch_Master</vt:lpstr>
      <vt:lpstr>05_Target_Master</vt:lpstr>
      <vt:lpstr>06_Issues_log</vt:lpstr>
      <vt:lpstr>03_Clean_data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2026-10-06T06:00:39Z</dcterms:modified>
</cp:coreProperties>
</file>